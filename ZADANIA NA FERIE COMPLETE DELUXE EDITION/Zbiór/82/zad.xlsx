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Moje\Programowanie\Zadani na ferie\zestaw_na_ferie (1)\zestaw_na_ferie\Zbiór\82\"/>
    </mc:Choice>
  </mc:AlternateContent>
  <xr:revisionPtr revIDLastSave="0" documentId="13_ncr:1_{D869F78D-FA4C-431A-87A7-3B13C6A299B6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1, 2" sheetId="1" r:id="rId1"/>
    <sheet name="3, 4 i 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2" l="1"/>
  <c r="M9" i="2"/>
  <c r="J152" i="2"/>
  <c r="I152" i="2"/>
  <c r="H152" i="2"/>
  <c r="G152" i="2"/>
  <c r="D152" i="2"/>
  <c r="C152" i="2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M6" i="2"/>
  <c r="I2" i="2"/>
  <c r="K4" i="2"/>
  <c r="K6" i="2"/>
  <c r="K7" i="2"/>
  <c r="K8" i="2"/>
  <c r="K9" i="2"/>
  <c r="K10" i="2"/>
  <c r="K11" i="2"/>
  <c r="K13" i="2"/>
  <c r="K14" i="2"/>
  <c r="K15" i="2"/>
  <c r="K16" i="2"/>
  <c r="K17" i="2"/>
  <c r="K18" i="2"/>
  <c r="K20" i="2"/>
  <c r="K21" i="2"/>
  <c r="K22" i="2"/>
  <c r="K23" i="2"/>
  <c r="K24" i="2"/>
  <c r="K25" i="2"/>
  <c r="K27" i="2"/>
  <c r="K28" i="2"/>
  <c r="K29" i="2"/>
  <c r="K30" i="2"/>
  <c r="K31" i="2"/>
  <c r="K32" i="2"/>
  <c r="K34" i="2"/>
  <c r="K35" i="2"/>
  <c r="K36" i="2"/>
  <c r="K37" i="2"/>
  <c r="K38" i="2"/>
  <c r="K39" i="2"/>
  <c r="K41" i="2"/>
  <c r="K42" i="2"/>
  <c r="K43" i="2"/>
  <c r="K44" i="2"/>
  <c r="K45" i="2"/>
  <c r="K46" i="2"/>
  <c r="K48" i="2"/>
  <c r="K49" i="2"/>
  <c r="K50" i="2"/>
  <c r="K51" i="2"/>
  <c r="K52" i="2"/>
  <c r="K53" i="2"/>
  <c r="K55" i="2"/>
  <c r="K56" i="2"/>
  <c r="K57" i="2"/>
  <c r="K58" i="2"/>
  <c r="K59" i="2"/>
  <c r="K60" i="2"/>
  <c r="K62" i="2"/>
  <c r="K63" i="2"/>
  <c r="K64" i="2"/>
  <c r="K65" i="2"/>
  <c r="K66" i="2"/>
  <c r="K67" i="2"/>
  <c r="K69" i="2"/>
  <c r="K70" i="2"/>
  <c r="K71" i="2"/>
  <c r="K72" i="2"/>
  <c r="K73" i="2"/>
  <c r="K74" i="2"/>
  <c r="K76" i="2"/>
  <c r="K77" i="2"/>
  <c r="K78" i="2"/>
  <c r="K79" i="2"/>
  <c r="K80" i="2"/>
  <c r="K81" i="2"/>
  <c r="K83" i="2"/>
  <c r="K84" i="2"/>
  <c r="K85" i="2"/>
  <c r="K86" i="2"/>
  <c r="K87" i="2"/>
  <c r="K88" i="2"/>
  <c r="K90" i="2"/>
  <c r="K91" i="2"/>
  <c r="K92" i="2"/>
  <c r="K93" i="2"/>
  <c r="K94" i="2"/>
  <c r="K95" i="2"/>
  <c r="K97" i="2"/>
  <c r="K98" i="2"/>
  <c r="K99" i="2"/>
  <c r="K100" i="2"/>
  <c r="K101" i="2"/>
  <c r="K102" i="2"/>
  <c r="K104" i="2"/>
  <c r="K105" i="2"/>
  <c r="K106" i="2"/>
  <c r="K107" i="2"/>
  <c r="K108" i="2"/>
  <c r="K109" i="2"/>
  <c r="K111" i="2"/>
  <c r="K112" i="2"/>
  <c r="K113" i="2"/>
  <c r="K114" i="2"/>
  <c r="K115" i="2"/>
  <c r="K116" i="2"/>
  <c r="K118" i="2"/>
  <c r="K119" i="2"/>
  <c r="K120" i="2"/>
  <c r="K121" i="2"/>
  <c r="K122" i="2"/>
  <c r="K123" i="2"/>
  <c r="K125" i="2"/>
  <c r="K126" i="2"/>
  <c r="K127" i="2"/>
  <c r="K128" i="2"/>
  <c r="K129" i="2"/>
  <c r="K130" i="2"/>
  <c r="K132" i="2"/>
  <c r="K133" i="2"/>
  <c r="K134" i="2"/>
  <c r="K135" i="2"/>
  <c r="K136" i="2"/>
  <c r="K137" i="2"/>
  <c r="K139" i="2"/>
  <c r="K140" i="2"/>
  <c r="K141" i="2"/>
  <c r="K142" i="2"/>
  <c r="K143" i="2"/>
  <c r="K144" i="2"/>
  <c r="K146" i="2"/>
  <c r="K147" i="2"/>
  <c r="K148" i="2"/>
  <c r="K149" i="2"/>
  <c r="K150" i="2"/>
  <c r="K151" i="2"/>
  <c r="K3" i="2"/>
  <c r="J4" i="2"/>
  <c r="J5" i="2"/>
  <c r="K5" i="2" s="1"/>
  <c r="J3" i="2"/>
  <c r="K2" i="2" l="1"/>
  <c r="J2" i="2"/>
  <c r="G3" i="2"/>
  <c r="G4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G2" i="2"/>
  <c r="H2" i="2" s="1"/>
  <c r="C3" i="2" s="1"/>
  <c r="J7" i="1"/>
  <c r="K4" i="1"/>
  <c r="J4" i="1"/>
  <c r="G4" i="1"/>
  <c r="G5" i="1" s="1"/>
  <c r="G6" i="1"/>
  <c r="G7" i="1" s="1"/>
  <c r="G8" i="1" s="1"/>
  <c r="G9" i="1" s="1"/>
  <c r="G10" i="1" s="1"/>
  <c r="G11" i="1" s="1"/>
  <c r="G12" i="1" s="1"/>
  <c r="G13" i="1" s="1"/>
  <c r="G14" i="1"/>
  <c r="G15" i="1" s="1"/>
  <c r="G16" i="1" s="1"/>
  <c r="G17" i="1" s="1"/>
  <c r="G18" i="1" s="1"/>
  <c r="G19" i="1" s="1"/>
  <c r="G20" i="1"/>
  <c r="G21" i="1" s="1"/>
  <c r="G3" i="1"/>
  <c r="G2" i="1"/>
  <c r="H6" i="1"/>
  <c r="H10" i="1"/>
  <c r="H14" i="1"/>
  <c r="H18" i="1"/>
  <c r="H3" i="1"/>
  <c r="H4" i="1"/>
  <c r="H5" i="1"/>
  <c r="H7" i="1"/>
  <c r="H8" i="1"/>
  <c r="H9" i="1"/>
  <c r="H11" i="1"/>
  <c r="H12" i="1"/>
  <c r="H13" i="1"/>
  <c r="H15" i="1"/>
  <c r="H16" i="1"/>
  <c r="H17" i="1"/>
  <c r="H19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H2" i="1"/>
  <c r="C3" i="1" s="1"/>
  <c r="C4" i="1" s="1"/>
  <c r="J6" i="2" l="1"/>
  <c r="J7" i="2" s="1"/>
  <c r="J8" i="2" s="1"/>
  <c r="J9" i="2" s="1"/>
  <c r="J10" i="2" s="1"/>
  <c r="J11" i="2" s="1"/>
  <c r="J12" i="2" s="1"/>
  <c r="K12" i="2" s="1"/>
  <c r="G5" i="2"/>
  <c r="H4" i="2"/>
  <c r="H3" i="2"/>
  <c r="C4" i="2" s="1"/>
  <c r="C5" i="2" s="1"/>
  <c r="G22" i="1"/>
  <c r="H21" i="1"/>
  <c r="H20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H5" i="2" l="1"/>
  <c r="C6" i="2" s="1"/>
  <c r="G6" i="2"/>
  <c r="G23" i="1"/>
  <c r="H22" i="1"/>
  <c r="C23" i="1" s="1"/>
  <c r="H6" i="2" l="1"/>
  <c r="C7" i="2" s="1"/>
  <c r="G7" i="2"/>
  <c r="G24" i="1"/>
  <c r="H23" i="1"/>
  <c r="C24" i="1" s="1"/>
  <c r="G8" i="2" l="1"/>
  <c r="H7" i="2"/>
  <c r="C8" i="2" s="1"/>
  <c r="G25" i="1"/>
  <c r="H24" i="1"/>
  <c r="C25" i="1" s="1"/>
  <c r="G9" i="2" l="1"/>
  <c r="H9" i="2" s="1"/>
  <c r="H8" i="2"/>
  <c r="C9" i="2" s="1"/>
  <c r="G26" i="1"/>
  <c r="H25" i="1"/>
  <c r="C26" i="1" s="1"/>
  <c r="C10" i="2" l="1"/>
  <c r="G10" i="2"/>
  <c r="G27" i="1"/>
  <c r="H26" i="1"/>
  <c r="C27" i="1" s="1"/>
  <c r="H10" i="2" l="1"/>
  <c r="C11" i="2" s="1"/>
  <c r="G11" i="2"/>
  <c r="G28" i="1"/>
  <c r="H27" i="1"/>
  <c r="C28" i="1" s="1"/>
  <c r="G12" i="2" l="1"/>
  <c r="H11" i="2"/>
  <c r="C12" i="2" s="1"/>
  <c r="G29" i="1"/>
  <c r="H28" i="1"/>
  <c r="C29" i="1" s="1"/>
  <c r="G13" i="2" l="1"/>
  <c r="H12" i="2"/>
  <c r="C13" i="2" s="1"/>
  <c r="G30" i="1"/>
  <c r="H29" i="1"/>
  <c r="C30" i="1" s="1"/>
  <c r="H13" i="2" l="1"/>
  <c r="C14" i="2" s="1"/>
  <c r="G14" i="2"/>
  <c r="G31" i="1"/>
  <c r="H30" i="1"/>
  <c r="C31" i="1" s="1"/>
  <c r="G15" i="2" l="1"/>
  <c r="H14" i="2"/>
  <c r="C15" i="2" s="1"/>
  <c r="G32" i="1"/>
  <c r="H31" i="1"/>
  <c r="C32" i="1" s="1"/>
  <c r="G16" i="2" l="1"/>
  <c r="H15" i="2"/>
  <c r="C16" i="2" s="1"/>
  <c r="G33" i="1"/>
  <c r="H32" i="1"/>
  <c r="C33" i="1" s="1"/>
  <c r="G17" i="2" l="1"/>
  <c r="H16" i="2"/>
  <c r="C17" i="2" s="1"/>
  <c r="G34" i="1"/>
  <c r="H33" i="1"/>
  <c r="C34" i="1" s="1"/>
  <c r="H17" i="2" l="1"/>
  <c r="C18" i="2" s="1"/>
  <c r="G18" i="2"/>
  <c r="C35" i="1"/>
  <c r="G35" i="1"/>
  <c r="H34" i="1"/>
  <c r="G19" i="2" l="1"/>
  <c r="H18" i="2"/>
  <c r="C19" i="2" s="1"/>
  <c r="G36" i="1"/>
  <c r="H35" i="1"/>
  <c r="C36" i="1"/>
  <c r="G20" i="2" l="1"/>
  <c r="H19" i="2"/>
  <c r="C20" i="2" s="1"/>
  <c r="C37" i="1"/>
  <c r="G37" i="1"/>
  <c r="H36" i="1"/>
  <c r="G21" i="2" l="1"/>
  <c r="H20" i="2"/>
  <c r="C21" i="2" s="1"/>
  <c r="G38" i="1"/>
  <c r="H37" i="1"/>
  <c r="C38" i="1"/>
  <c r="H21" i="2" l="1"/>
  <c r="C22" i="2" s="1"/>
  <c r="G22" i="2"/>
  <c r="C39" i="1"/>
  <c r="G39" i="1"/>
  <c r="H38" i="1"/>
  <c r="H22" i="2" l="1"/>
  <c r="C23" i="2" s="1"/>
  <c r="G23" i="2"/>
  <c r="G40" i="1"/>
  <c r="H39" i="1"/>
  <c r="C40" i="1"/>
  <c r="G24" i="2" l="1"/>
  <c r="H23" i="2"/>
  <c r="C24" i="2"/>
  <c r="C41" i="1"/>
  <c r="G41" i="1"/>
  <c r="H40" i="1"/>
  <c r="H24" i="2" l="1"/>
  <c r="C25" i="2" s="1"/>
  <c r="G25" i="2"/>
  <c r="G42" i="1"/>
  <c r="H41" i="1"/>
  <c r="C42" i="1"/>
  <c r="H25" i="2" l="1"/>
  <c r="C26" i="2" s="1"/>
  <c r="G26" i="2"/>
  <c r="C43" i="1"/>
  <c r="G43" i="1"/>
  <c r="H42" i="1"/>
  <c r="H26" i="2" l="1"/>
  <c r="C27" i="2" s="1"/>
  <c r="G27" i="2"/>
  <c r="G44" i="1"/>
  <c r="H43" i="1"/>
  <c r="C44" i="1"/>
  <c r="G28" i="2" l="1"/>
  <c r="H27" i="2"/>
  <c r="C28" i="2" s="1"/>
  <c r="C45" i="1"/>
  <c r="G45" i="1"/>
  <c r="H44" i="1"/>
  <c r="H28" i="2" l="1"/>
  <c r="C29" i="2" s="1"/>
  <c r="G29" i="2"/>
  <c r="G46" i="1"/>
  <c r="H45" i="1"/>
  <c r="C46" i="1"/>
  <c r="H29" i="2" l="1"/>
  <c r="C30" i="2" s="1"/>
  <c r="G30" i="2"/>
  <c r="C47" i="1"/>
  <c r="G47" i="1"/>
  <c r="H46" i="1"/>
  <c r="H30" i="2" l="1"/>
  <c r="C31" i="2" s="1"/>
  <c r="G31" i="2"/>
  <c r="G48" i="1"/>
  <c r="H47" i="1"/>
  <c r="C48" i="1"/>
  <c r="H31" i="2" l="1"/>
  <c r="C32" i="2" s="1"/>
  <c r="G32" i="2"/>
  <c r="G49" i="1"/>
  <c r="H48" i="1"/>
  <c r="C49" i="1" s="1"/>
  <c r="H32" i="2" l="1"/>
  <c r="C33" i="2" s="1"/>
  <c r="G33" i="2"/>
  <c r="G50" i="1"/>
  <c r="H49" i="1"/>
  <c r="C50" i="1" s="1"/>
  <c r="H33" i="2" l="1"/>
  <c r="C34" i="2" s="1"/>
  <c r="G34" i="2"/>
  <c r="G51" i="1"/>
  <c r="H50" i="1"/>
  <c r="C51" i="1" s="1"/>
  <c r="H34" i="2" l="1"/>
  <c r="C35" i="2" s="1"/>
  <c r="G35" i="2"/>
  <c r="G52" i="1"/>
  <c r="H51" i="1"/>
  <c r="C52" i="1" s="1"/>
  <c r="H35" i="2" l="1"/>
  <c r="C36" i="2" s="1"/>
  <c r="G36" i="2"/>
  <c r="G53" i="1"/>
  <c r="H52" i="1"/>
  <c r="C53" i="1" s="1"/>
  <c r="H36" i="2" l="1"/>
  <c r="C37" i="2" s="1"/>
  <c r="G37" i="2"/>
  <c r="G54" i="1"/>
  <c r="H53" i="1"/>
  <c r="C54" i="1" s="1"/>
  <c r="H37" i="2" l="1"/>
  <c r="C38" i="2" s="1"/>
  <c r="G38" i="2"/>
  <c r="G55" i="1"/>
  <c r="H54" i="1"/>
  <c r="C55" i="1" s="1"/>
  <c r="H38" i="2" l="1"/>
  <c r="C39" i="2" s="1"/>
  <c r="G39" i="2"/>
  <c r="G56" i="1"/>
  <c r="H55" i="1"/>
  <c r="C56" i="1" s="1"/>
  <c r="H39" i="2" l="1"/>
  <c r="C40" i="2" s="1"/>
  <c r="G40" i="2"/>
  <c r="G57" i="1"/>
  <c r="H56" i="1"/>
  <c r="C57" i="1" s="1"/>
  <c r="H40" i="2" l="1"/>
  <c r="C41" i="2" s="1"/>
  <c r="G41" i="2"/>
  <c r="G58" i="1"/>
  <c r="H57" i="1"/>
  <c r="C58" i="1" s="1"/>
  <c r="H41" i="2" l="1"/>
  <c r="C42" i="2" s="1"/>
  <c r="G42" i="2"/>
  <c r="C59" i="1"/>
  <c r="G59" i="1"/>
  <c r="H58" i="1"/>
  <c r="H42" i="2" l="1"/>
  <c r="C43" i="2" s="1"/>
  <c r="G43" i="2"/>
  <c r="G60" i="1"/>
  <c r="H59" i="1"/>
  <c r="C60" i="1" s="1"/>
  <c r="H43" i="2" l="1"/>
  <c r="C44" i="2" s="1"/>
  <c r="G44" i="2"/>
  <c r="C61" i="1"/>
  <c r="G61" i="1"/>
  <c r="H60" i="1"/>
  <c r="H44" i="2" l="1"/>
  <c r="C45" i="2" s="1"/>
  <c r="G45" i="2"/>
  <c r="C62" i="1"/>
  <c r="G62" i="1"/>
  <c r="H61" i="1"/>
  <c r="H45" i="2" l="1"/>
  <c r="C46" i="2" s="1"/>
  <c r="G46" i="2"/>
  <c r="G63" i="1"/>
  <c r="H62" i="1"/>
  <c r="C63" i="1" s="1"/>
  <c r="G47" i="2" l="1"/>
  <c r="H46" i="2"/>
  <c r="C47" i="2" s="1"/>
  <c r="G64" i="1"/>
  <c r="H63" i="1"/>
  <c r="C64" i="1" s="1"/>
  <c r="G48" i="2" l="1"/>
  <c r="H47" i="2"/>
  <c r="C48" i="2" s="1"/>
  <c r="G65" i="1"/>
  <c r="H64" i="1"/>
  <c r="C65" i="1" s="1"/>
  <c r="G49" i="2" l="1"/>
  <c r="H48" i="2"/>
  <c r="C49" i="2" s="1"/>
  <c r="G66" i="1"/>
  <c r="H65" i="1"/>
  <c r="C66" i="1" s="1"/>
  <c r="G50" i="2" l="1"/>
  <c r="H49" i="2"/>
  <c r="C50" i="2" s="1"/>
  <c r="G67" i="1"/>
  <c r="H66" i="1"/>
  <c r="C67" i="1" s="1"/>
  <c r="G51" i="2" l="1"/>
  <c r="H50" i="2"/>
  <c r="C51" i="2" s="1"/>
  <c r="C68" i="1"/>
  <c r="G68" i="1"/>
  <c r="H67" i="1"/>
  <c r="G52" i="2" l="1"/>
  <c r="H51" i="2"/>
  <c r="C52" i="2" s="1"/>
  <c r="G69" i="1"/>
  <c r="H68" i="1"/>
  <c r="C69" i="1" s="1"/>
  <c r="G53" i="2" l="1"/>
  <c r="H52" i="2"/>
  <c r="C53" i="2" s="1"/>
  <c r="C70" i="1"/>
  <c r="G70" i="1"/>
  <c r="H69" i="1"/>
  <c r="G54" i="2" l="1"/>
  <c r="H53" i="2"/>
  <c r="C54" i="2" s="1"/>
  <c r="G71" i="1"/>
  <c r="H70" i="1"/>
  <c r="C71" i="1" s="1"/>
  <c r="G55" i="2" l="1"/>
  <c r="H54" i="2"/>
  <c r="C55" i="2" s="1"/>
  <c r="G72" i="1"/>
  <c r="H71" i="1"/>
  <c r="C72" i="1" s="1"/>
  <c r="G56" i="2" l="1"/>
  <c r="H55" i="2"/>
  <c r="C56" i="2" s="1"/>
  <c r="G73" i="1"/>
  <c r="H72" i="1"/>
  <c r="C73" i="1" s="1"/>
  <c r="G57" i="2" l="1"/>
  <c r="H56" i="2"/>
  <c r="C57" i="2" s="1"/>
  <c r="G74" i="1"/>
  <c r="H73" i="1"/>
  <c r="C74" i="1" s="1"/>
  <c r="G58" i="2" l="1"/>
  <c r="H57" i="2"/>
  <c r="C58" i="2" s="1"/>
  <c r="G75" i="1"/>
  <c r="H74" i="1"/>
  <c r="C75" i="1" s="1"/>
  <c r="G59" i="2" l="1"/>
  <c r="H58" i="2"/>
  <c r="C59" i="2" s="1"/>
  <c r="G76" i="1"/>
  <c r="H75" i="1"/>
  <c r="C76" i="1" s="1"/>
  <c r="G60" i="2" l="1"/>
  <c r="H59" i="2"/>
  <c r="C60" i="2" s="1"/>
  <c r="G77" i="1"/>
  <c r="H76" i="1"/>
  <c r="C77" i="1" s="1"/>
  <c r="G61" i="2" l="1"/>
  <c r="H60" i="2"/>
  <c r="C61" i="2" s="1"/>
  <c r="G78" i="1"/>
  <c r="H77" i="1"/>
  <c r="C78" i="1" s="1"/>
  <c r="G62" i="2" l="1"/>
  <c r="H61" i="2"/>
  <c r="C62" i="2" s="1"/>
  <c r="G79" i="1"/>
  <c r="H78" i="1"/>
  <c r="C79" i="1" s="1"/>
  <c r="G63" i="2" l="1"/>
  <c r="H62" i="2"/>
  <c r="C63" i="2" s="1"/>
  <c r="G80" i="1"/>
  <c r="H79" i="1"/>
  <c r="C80" i="1" s="1"/>
  <c r="H63" i="2" l="1"/>
  <c r="C64" i="2" s="1"/>
  <c r="G64" i="2"/>
  <c r="G81" i="1"/>
  <c r="H80" i="1"/>
  <c r="C81" i="1" s="1"/>
  <c r="G65" i="2" l="1"/>
  <c r="H64" i="2"/>
  <c r="C65" i="2" s="1"/>
  <c r="G82" i="1"/>
  <c r="H81" i="1"/>
  <c r="C82" i="1" s="1"/>
  <c r="G66" i="2" l="1"/>
  <c r="H65" i="2"/>
  <c r="C66" i="2" s="1"/>
  <c r="G83" i="1"/>
  <c r="H82" i="1"/>
  <c r="C83" i="1" s="1"/>
  <c r="G67" i="2" l="1"/>
  <c r="H66" i="2"/>
  <c r="C67" i="2" s="1"/>
  <c r="G84" i="1"/>
  <c r="H83" i="1"/>
  <c r="C84" i="1" s="1"/>
  <c r="G68" i="2" l="1"/>
  <c r="H67" i="2"/>
  <c r="C68" i="2" s="1"/>
  <c r="G85" i="1"/>
  <c r="H84" i="1"/>
  <c r="C85" i="1" s="1"/>
  <c r="G69" i="2" l="1"/>
  <c r="H68" i="2"/>
  <c r="C69" i="2" s="1"/>
  <c r="G86" i="1"/>
  <c r="H85" i="1"/>
  <c r="C86" i="1" s="1"/>
  <c r="G70" i="2" l="1"/>
  <c r="H69" i="2"/>
  <c r="C70" i="2" s="1"/>
  <c r="G87" i="1"/>
  <c r="H86" i="1"/>
  <c r="C87" i="1" s="1"/>
  <c r="G71" i="2" l="1"/>
  <c r="H70" i="2"/>
  <c r="C71" i="2" s="1"/>
  <c r="G88" i="1"/>
  <c r="H87" i="1"/>
  <c r="C88" i="1" s="1"/>
  <c r="G72" i="2" l="1"/>
  <c r="H71" i="2"/>
  <c r="C72" i="2" s="1"/>
  <c r="G89" i="1"/>
  <c r="H88" i="1"/>
  <c r="C89" i="1" s="1"/>
  <c r="G73" i="2" l="1"/>
  <c r="H72" i="2"/>
  <c r="C73" i="2" s="1"/>
  <c r="G90" i="1"/>
  <c r="H89" i="1"/>
  <c r="C90" i="1" s="1"/>
  <c r="G74" i="2" l="1"/>
  <c r="H73" i="2"/>
  <c r="G91" i="1"/>
  <c r="H90" i="1"/>
  <c r="C91" i="1" s="1"/>
  <c r="C74" i="2" l="1"/>
  <c r="G75" i="2"/>
  <c r="H74" i="2"/>
  <c r="C75" i="2" s="1"/>
  <c r="G92" i="1"/>
  <c r="H91" i="1"/>
  <c r="C92" i="1" s="1"/>
  <c r="G76" i="2" l="1"/>
  <c r="H75" i="2"/>
  <c r="C76" i="2" s="1"/>
  <c r="G93" i="1"/>
  <c r="H92" i="1"/>
  <c r="C93" i="1" s="1"/>
  <c r="G77" i="2" l="1"/>
  <c r="H76" i="2"/>
  <c r="C77" i="2" s="1"/>
  <c r="G94" i="1"/>
  <c r="H93" i="1"/>
  <c r="C94" i="1" s="1"/>
  <c r="G78" i="2" l="1"/>
  <c r="H77" i="2"/>
  <c r="C78" i="2" s="1"/>
  <c r="G95" i="1"/>
  <c r="H94" i="1"/>
  <c r="C95" i="1" s="1"/>
  <c r="G79" i="2" l="1"/>
  <c r="H78" i="2"/>
  <c r="C79" i="2" s="1"/>
  <c r="G96" i="1"/>
  <c r="H95" i="1"/>
  <c r="C96" i="1" s="1"/>
  <c r="G80" i="2" l="1"/>
  <c r="H79" i="2"/>
  <c r="C80" i="2" s="1"/>
  <c r="G97" i="1"/>
  <c r="H96" i="1"/>
  <c r="C97" i="1" s="1"/>
  <c r="G81" i="2" l="1"/>
  <c r="H80" i="2"/>
  <c r="C81" i="2" s="1"/>
  <c r="G98" i="1"/>
  <c r="H97" i="1"/>
  <c r="C98" i="1" s="1"/>
  <c r="G82" i="2" l="1"/>
  <c r="H81" i="2"/>
  <c r="C82" i="2" s="1"/>
  <c r="G99" i="1"/>
  <c r="H98" i="1"/>
  <c r="C99" i="1" s="1"/>
  <c r="G83" i="2" l="1"/>
  <c r="H82" i="2"/>
  <c r="C83" i="2" s="1"/>
  <c r="G100" i="1"/>
  <c r="H99" i="1"/>
  <c r="C100" i="1" s="1"/>
  <c r="G84" i="2" l="1"/>
  <c r="H83" i="2"/>
  <c r="C84" i="2" s="1"/>
  <c r="G101" i="1"/>
  <c r="H100" i="1"/>
  <c r="C101" i="1" s="1"/>
  <c r="G85" i="2" l="1"/>
  <c r="H84" i="2"/>
  <c r="C85" i="2" s="1"/>
  <c r="G102" i="1"/>
  <c r="H101" i="1"/>
  <c r="C102" i="1" s="1"/>
  <c r="G86" i="2" l="1"/>
  <c r="H85" i="2"/>
  <c r="C86" i="2" s="1"/>
  <c r="G103" i="1"/>
  <c r="H102" i="1"/>
  <c r="C103" i="1" s="1"/>
  <c r="G87" i="2" l="1"/>
  <c r="H86" i="2"/>
  <c r="C87" i="2" s="1"/>
  <c r="G104" i="1"/>
  <c r="H103" i="1"/>
  <c r="C104" i="1" s="1"/>
  <c r="G88" i="2" l="1"/>
  <c r="H87" i="2"/>
  <c r="C88" i="2" s="1"/>
  <c r="G105" i="1"/>
  <c r="H104" i="1"/>
  <c r="C105" i="1" s="1"/>
  <c r="G89" i="2" l="1"/>
  <c r="H88" i="2"/>
  <c r="C89" i="2" s="1"/>
  <c r="G106" i="1"/>
  <c r="H105" i="1"/>
  <c r="C106" i="1" s="1"/>
  <c r="G90" i="2" l="1"/>
  <c r="H89" i="2"/>
  <c r="C90" i="2" s="1"/>
  <c r="G107" i="1"/>
  <c r="H106" i="1"/>
  <c r="C107" i="1" s="1"/>
  <c r="G91" i="2" l="1"/>
  <c r="H90" i="2"/>
  <c r="C91" i="2" s="1"/>
  <c r="G108" i="1"/>
  <c r="H107" i="1"/>
  <c r="C108" i="1" s="1"/>
  <c r="G92" i="2" l="1"/>
  <c r="H91" i="2"/>
  <c r="C92" i="2" s="1"/>
  <c r="G109" i="1"/>
  <c r="H108" i="1"/>
  <c r="C109" i="1" s="1"/>
  <c r="G93" i="2" l="1"/>
  <c r="H92" i="2"/>
  <c r="C93" i="2" s="1"/>
  <c r="G110" i="1"/>
  <c r="H109" i="1"/>
  <c r="C110" i="1" s="1"/>
  <c r="G94" i="2" l="1"/>
  <c r="H93" i="2"/>
  <c r="C94" i="2" s="1"/>
  <c r="G111" i="1"/>
  <c r="H110" i="1"/>
  <c r="C111" i="1" s="1"/>
  <c r="G95" i="2" l="1"/>
  <c r="H94" i="2"/>
  <c r="C95" i="2" s="1"/>
  <c r="G112" i="1"/>
  <c r="H111" i="1"/>
  <c r="C112" i="1" s="1"/>
  <c r="G96" i="2" l="1"/>
  <c r="H95" i="2"/>
  <c r="C96" i="2" s="1"/>
  <c r="G113" i="1"/>
  <c r="H112" i="1"/>
  <c r="C113" i="1" s="1"/>
  <c r="G97" i="2" l="1"/>
  <c r="H96" i="2"/>
  <c r="C97" i="2" s="1"/>
  <c r="G114" i="1"/>
  <c r="H113" i="1"/>
  <c r="C114" i="1" s="1"/>
  <c r="G98" i="2" l="1"/>
  <c r="H97" i="2"/>
  <c r="C98" i="2" s="1"/>
  <c r="G115" i="1"/>
  <c r="H114" i="1"/>
  <c r="C115" i="1" s="1"/>
  <c r="G99" i="2" l="1"/>
  <c r="H98" i="2"/>
  <c r="C99" i="2" s="1"/>
  <c r="G116" i="1"/>
  <c r="H115" i="1"/>
  <c r="C116" i="1" s="1"/>
  <c r="G100" i="2" l="1"/>
  <c r="H99" i="2"/>
  <c r="C100" i="2" s="1"/>
  <c r="G117" i="1"/>
  <c r="H116" i="1"/>
  <c r="C117" i="1" s="1"/>
  <c r="G101" i="2" l="1"/>
  <c r="H100" i="2"/>
  <c r="C101" i="2" s="1"/>
  <c r="G118" i="1"/>
  <c r="H117" i="1"/>
  <c r="C118" i="1" s="1"/>
  <c r="G102" i="2" l="1"/>
  <c r="H101" i="2"/>
  <c r="C102" i="2" s="1"/>
  <c r="G119" i="1"/>
  <c r="H118" i="1"/>
  <c r="C119" i="1" s="1"/>
  <c r="G103" i="2" l="1"/>
  <c r="H102" i="2"/>
  <c r="C103" i="2" s="1"/>
  <c r="G120" i="1"/>
  <c r="H119" i="1"/>
  <c r="C120" i="1" s="1"/>
  <c r="G104" i="2" l="1"/>
  <c r="H103" i="2"/>
  <c r="C104" i="2" s="1"/>
  <c r="G121" i="1"/>
  <c r="H120" i="1"/>
  <c r="C121" i="1" s="1"/>
  <c r="G105" i="2" l="1"/>
  <c r="H104" i="2"/>
  <c r="C105" i="2" s="1"/>
  <c r="G122" i="1"/>
  <c r="H121" i="1"/>
  <c r="C122" i="1" s="1"/>
  <c r="G106" i="2" l="1"/>
  <c r="H105" i="2"/>
  <c r="C106" i="2" s="1"/>
  <c r="G123" i="1"/>
  <c r="H122" i="1"/>
  <c r="C123" i="1" s="1"/>
  <c r="G107" i="2" l="1"/>
  <c r="H106" i="2"/>
  <c r="C107" i="2" s="1"/>
  <c r="G124" i="1"/>
  <c r="H123" i="1"/>
  <c r="C124" i="1" s="1"/>
  <c r="G108" i="2" l="1"/>
  <c r="H107" i="2"/>
  <c r="C108" i="2" s="1"/>
  <c r="G125" i="1"/>
  <c r="H124" i="1"/>
  <c r="C125" i="1" s="1"/>
  <c r="G109" i="2" l="1"/>
  <c r="H108" i="2"/>
  <c r="C109" i="2" s="1"/>
  <c r="G126" i="1"/>
  <c r="H125" i="1"/>
  <c r="C126" i="1" s="1"/>
  <c r="G110" i="2" l="1"/>
  <c r="H109" i="2"/>
  <c r="C110" i="2" s="1"/>
  <c r="G127" i="1"/>
  <c r="H126" i="1"/>
  <c r="C127" i="1" s="1"/>
  <c r="G111" i="2" l="1"/>
  <c r="H110" i="2"/>
  <c r="C111" i="2" s="1"/>
  <c r="G128" i="1"/>
  <c r="H127" i="1"/>
  <c r="C128" i="1" s="1"/>
  <c r="G112" i="2" l="1"/>
  <c r="H111" i="2"/>
  <c r="C112" i="2" s="1"/>
  <c r="G129" i="1"/>
  <c r="H128" i="1"/>
  <c r="C129" i="1" s="1"/>
  <c r="G113" i="2" l="1"/>
  <c r="H112" i="2"/>
  <c r="C113" i="2" s="1"/>
  <c r="G130" i="1"/>
  <c r="H129" i="1"/>
  <c r="C130" i="1" s="1"/>
  <c r="G114" i="2" l="1"/>
  <c r="H113" i="2"/>
  <c r="C114" i="2" s="1"/>
  <c r="G131" i="1"/>
  <c r="H130" i="1"/>
  <c r="C131" i="1" s="1"/>
  <c r="G115" i="2" l="1"/>
  <c r="H114" i="2"/>
  <c r="C115" i="2" s="1"/>
  <c r="G132" i="1"/>
  <c r="H131" i="1"/>
  <c r="C132" i="1" s="1"/>
  <c r="G116" i="2" l="1"/>
  <c r="H115" i="2"/>
  <c r="C116" i="2" s="1"/>
  <c r="G133" i="1"/>
  <c r="H132" i="1"/>
  <c r="C133" i="1" s="1"/>
  <c r="G117" i="2" l="1"/>
  <c r="H116" i="2"/>
  <c r="C117" i="2" s="1"/>
  <c r="H133" i="1"/>
  <c r="C134" i="1" s="1"/>
  <c r="G134" i="1"/>
  <c r="G118" i="2" l="1"/>
  <c r="H117" i="2"/>
  <c r="C118" i="2" s="1"/>
  <c r="G135" i="1"/>
  <c r="H134" i="1"/>
  <c r="C135" i="1" s="1"/>
  <c r="G119" i="2" l="1"/>
  <c r="H118" i="2"/>
  <c r="C119" i="2" s="1"/>
  <c r="G136" i="1"/>
  <c r="H135" i="1"/>
  <c r="C136" i="1" s="1"/>
  <c r="G120" i="2" l="1"/>
  <c r="H119" i="2"/>
  <c r="C120" i="2" s="1"/>
  <c r="G137" i="1"/>
  <c r="H136" i="1"/>
  <c r="C137" i="1" s="1"/>
  <c r="G121" i="2" l="1"/>
  <c r="H120" i="2"/>
  <c r="C121" i="2" s="1"/>
  <c r="G138" i="1"/>
  <c r="H137" i="1"/>
  <c r="C138" i="1" s="1"/>
  <c r="G122" i="2" l="1"/>
  <c r="H121" i="2"/>
  <c r="C122" i="2" s="1"/>
  <c r="G139" i="1"/>
  <c r="H138" i="1"/>
  <c r="C139" i="1" s="1"/>
  <c r="G123" i="2" l="1"/>
  <c r="H122" i="2"/>
  <c r="C123" i="2" s="1"/>
  <c r="G140" i="1"/>
  <c r="H139" i="1"/>
  <c r="C140" i="1" s="1"/>
  <c r="G124" i="2" l="1"/>
  <c r="H123" i="2"/>
  <c r="C124" i="2" s="1"/>
  <c r="G141" i="1"/>
  <c r="H140" i="1"/>
  <c r="C141" i="1" s="1"/>
  <c r="G125" i="2" l="1"/>
  <c r="H124" i="2"/>
  <c r="C125" i="2" s="1"/>
  <c r="G142" i="1"/>
  <c r="H141" i="1"/>
  <c r="C142" i="1" s="1"/>
  <c r="G126" i="2" l="1"/>
  <c r="H125" i="2"/>
  <c r="C126" i="2" s="1"/>
  <c r="G143" i="1"/>
  <c r="H142" i="1"/>
  <c r="C143" i="1" s="1"/>
  <c r="G127" i="2" l="1"/>
  <c r="H126" i="2"/>
  <c r="C127" i="2" s="1"/>
  <c r="G144" i="1"/>
  <c r="H143" i="1"/>
  <c r="C144" i="1" s="1"/>
  <c r="G128" i="2" l="1"/>
  <c r="H127" i="2"/>
  <c r="C128" i="2" s="1"/>
  <c r="G145" i="1"/>
  <c r="H144" i="1"/>
  <c r="C145" i="1" s="1"/>
  <c r="G129" i="2" l="1"/>
  <c r="H128" i="2"/>
  <c r="C129" i="2" s="1"/>
  <c r="G146" i="1"/>
  <c r="H145" i="1"/>
  <c r="C146" i="1" s="1"/>
  <c r="G130" i="2" l="1"/>
  <c r="H129" i="2"/>
  <c r="C130" i="2" s="1"/>
  <c r="G147" i="1"/>
  <c r="H146" i="1"/>
  <c r="C147" i="1" s="1"/>
  <c r="G131" i="2" l="1"/>
  <c r="H130" i="2"/>
  <c r="C131" i="2" s="1"/>
  <c r="G148" i="1"/>
  <c r="H147" i="1"/>
  <c r="C148" i="1" s="1"/>
  <c r="G132" i="2" l="1"/>
  <c r="H131" i="2"/>
  <c r="C132" i="2" s="1"/>
  <c r="G149" i="1"/>
  <c r="H148" i="1"/>
  <c r="C149" i="1" s="1"/>
  <c r="G133" i="2" l="1"/>
  <c r="H132" i="2"/>
  <c r="C133" i="2" s="1"/>
  <c r="G150" i="1"/>
  <c r="H149" i="1"/>
  <c r="C150" i="1" s="1"/>
  <c r="G134" i="2" l="1"/>
  <c r="H133" i="2"/>
  <c r="C134" i="2" s="1"/>
  <c r="G151" i="1"/>
  <c r="H150" i="1"/>
  <c r="C151" i="1" s="1"/>
  <c r="G135" i="2" l="1"/>
  <c r="H134" i="2"/>
  <c r="C135" i="2" s="1"/>
  <c r="H151" i="1"/>
  <c r="G136" i="2" l="1"/>
  <c r="H135" i="2"/>
  <c r="C136" i="2" s="1"/>
  <c r="G137" i="2" l="1"/>
  <c r="H136" i="2"/>
  <c r="C137" i="2" s="1"/>
  <c r="G138" i="2" l="1"/>
  <c r="H137" i="2"/>
  <c r="C138" i="2" s="1"/>
  <c r="G139" i="2" l="1"/>
  <c r="H138" i="2"/>
  <c r="C139" i="2" s="1"/>
  <c r="G140" i="2" l="1"/>
  <c r="H139" i="2"/>
  <c r="C140" i="2" s="1"/>
  <c r="G141" i="2" l="1"/>
  <c r="H140" i="2"/>
  <c r="C141" i="2" s="1"/>
  <c r="G142" i="2" l="1"/>
  <c r="H141" i="2"/>
  <c r="C142" i="2" s="1"/>
  <c r="G143" i="2" l="1"/>
  <c r="H142" i="2"/>
  <c r="C143" i="2" s="1"/>
  <c r="G144" i="2" l="1"/>
  <c r="H143" i="2"/>
  <c r="C144" i="2" s="1"/>
  <c r="G145" i="2" l="1"/>
  <c r="H144" i="2"/>
  <c r="C145" i="2" s="1"/>
  <c r="G146" i="2" l="1"/>
  <c r="H145" i="2"/>
  <c r="C146" i="2" s="1"/>
  <c r="G147" i="2" l="1"/>
  <c r="H146" i="2"/>
  <c r="C147" i="2" s="1"/>
  <c r="G148" i="2" l="1"/>
  <c r="H147" i="2"/>
  <c r="C148" i="2" s="1"/>
  <c r="G149" i="2" l="1"/>
  <c r="H148" i="2"/>
  <c r="C149" i="2" s="1"/>
  <c r="G150" i="2" l="1"/>
  <c r="H149" i="2"/>
  <c r="C150" i="2" s="1"/>
  <c r="G151" i="2" l="1"/>
  <c r="H151" i="2" s="1"/>
  <c r="H150" i="2"/>
  <c r="C151" i="2" s="1"/>
  <c r="J13" i="2" l="1"/>
  <c r="J14" i="2" s="1"/>
  <c r="J15" i="2" s="1"/>
  <c r="J16" i="2" s="1"/>
  <c r="J17" i="2" s="1"/>
  <c r="J18" i="2" s="1"/>
  <c r="J19" i="2" s="1"/>
  <c r="K19" i="2" s="1"/>
  <c r="J20" i="2" l="1"/>
  <c r="J21" i="2" s="1"/>
  <c r="J22" i="2" s="1"/>
  <c r="J23" i="2" s="1"/>
  <c r="J24" i="2" s="1"/>
  <c r="J25" i="2" s="1"/>
  <c r="J26" i="2" s="1"/>
  <c r="K26" i="2" s="1"/>
  <c r="J27" i="2" l="1"/>
  <c r="J28" i="2" s="1"/>
  <c r="J29" i="2" s="1"/>
  <c r="J30" i="2" s="1"/>
  <c r="J31" i="2" s="1"/>
  <c r="J32" i="2" s="1"/>
  <c r="J33" i="2" s="1"/>
  <c r="K33" i="2" s="1"/>
  <c r="J34" i="2" l="1"/>
  <c r="J35" i="2" s="1"/>
  <c r="J36" i="2" s="1"/>
  <c r="J37" i="2" s="1"/>
  <c r="J38" i="2" s="1"/>
  <c r="J39" i="2" s="1"/>
  <c r="J40" i="2" s="1"/>
  <c r="K40" i="2" s="1"/>
  <c r="J41" i="2" l="1"/>
  <c r="J42" i="2" s="1"/>
  <c r="J43" i="2" s="1"/>
  <c r="J44" i="2" s="1"/>
  <c r="J45" i="2" s="1"/>
  <c r="J46" i="2" s="1"/>
  <c r="J47" i="2" s="1"/>
  <c r="K47" i="2" s="1"/>
  <c r="J48" i="2" l="1"/>
  <c r="J49" i="2" s="1"/>
  <c r="J50" i="2" s="1"/>
  <c r="J51" i="2" s="1"/>
  <c r="J52" i="2" s="1"/>
  <c r="J53" i="2" s="1"/>
  <c r="J54" i="2" s="1"/>
  <c r="K54" i="2" s="1"/>
  <c r="J55" i="2" l="1"/>
  <c r="J56" i="2" s="1"/>
  <c r="J57" i="2" s="1"/>
  <c r="J58" i="2" s="1"/>
  <c r="J59" i="2" s="1"/>
  <c r="J60" i="2" s="1"/>
  <c r="J61" i="2" s="1"/>
  <c r="K61" i="2" s="1"/>
  <c r="J62" i="2" l="1"/>
  <c r="J63" i="2" s="1"/>
  <c r="J64" i="2" s="1"/>
  <c r="J65" i="2" s="1"/>
  <c r="J66" i="2" s="1"/>
  <c r="J67" i="2" s="1"/>
  <c r="J68" i="2" s="1"/>
  <c r="K68" i="2" s="1"/>
  <c r="J69" i="2" l="1"/>
  <c r="J70" i="2" s="1"/>
  <c r="J71" i="2" s="1"/>
  <c r="J72" i="2" s="1"/>
  <c r="J73" i="2" s="1"/>
  <c r="J74" i="2" s="1"/>
  <c r="J75" i="2" s="1"/>
  <c r="K75" i="2" s="1"/>
  <c r="J76" i="2" l="1"/>
  <c r="J77" i="2" s="1"/>
  <c r="J78" i="2" s="1"/>
  <c r="J79" i="2" s="1"/>
  <c r="J80" i="2" s="1"/>
  <c r="J81" i="2" s="1"/>
  <c r="J82" i="2" s="1"/>
  <c r="K82" i="2" s="1"/>
  <c r="J83" i="2" l="1"/>
  <c r="J84" i="2" s="1"/>
  <c r="J85" i="2" s="1"/>
  <c r="J86" i="2" s="1"/>
  <c r="J87" i="2" s="1"/>
  <c r="J88" i="2" s="1"/>
  <c r="J89" i="2" s="1"/>
  <c r="K89" i="2" s="1"/>
  <c r="J90" i="2" l="1"/>
  <c r="J91" i="2" s="1"/>
  <c r="J92" i="2" s="1"/>
  <c r="J93" i="2" s="1"/>
  <c r="J94" i="2" s="1"/>
  <c r="J95" i="2" s="1"/>
  <c r="J96" i="2" s="1"/>
  <c r="K96" i="2" s="1"/>
  <c r="J97" i="2" l="1"/>
  <c r="J98" i="2" s="1"/>
  <c r="J99" i="2" s="1"/>
  <c r="J100" i="2" s="1"/>
  <c r="J101" i="2" s="1"/>
  <c r="J102" i="2" s="1"/>
  <c r="J103" i="2" s="1"/>
  <c r="K103" i="2" s="1"/>
  <c r="J104" i="2" l="1"/>
  <c r="J105" i="2" s="1"/>
  <c r="J106" i="2" s="1"/>
  <c r="J107" i="2" s="1"/>
  <c r="J108" i="2" s="1"/>
  <c r="J109" i="2" s="1"/>
  <c r="J110" i="2" s="1"/>
  <c r="K110" i="2" s="1"/>
  <c r="J111" i="2" l="1"/>
  <c r="J112" i="2" s="1"/>
  <c r="J113" i="2" s="1"/>
  <c r="J114" i="2" s="1"/>
  <c r="J115" i="2" s="1"/>
  <c r="J116" i="2" s="1"/>
  <c r="J117" i="2" s="1"/>
  <c r="K117" i="2" s="1"/>
  <c r="J118" i="2" l="1"/>
  <c r="J119" i="2" s="1"/>
  <c r="J120" i="2" s="1"/>
  <c r="J121" i="2" s="1"/>
  <c r="J122" i="2" s="1"/>
  <c r="J123" i="2" s="1"/>
  <c r="J124" i="2" s="1"/>
  <c r="K124" i="2" s="1"/>
  <c r="J125" i="2" l="1"/>
  <c r="J126" i="2" s="1"/>
  <c r="J127" i="2" s="1"/>
  <c r="J128" i="2" s="1"/>
  <c r="J129" i="2" s="1"/>
  <c r="J130" i="2" s="1"/>
  <c r="J131" i="2" s="1"/>
  <c r="K131" i="2" s="1"/>
  <c r="J132" i="2" l="1"/>
  <c r="J133" i="2" s="1"/>
  <c r="J134" i="2" s="1"/>
  <c r="J135" i="2" s="1"/>
  <c r="J136" i="2" s="1"/>
  <c r="J137" i="2" s="1"/>
  <c r="J138" i="2" s="1"/>
  <c r="K138" i="2" s="1"/>
  <c r="J139" i="2" l="1"/>
  <c r="J140" i="2" s="1"/>
  <c r="J141" i="2" s="1"/>
  <c r="J142" i="2" s="1"/>
  <c r="J143" i="2" s="1"/>
  <c r="J144" i="2" s="1"/>
  <c r="J145" i="2" s="1"/>
  <c r="K145" i="2" s="1"/>
  <c r="M3" i="2" l="1"/>
  <c r="J146" i="2" l="1"/>
  <c r="J147" i="2" s="1"/>
  <c r="J148" i="2" s="1"/>
  <c r="J149" i="2" s="1"/>
  <c r="J150" i="2" s="1"/>
  <c r="J151" i="2" s="1"/>
</calcChain>
</file>

<file path=xl/sharedStrings.xml><?xml version="1.0" encoding="utf-8"?>
<sst xmlns="http://schemas.openxmlformats.org/spreadsheetml/2006/main" count="26" uniqueCount="16">
  <si>
    <t>Nr dnia</t>
  </si>
  <si>
    <t>Data</t>
  </si>
  <si>
    <t>X</t>
  </si>
  <si>
    <t>Y</t>
  </si>
  <si>
    <t>Na północ</t>
  </si>
  <si>
    <t>Na wschód</t>
  </si>
  <si>
    <t>Zebrane dublony</t>
  </si>
  <si>
    <t>Łącznie na północ</t>
  </si>
  <si>
    <t>Łączne dublony</t>
  </si>
  <si>
    <t>Wyspa</t>
  </si>
  <si>
    <t>Odległość od rzeki</t>
  </si>
  <si>
    <t>Podpunkt 3</t>
  </si>
  <si>
    <t>Podpunkt 4</t>
  </si>
  <si>
    <t>Podpunkt 5</t>
  </si>
  <si>
    <t>Podpunkt 1</t>
  </si>
  <si>
    <t>Podpunkt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</si>
</sst>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'3, 4 i 5'!$I$1</c:f>
              <c:strCache>
                <c:ptCount val="1"/>
                <c:pt idx="0">
                  <c:v>Odległość od rzeki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'3, 4 i 5'!$I$2:$I$151</c:f>
              <c:numCache>
                <c:formatCode>General</c:formatCode>
                <c:ptCount val="15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4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4</c:v>
                </c:pt>
                <c:pt idx="132">
                  <c:v>5</c:v>
                </c:pt>
                <c:pt idx="133">
                  <c:v>6</c:v>
                </c:pt>
                <c:pt idx="134">
                  <c:v>7</c:v>
                </c:pt>
                <c:pt idx="135">
                  <c:v>8</c:v>
                </c:pt>
                <c:pt idx="136">
                  <c:v>9</c:v>
                </c:pt>
                <c:pt idx="137">
                  <c:v>10</c:v>
                </c:pt>
                <c:pt idx="138">
                  <c:v>11</c:v>
                </c:pt>
                <c:pt idx="139">
                  <c:v>12</c:v>
                </c:pt>
                <c:pt idx="140">
                  <c:v>13</c:v>
                </c:pt>
                <c:pt idx="141">
                  <c:v>14</c:v>
                </c:pt>
                <c:pt idx="142">
                  <c:v>15</c:v>
                </c:pt>
                <c:pt idx="143">
                  <c:v>16</c:v>
                </c:pt>
                <c:pt idx="144">
                  <c:v>17</c:v>
                </c:pt>
                <c:pt idx="145">
                  <c:v>18</c:v>
                </c:pt>
                <c:pt idx="146">
                  <c:v>19</c:v>
                </c:pt>
                <c:pt idx="147">
                  <c:v>20</c:v>
                </c:pt>
                <c:pt idx="148">
                  <c:v>21</c:v>
                </c:pt>
                <c:pt idx="14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0-4AF8-8A72-F0DD846F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42584"/>
        <c:axId val="494344880"/>
      </c:barChart>
      <c:catAx>
        <c:axId val="494342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4344880"/>
        <c:crosses val="autoZero"/>
        <c:auto val="1"/>
        <c:lblAlgn val="ctr"/>
        <c:lblOffset val="100"/>
        <c:noMultiLvlLbl val="0"/>
      </c:catAx>
      <c:valAx>
        <c:axId val="4943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434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10</xdr:row>
      <xdr:rowOff>19050</xdr:rowOff>
    </xdr:from>
    <xdr:to>
      <xdr:col>21</xdr:col>
      <xdr:colOff>257175</xdr:colOff>
      <xdr:row>28</xdr:row>
      <xdr:rowOff>9525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D4970BE-3EA1-4656-B1FC-90AE36112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1"/>
  <sheetViews>
    <sheetView workbookViewId="0">
      <selection activeCell="J7" sqref="J2:K7"/>
    </sheetView>
  </sheetViews>
  <sheetFormatPr defaultRowHeight="15" x14ac:dyDescent="0.25"/>
  <cols>
    <col min="2" max="2" width="13.140625" customWidth="1"/>
    <col min="5" max="5" width="12.85546875" customWidth="1"/>
    <col min="6" max="6" width="15" customWidth="1"/>
    <col min="7" max="7" width="17.5703125" customWidth="1"/>
    <col min="8" max="8" width="22.42578125" customWidth="1"/>
    <col min="9" max="9" width="19.5703125" customWidth="1"/>
    <col min="10" max="10" width="11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7</v>
      </c>
      <c r="H1" t="s">
        <v>6</v>
      </c>
    </row>
    <row r="2" spans="1:11" x14ac:dyDescent="0.25">
      <c r="A2">
        <v>1</v>
      </c>
      <c r="B2" s="1">
        <v>1005</v>
      </c>
      <c r="C2">
        <v>0</v>
      </c>
      <c r="D2">
        <v>0</v>
      </c>
      <c r="E2">
        <v>11</v>
      </c>
      <c r="F2">
        <v>8</v>
      </c>
      <c r="G2">
        <f>F2</f>
        <v>8</v>
      </c>
      <c r="H2">
        <f>IF(DAY($B2) = 3,LEN($G2)+2,LEN($G2))</f>
        <v>1</v>
      </c>
      <c r="J2" t="s">
        <v>14</v>
      </c>
    </row>
    <row r="3" spans="1:11" x14ac:dyDescent="0.25">
      <c r="A3">
        <v>2</v>
      </c>
      <c r="B3" s="1">
        <v>1006</v>
      </c>
      <c r="C3">
        <f>C2+E2-H2</f>
        <v>10</v>
      </c>
      <c r="D3">
        <f>D2+F2</f>
        <v>8</v>
      </c>
      <c r="E3">
        <v>11</v>
      </c>
      <c r="F3">
        <v>8</v>
      </c>
      <c r="G3">
        <f>G2+F3</f>
        <v>16</v>
      </c>
      <c r="H3">
        <f>IF(DAY($B3) = 3,LEN($G3)+2,LEN($G3))</f>
        <v>2</v>
      </c>
      <c r="J3" t="s">
        <v>2</v>
      </c>
      <c r="K3" t="s">
        <v>3</v>
      </c>
    </row>
    <row r="4" spans="1:11" x14ac:dyDescent="0.25">
      <c r="A4">
        <v>3</v>
      </c>
      <c r="B4" s="1">
        <v>1007</v>
      </c>
      <c r="C4">
        <f>C3+E3-H3</f>
        <v>19</v>
      </c>
      <c r="D4">
        <f>D3+F3</f>
        <v>16</v>
      </c>
      <c r="E4">
        <v>11</v>
      </c>
      <c r="F4">
        <v>8</v>
      </c>
      <c r="G4">
        <f t="shared" ref="G4:G67" si="0">G3+F4</f>
        <v>24</v>
      </c>
      <c r="H4">
        <f>IF(DAY($B4) = 3,LEN($G4)+2,LEN($G4))</f>
        <v>4</v>
      </c>
      <c r="J4" s="2">
        <f>$C$87</f>
        <v>687</v>
      </c>
      <c r="K4">
        <f>$D$87</f>
        <v>680</v>
      </c>
    </row>
    <row r="5" spans="1:11" x14ac:dyDescent="0.25">
      <c r="A5">
        <v>4</v>
      </c>
      <c r="B5" s="1">
        <v>1008</v>
      </c>
      <c r="C5">
        <f>C4+E4-H4</f>
        <v>26</v>
      </c>
      <c r="D5">
        <f>D4+F4</f>
        <v>24</v>
      </c>
      <c r="E5">
        <v>11</v>
      </c>
      <c r="F5">
        <v>8</v>
      </c>
      <c r="G5">
        <f t="shared" si="0"/>
        <v>32</v>
      </c>
      <c r="H5">
        <f>IF(DAY($B5) = 3,LEN($G5)+2,LEN($G5))</f>
        <v>2</v>
      </c>
    </row>
    <row r="6" spans="1:11" x14ac:dyDescent="0.25">
      <c r="A6">
        <v>5</v>
      </c>
      <c r="B6" s="1">
        <v>1009</v>
      </c>
      <c r="C6">
        <f>C5+E5-H5</f>
        <v>35</v>
      </c>
      <c r="D6">
        <f>D5+F5</f>
        <v>32</v>
      </c>
      <c r="E6">
        <v>11</v>
      </c>
      <c r="F6">
        <v>8</v>
      </c>
      <c r="G6">
        <f t="shared" si="0"/>
        <v>40</v>
      </c>
      <c r="H6">
        <f>IF(DAY($B6) = 3,LEN($G6)+2,LEN($G6))</f>
        <v>2</v>
      </c>
      <c r="J6" t="s">
        <v>15</v>
      </c>
    </row>
    <row r="7" spans="1:11" x14ac:dyDescent="0.25">
      <c r="A7">
        <v>6</v>
      </c>
      <c r="B7" s="1">
        <v>1010</v>
      </c>
      <c r="C7">
        <f>C6+E6-H6</f>
        <v>44</v>
      </c>
      <c r="D7">
        <f>D6+F6</f>
        <v>40</v>
      </c>
      <c r="E7">
        <v>11</v>
      </c>
      <c r="F7">
        <v>8</v>
      </c>
      <c r="G7">
        <f t="shared" si="0"/>
        <v>48</v>
      </c>
      <c r="H7">
        <f>IF(DAY($B7) = 3,LEN($G7)+2,LEN($G7))</f>
        <v>2</v>
      </c>
      <c r="J7">
        <f>SUM($E$2:$E$151)+SUM($F$2:$F$151)+SUM($H$2:$H$151)</f>
        <v>3323</v>
      </c>
    </row>
    <row r="8" spans="1:11" x14ac:dyDescent="0.25">
      <c r="A8">
        <v>7</v>
      </c>
      <c r="B8" s="1">
        <v>1011</v>
      </c>
      <c r="C8">
        <f>C7+E7-H7</f>
        <v>53</v>
      </c>
      <c r="D8">
        <f>D7+F7</f>
        <v>48</v>
      </c>
      <c r="E8">
        <v>11</v>
      </c>
      <c r="F8">
        <v>8</v>
      </c>
      <c r="G8">
        <f t="shared" si="0"/>
        <v>56</v>
      </c>
      <c r="H8">
        <f>IF(DAY($B8) = 3,LEN($G8)+2,LEN($G8))</f>
        <v>2</v>
      </c>
    </row>
    <row r="9" spans="1:11" x14ac:dyDescent="0.25">
      <c r="A9">
        <v>8</v>
      </c>
      <c r="B9" s="1">
        <v>1012</v>
      </c>
      <c r="C9">
        <f>C8+E8-H8</f>
        <v>62</v>
      </c>
      <c r="D9">
        <f>D8+F8</f>
        <v>56</v>
      </c>
      <c r="E9">
        <v>11</v>
      </c>
      <c r="F9">
        <v>8</v>
      </c>
      <c r="G9">
        <f t="shared" si="0"/>
        <v>64</v>
      </c>
      <c r="H9">
        <f>IF(DAY($B9) = 3,LEN($G9)+2,LEN($G9))</f>
        <v>2</v>
      </c>
    </row>
    <row r="10" spans="1:11" x14ac:dyDescent="0.25">
      <c r="A10">
        <v>9</v>
      </c>
      <c r="B10" s="1">
        <v>1013</v>
      </c>
      <c r="C10">
        <f>C9+E9-H9</f>
        <v>71</v>
      </c>
      <c r="D10">
        <f>D9+F9</f>
        <v>64</v>
      </c>
      <c r="E10">
        <v>11</v>
      </c>
      <c r="F10">
        <v>8</v>
      </c>
      <c r="G10">
        <f t="shared" si="0"/>
        <v>72</v>
      </c>
      <c r="H10">
        <f>IF(DAY($B10) = 3,LEN($G10)+2,LEN($G10))</f>
        <v>2</v>
      </c>
    </row>
    <row r="11" spans="1:11" x14ac:dyDescent="0.25">
      <c r="A11">
        <v>10</v>
      </c>
      <c r="B11" s="1">
        <v>1014</v>
      </c>
      <c r="C11">
        <f>C10+E10-H10</f>
        <v>80</v>
      </c>
      <c r="D11">
        <f>D10+F10</f>
        <v>72</v>
      </c>
      <c r="E11">
        <v>11</v>
      </c>
      <c r="F11">
        <v>8</v>
      </c>
      <c r="G11">
        <f t="shared" si="0"/>
        <v>80</v>
      </c>
      <c r="H11">
        <f>IF(DAY($B11) = 3,LEN($G11)+2,LEN($G11))</f>
        <v>2</v>
      </c>
    </row>
    <row r="12" spans="1:11" x14ac:dyDescent="0.25">
      <c r="A12">
        <v>11</v>
      </c>
      <c r="B12" s="1">
        <v>1015</v>
      </c>
      <c r="C12">
        <f>C11+E11-H11</f>
        <v>89</v>
      </c>
      <c r="D12">
        <f>D11+F11</f>
        <v>80</v>
      </c>
      <c r="E12">
        <v>11</v>
      </c>
      <c r="F12">
        <v>8</v>
      </c>
      <c r="G12">
        <f t="shared" si="0"/>
        <v>88</v>
      </c>
      <c r="H12">
        <f>IF(DAY($B12) = 3,LEN($G12)+2,LEN($G12))</f>
        <v>2</v>
      </c>
    </row>
    <row r="13" spans="1:11" x14ac:dyDescent="0.25">
      <c r="A13">
        <v>12</v>
      </c>
      <c r="B13" s="1">
        <v>1016</v>
      </c>
      <c r="C13">
        <f>C12+E12-H12</f>
        <v>98</v>
      </c>
      <c r="D13">
        <f>D12+F12</f>
        <v>88</v>
      </c>
      <c r="E13">
        <v>11</v>
      </c>
      <c r="F13">
        <v>8</v>
      </c>
      <c r="G13">
        <f t="shared" si="0"/>
        <v>96</v>
      </c>
      <c r="H13">
        <f>IF(DAY($B13) = 3,LEN($G13)+2,LEN($G13))</f>
        <v>2</v>
      </c>
    </row>
    <row r="14" spans="1:11" x14ac:dyDescent="0.25">
      <c r="A14">
        <v>13</v>
      </c>
      <c r="B14" s="1">
        <v>1017</v>
      </c>
      <c r="C14">
        <f>C13+E13-H13</f>
        <v>107</v>
      </c>
      <c r="D14">
        <f>D13+F13</f>
        <v>96</v>
      </c>
      <c r="E14">
        <v>11</v>
      </c>
      <c r="F14">
        <v>8</v>
      </c>
      <c r="G14">
        <f t="shared" si="0"/>
        <v>104</v>
      </c>
      <c r="H14">
        <f>IF(DAY($B14) = 3,LEN($G14)+2,LEN($G14))</f>
        <v>3</v>
      </c>
    </row>
    <row r="15" spans="1:11" x14ac:dyDescent="0.25">
      <c r="A15">
        <v>14</v>
      </c>
      <c r="B15" s="1">
        <v>1018</v>
      </c>
      <c r="C15">
        <f>C14+E14-H14</f>
        <v>115</v>
      </c>
      <c r="D15">
        <f>D14+F14</f>
        <v>104</v>
      </c>
      <c r="E15">
        <v>11</v>
      </c>
      <c r="F15">
        <v>8</v>
      </c>
      <c r="G15">
        <f t="shared" si="0"/>
        <v>112</v>
      </c>
      <c r="H15">
        <f>IF(DAY($B15) = 3,LEN($G15)+2,LEN($G15))</f>
        <v>3</v>
      </c>
    </row>
    <row r="16" spans="1:11" x14ac:dyDescent="0.25">
      <c r="A16">
        <v>15</v>
      </c>
      <c r="B16" s="1">
        <v>1019</v>
      </c>
      <c r="C16">
        <f>C15+E15-H15</f>
        <v>123</v>
      </c>
      <c r="D16">
        <f>D15+F15</f>
        <v>112</v>
      </c>
      <c r="E16">
        <v>11</v>
      </c>
      <c r="F16">
        <v>8</v>
      </c>
      <c r="G16">
        <f t="shared" si="0"/>
        <v>120</v>
      </c>
      <c r="H16">
        <f>IF(DAY($B16) = 3,LEN($G16)+2,LEN($G16))</f>
        <v>3</v>
      </c>
    </row>
    <row r="17" spans="1:8" x14ac:dyDescent="0.25">
      <c r="A17">
        <v>16</v>
      </c>
      <c r="B17" s="1">
        <v>1020</v>
      </c>
      <c r="C17">
        <f>C16+E16-H16</f>
        <v>131</v>
      </c>
      <c r="D17">
        <f>D16+F16</f>
        <v>120</v>
      </c>
      <c r="E17">
        <v>11</v>
      </c>
      <c r="F17">
        <v>8</v>
      </c>
      <c r="G17">
        <f t="shared" si="0"/>
        <v>128</v>
      </c>
      <c r="H17">
        <f>IF(DAY($B17) = 3,LEN($G17)+2,LEN($G17))</f>
        <v>3</v>
      </c>
    </row>
    <row r="18" spans="1:8" x14ac:dyDescent="0.25">
      <c r="A18">
        <v>17</v>
      </c>
      <c r="B18" s="1">
        <v>1021</v>
      </c>
      <c r="C18">
        <f>C17+E17-H17</f>
        <v>139</v>
      </c>
      <c r="D18">
        <f>D17+F17</f>
        <v>128</v>
      </c>
      <c r="E18">
        <v>11</v>
      </c>
      <c r="F18">
        <v>8</v>
      </c>
      <c r="G18">
        <f t="shared" si="0"/>
        <v>136</v>
      </c>
      <c r="H18">
        <f>IF(DAY($B18) = 3,LEN($G18)+2,LEN($G18))</f>
        <v>3</v>
      </c>
    </row>
    <row r="19" spans="1:8" x14ac:dyDescent="0.25">
      <c r="A19">
        <v>18</v>
      </c>
      <c r="B19" s="1">
        <v>1022</v>
      </c>
      <c r="C19">
        <f>C18+E18-H18</f>
        <v>147</v>
      </c>
      <c r="D19">
        <f>D18+F18</f>
        <v>136</v>
      </c>
      <c r="E19">
        <v>11</v>
      </c>
      <c r="F19">
        <v>8</v>
      </c>
      <c r="G19">
        <f t="shared" si="0"/>
        <v>144</v>
      </c>
      <c r="H19">
        <f>IF(DAY($B19) = 3,LEN($G19)+2,LEN($G19))</f>
        <v>3</v>
      </c>
    </row>
    <row r="20" spans="1:8" x14ac:dyDescent="0.25">
      <c r="A20">
        <v>19</v>
      </c>
      <c r="B20" s="1">
        <v>1023</v>
      </c>
      <c r="C20">
        <f>C19+E19-H19</f>
        <v>155</v>
      </c>
      <c r="D20">
        <f>D19+F19</f>
        <v>144</v>
      </c>
      <c r="E20">
        <v>11</v>
      </c>
      <c r="F20">
        <v>8</v>
      </c>
      <c r="G20">
        <f t="shared" si="0"/>
        <v>152</v>
      </c>
      <c r="H20">
        <f>IF(DAY($B20) = 3,LEN($G20)+2,LEN($G20))</f>
        <v>3</v>
      </c>
    </row>
    <row r="21" spans="1:8" x14ac:dyDescent="0.25">
      <c r="A21">
        <v>20</v>
      </c>
      <c r="B21" s="1">
        <v>1024</v>
      </c>
      <c r="C21">
        <f>C20+E20-H20</f>
        <v>163</v>
      </c>
      <c r="D21">
        <f>D20+F20</f>
        <v>152</v>
      </c>
      <c r="E21">
        <v>11</v>
      </c>
      <c r="F21">
        <v>8</v>
      </c>
      <c r="G21">
        <f t="shared" si="0"/>
        <v>160</v>
      </c>
      <c r="H21">
        <f>IF(DAY($B21) = 3,LEN($G21)+2,LEN($G21))</f>
        <v>3</v>
      </c>
    </row>
    <row r="22" spans="1:8" x14ac:dyDescent="0.25">
      <c r="A22">
        <v>21</v>
      </c>
      <c r="B22" s="1">
        <v>1025</v>
      </c>
      <c r="C22">
        <f>C21+E21-H21</f>
        <v>171</v>
      </c>
      <c r="D22">
        <f>D21+F21</f>
        <v>160</v>
      </c>
      <c r="E22">
        <v>11</v>
      </c>
      <c r="F22">
        <v>8</v>
      </c>
      <c r="G22">
        <f t="shared" si="0"/>
        <v>168</v>
      </c>
      <c r="H22">
        <f>IF(DAY($B22) = 3,LEN($G22)+2,LEN($G22))</f>
        <v>3</v>
      </c>
    </row>
    <row r="23" spans="1:8" x14ac:dyDescent="0.25">
      <c r="A23">
        <v>22</v>
      </c>
      <c r="B23" s="1">
        <v>1026</v>
      </c>
      <c r="C23">
        <f>C22+E22-H22</f>
        <v>179</v>
      </c>
      <c r="D23">
        <f>D22+F22</f>
        <v>168</v>
      </c>
      <c r="E23">
        <v>11</v>
      </c>
      <c r="F23">
        <v>8</v>
      </c>
      <c r="G23">
        <f t="shared" si="0"/>
        <v>176</v>
      </c>
      <c r="H23">
        <f>IF(DAY($B23) = 3,LEN($G23)+2,LEN($G23))</f>
        <v>3</v>
      </c>
    </row>
    <row r="24" spans="1:8" x14ac:dyDescent="0.25">
      <c r="A24">
        <v>23</v>
      </c>
      <c r="B24" s="1">
        <v>1027</v>
      </c>
      <c r="C24">
        <f>C23+E23-H23</f>
        <v>187</v>
      </c>
      <c r="D24">
        <f>D23+F23</f>
        <v>176</v>
      </c>
      <c r="E24">
        <v>11</v>
      </c>
      <c r="F24">
        <v>8</v>
      </c>
      <c r="G24">
        <f t="shared" si="0"/>
        <v>184</v>
      </c>
      <c r="H24">
        <f>IF(DAY($B24) = 3,LEN($G24)+2,LEN($G24))</f>
        <v>3</v>
      </c>
    </row>
    <row r="25" spans="1:8" x14ac:dyDescent="0.25">
      <c r="A25">
        <v>24</v>
      </c>
      <c r="B25" s="1">
        <v>1028</v>
      </c>
      <c r="C25">
        <f>C24+E24-H24</f>
        <v>195</v>
      </c>
      <c r="D25">
        <f>D24+F24</f>
        <v>184</v>
      </c>
      <c r="E25">
        <v>11</v>
      </c>
      <c r="F25">
        <v>8</v>
      </c>
      <c r="G25">
        <f t="shared" si="0"/>
        <v>192</v>
      </c>
      <c r="H25">
        <f>IF(DAY($B25) = 3,LEN($G25)+2,LEN($G25))</f>
        <v>3</v>
      </c>
    </row>
    <row r="26" spans="1:8" x14ac:dyDescent="0.25">
      <c r="A26">
        <v>25</v>
      </c>
      <c r="B26" s="1">
        <v>1029</v>
      </c>
      <c r="C26">
        <f>C25+E25-H25</f>
        <v>203</v>
      </c>
      <c r="D26">
        <f>D25+F25</f>
        <v>192</v>
      </c>
      <c r="E26">
        <v>11</v>
      </c>
      <c r="F26">
        <v>8</v>
      </c>
      <c r="G26">
        <f t="shared" si="0"/>
        <v>200</v>
      </c>
      <c r="H26">
        <f>IF(DAY($B26) = 3,LEN($G26)+2,LEN($G26))</f>
        <v>3</v>
      </c>
    </row>
    <row r="27" spans="1:8" x14ac:dyDescent="0.25">
      <c r="A27">
        <v>26</v>
      </c>
      <c r="B27" s="1">
        <v>1030</v>
      </c>
      <c r="C27">
        <f>C26+E26-H26</f>
        <v>211</v>
      </c>
      <c r="D27">
        <f>D26+F26</f>
        <v>200</v>
      </c>
      <c r="E27">
        <v>11</v>
      </c>
      <c r="F27">
        <v>8</v>
      </c>
      <c r="G27">
        <f t="shared" si="0"/>
        <v>208</v>
      </c>
      <c r="H27">
        <f>IF(DAY($B27) = 3,LEN($G27)+2,LEN($G27))</f>
        <v>3</v>
      </c>
    </row>
    <row r="28" spans="1:8" x14ac:dyDescent="0.25">
      <c r="A28">
        <v>27</v>
      </c>
      <c r="B28" s="1">
        <v>1031</v>
      </c>
      <c r="C28">
        <f>C27+E27-H27</f>
        <v>219</v>
      </c>
      <c r="D28">
        <f>D27+F27</f>
        <v>208</v>
      </c>
      <c r="E28">
        <v>11</v>
      </c>
      <c r="F28">
        <v>8</v>
      </c>
      <c r="G28">
        <f t="shared" si="0"/>
        <v>216</v>
      </c>
      <c r="H28">
        <f>IF(DAY($B28) = 3,LEN($G28)+2,LEN($G28))</f>
        <v>3</v>
      </c>
    </row>
    <row r="29" spans="1:8" x14ac:dyDescent="0.25">
      <c r="A29">
        <v>28</v>
      </c>
      <c r="B29" s="1">
        <v>1032</v>
      </c>
      <c r="C29">
        <f>C28+E28-H28</f>
        <v>227</v>
      </c>
      <c r="D29">
        <f>D28+F28</f>
        <v>216</v>
      </c>
      <c r="E29">
        <v>11</v>
      </c>
      <c r="F29">
        <v>8</v>
      </c>
      <c r="G29">
        <f t="shared" si="0"/>
        <v>224</v>
      </c>
      <c r="H29">
        <f>IF(DAY($B29) = 3,LEN($G29)+2,LEN($G29))</f>
        <v>3</v>
      </c>
    </row>
    <row r="30" spans="1:8" x14ac:dyDescent="0.25">
      <c r="A30">
        <v>29</v>
      </c>
      <c r="B30" s="1">
        <v>1033</v>
      </c>
      <c r="C30">
        <f>C29+E29-H29</f>
        <v>235</v>
      </c>
      <c r="D30">
        <f>D29+F29</f>
        <v>224</v>
      </c>
      <c r="E30">
        <v>11</v>
      </c>
      <c r="F30">
        <v>8</v>
      </c>
      <c r="G30">
        <f t="shared" si="0"/>
        <v>232</v>
      </c>
      <c r="H30">
        <f>IF(DAY($B30) = 3,LEN($G30)+2,LEN($G30))</f>
        <v>3</v>
      </c>
    </row>
    <row r="31" spans="1:8" x14ac:dyDescent="0.25">
      <c r="A31">
        <v>30</v>
      </c>
      <c r="B31" s="1">
        <v>1034</v>
      </c>
      <c r="C31">
        <f>C30+E30-H30</f>
        <v>243</v>
      </c>
      <c r="D31">
        <f>D30+F30</f>
        <v>232</v>
      </c>
      <c r="E31">
        <v>11</v>
      </c>
      <c r="F31">
        <v>8</v>
      </c>
      <c r="G31">
        <f t="shared" si="0"/>
        <v>240</v>
      </c>
      <c r="H31">
        <f>IF(DAY($B31) = 3,LEN($G31)+2,LEN($G31))</f>
        <v>3</v>
      </c>
    </row>
    <row r="32" spans="1:8" x14ac:dyDescent="0.25">
      <c r="A32">
        <v>31</v>
      </c>
      <c r="B32" s="1">
        <v>1035</v>
      </c>
      <c r="C32">
        <f>C31+E31-H31</f>
        <v>251</v>
      </c>
      <c r="D32">
        <f>D31+F31</f>
        <v>240</v>
      </c>
      <c r="E32">
        <v>11</v>
      </c>
      <c r="F32">
        <v>8</v>
      </c>
      <c r="G32">
        <f t="shared" si="0"/>
        <v>248</v>
      </c>
      <c r="H32">
        <f>IF(DAY($B32) = 3,LEN($G32)+2,LEN($G32))</f>
        <v>3</v>
      </c>
    </row>
    <row r="33" spans="1:8" x14ac:dyDescent="0.25">
      <c r="A33">
        <v>32</v>
      </c>
      <c r="B33" s="1">
        <v>1036</v>
      </c>
      <c r="C33">
        <f>C32+E32-H32</f>
        <v>259</v>
      </c>
      <c r="D33">
        <f>D32+F32</f>
        <v>248</v>
      </c>
      <c r="E33">
        <v>11</v>
      </c>
      <c r="F33">
        <v>8</v>
      </c>
      <c r="G33">
        <f t="shared" si="0"/>
        <v>256</v>
      </c>
      <c r="H33">
        <f>IF(DAY($B33) = 3,LEN($G33)+2,LEN($G33))</f>
        <v>3</v>
      </c>
    </row>
    <row r="34" spans="1:8" x14ac:dyDescent="0.25">
      <c r="A34">
        <v>33</v>
      </c>
      <c r="B34" s="1">
        <v>1037</v>
      </c>
      <c r="C34">
        <f>C33+E33-H33</f>
        <v>267</v>
      </c>
      <c r="D34">
        <f>D33+F33</f>
        <v>256</v>
      </c>
      <c r="E34">
        <v>11</v>
      </c>
      <c r="F34">
        <v>8</v>
      </c>
      <c r="G34">
        <f t="shared" si="0"/>
        <v>264</v>
      </c>
      <c r="H34">
        <f>IF(DAY($B34) = 3,LEN($G34)+2,LEN($G34))</f>
        <v>3</v>
      </c>
    </row>
    <row r="35" spans="1:8" x14ac:dyDescent="0.25">
      <c r="A35">
        <v>34</v>
      </c>
      <c r="B35" s="1">
        <v>1038</v>
      </c>
      <c r="C35">
        <f>C34+E34-H34</f>
        <v>275</v>
      </c>
      <c r="D35">
        <f>D34+F34</f>
        <v>264</v>
      </c>
      <c r="E35">
        <v>11</v>
      </c>
      <c r="F35">
        <v>8</v>
      </c>
      <c r="G35">
        <f t="shared" si="0"/>
        <v>272</v>
      </c>
      <c r="H35">
        <f>IF(DAY($B35) = 3,LEN($G35)+2,LEN($G35))</f>
        <v>5</v>
      </c>
    </row>
    <row r="36" spans="1:8" x14ac:dyDescent="0.25">
      <c r="A36">
        <v>35</v>
      </c>
      <c r="B36" s="1">
        <v>1039</v>
      </c>
      <c r="C36">
        <f>C35+E35-H35</f>
        <v>281</v>
      </c>
      <c r="D36">
        <f>D35+F35</f>
        <v>272</v>
      </c>
      <c r="E36">
        <v>11</v>
      </c>
      <c r="F36">
        <v>8</v>
      </c>
      <c r="G36">
        <f t="shared" si="0"/>
        <v>280</v>
      </c>
      <c r="H36">
        <f>IF(DAY($B36) = 3,LEN($G36)+2,LEN($G36))</f>
        <v>3</v>
      </c>
    </row>
    <row r="37" spans="1:8" x14ac:dyDescent="0.25">
      <c r="A37">
        <v>36</v>
      </c>
      <c r="B37" s="1">
        <v>1040</v>
      </c>
      <c r="C37">
        <f>C36+E36-H36</f>
        <v>289</v>
      </c>
      <c r="D37">
        <f>D36+F36</f>
        <v>280</v>
      </c>
      <c r="E37">
        <v>11</v>
      </c>
      <c r="F37">
        <v>8</v>
      </c>
      <c r="G37">
        <f t="shared" si="0"/>
        <v>288</v>
      </c>
      <c r="H37">
        <f>IF(DAY($B37) = 3,LEN($G37)+2,LEN($G37))</f>
        <v>3</v>
      </c>
    </row>
    <row r="38" spans="1:8" x14ac:dyDescent="0.25">
      <c r="A38">
        <v>37</v>
      </c>
      <c r="B38" s="1">
        <v>1041</v>
      </c>
      <c r="C38">
        <f>C37+E37-H37</f>
        <v>297</v>
      </c>
      <c r="D38">
        <f>D37+F37</f>
        <v>288</v>
      </c>
      <c r="E38">
        <v>11</v>
      </c>
      <c r="F38">
        <v>8</v>
      </c>
      <c r="G38">
        <f t="shared" si="0"/>
        <v>296</v>
      </c>
      <c r="H38">
        <f>IF(DAY($B38) = 3,LEN($G38)+2,LEN($G38))</f>
        <v>3</v>
      </c>
    </row>
    <row r="39" spans="1:8" x14ac:dyDescent="0.25">
      <c r="A39">
        <v>38</v>
      </c>
      <c r="B39" s="1">
        <v>1042</v>
      </c>
      <c r="C39">
        <f>C38+E38-H38</f>
        <v>305</v>
      </c>
      <c r="D39">
        <f>D38+F38</f>
        <v>296</v>
      </c>
      <c r="E39">
        <v>11</v>
      </c>
      <c r="F39">
        <v>8</v>
      </c>
      <c r="G39">
        <f t="shared" si="0"/>
        <v>304</v>
      </c>
      <c r="H39">
        <f>IF(DAY($B39) = 3,LEN($G39)+2,LEN($G39))</f>
        <v>3</v>
      </c>
    </row>
    <row r="40" spans="1:8" x14ac:dyDescent="0.25">
      <c r="A40">
        <v>39</v>
      </c>
      <c r="B40" s="1">
        <v>1043</v>
      </c>
      <c r="C40">
        <f>C39+E39-H39</f>
        <v>313</v>
      </c>
      <c r="D40">
        <f>D39+F39</f>
        <v>304</v>
      </c>
      <c r="E40">
        <v>11</v>
      </c>
      <c r="F40">
        <v>8</v>
      </c>
      <c r="G40">
        <f t="shared" si="0"/>
        <v>312</v>
      </c>
      <c r="H40">
        <f>IF(DAY($B40) = 3,LEN($G40)+2,LEN($G40))</f>
        <v>3</v>
      </c>
    </row>
    <row r="41" spans="1:8" x14ac:dyDescent="0.25">
      <c r="A41">
        <v>40</v>
      </c>
      <c r="B41" s="1">
        <v>1044</v>
      </c>
      <c r="C41">
        <f>C40+E40-H40</f>
        <v>321</v>
      </c>
      <c r="D41">
        <f>D40+F40</f>
        <v>312</v>
      </c>
      <c r="E41">
        <v>11</v>
      </c>
      <c r="F41">
        <v>8</v>
      </c>
      <c r="G41">
        <f t="shared" si="0"/>
        <v>320</v>
      </c>
      <c r="H41">
        <f>IF(DAY($B41) = 3,LEN($G41)+2,LEN($G41))</f>
        <v>3</v>
      </c>
    </row>
    <row r="42" spans="1:8" x14ac:dyDescent="0.25">
      <c r="A42">
        <v>41</v>
      </c>
      <c r="B42" s="1">
        <v>1045</v>
      </c>
      <c r="C42">
        <f>C41+E41-H41</f>
        <v>329</v>
      </c>
      <c r="D42">
        <f>D41+F41</f>
        <v>320</v>
      </c>
      <c r="E42">
        <v>11</v>
      </c>
      <c r="F42">
        <v>8</v>
      </c>
      <c r="G42">
        <f t="shared" si="0"/>
        <v>328</v>
      </c>
      <c r="H42">
        <f>IF(DAY($B42) = 3,LEN($G42)+2,LEN($G42))</f>
        <v>3</v>
      </c>
    </row>
    <row r="43" spans="1:8" x14ac:dyDescent="0.25">
      <c r="A43">
        <v>42</v>
      </c>
      <c r="B43" s="1">
        <v>1046</v>
      </c>
      <c r="C43">
        <f>C42+E42-H42</f>
        <v>337</v>
      </c>
      <c r="D43">
        <f>D42+F42</f>
        <v>328</v>
      </c>
      <c r="E43">
        <v>11</v>
      </c>
      <c r="F43">
        <v>8</v>
      </c>
      <c r="G43">
        <f t="shared" si="0"/>
        <v>336</v>
      </c>
      <c r="H43">
        <f>IF(DAY($B43) = 3,LEN($G43)+2,LEN($G43))</f>
        <v>3</v>
      </c>
    </row>
    <row r="44" spans="1:8" x14ac:dyDescent="0.25">
      <c r="A44">
        <v>43</v>
      </c>
      <c r="B44" s="1">
        <v>1047</v>
      </c>
      <c r="C44">
        <f>C43+E43-H43</f>
        <v>345</v>
      </c>
      <c r="D44">
        <f>D43+F43</f>
        <v>336</v>
      </c>
      <c r="E44">
        <v>11</v>
      </c>
      <c r="F44">
        <v>8</v>
      </c>
      <c r="G44">
        <f t="shared" si="0"/>
        <v>344</v>
      </c>
      <c r="H44">
        <f>IF(DAY($B44) = 3,LEN($G44)+2,LEN($G44))</f>
        <v>3</v>
      </c>
    </row>
    <row r="45" spans="1:8" x14ac:dyDescent="0.25">
      <c r="A45">
        <v>44</v>
      </c>
      <c r="B45" s="1">
        <v>1048</v>
      </c>
      <c r="C45">
        <f>C44+E44-H44</f>
        <v>353</v>
      </c>
      <c r="D45">
        <f>D44+F44</f>
        <v>344</v>
      </c>
      <c r="E45">
        <v>11</v>
      </c>
      <c r="F45">
        <v>8</v>
      </c>
      <c r="G45">
        <f t="shared" si="0"/>
        <v>352</v>
      </c>
      <c r="H45">
        <f>IF(DAY($B45) = 3,LEN($G45)+2,LEN($G45))</f>
        <v>3</v>
      </c>
    </row>
    <row r="46" spans="1:8" x14ac:dyDescent="0.25">
      <c r="A46">
        <v>45</v>
      </c>
      <c r="B46" s="1">
        <v>1049</v>
      </c>
      <c r="C46">
        <f>C45+E45-H45</f>
        <v>361</v>
      </c>
      <c r="D46">
        <f>D45+F45</f>
        <v>352</v>
      </c>
      <c r="E46">
        <v>11</v>
      </c>
      <c r="F46">
        <v>8</v>
      </c>
      <c r="G46">
        <f t="shared" si="0"/>
        <v>360</v>
      </c>
      <c r="H46">
        <f>IF(DAY($B46) = 3,LEN($G46)+2,LEN($G46))</f>
        <v>3</v>
      </c>
    </row>
    <row r="47" spans="1:8" x14ac:dyDescent="0.25">
      <c r="A47">
        <v>46</v>
      </c>
      <c r="B47" s="1">
        <v>1050</v>
      </c>
      <c r="C47">
        <f>C46+E46-H46</f>
        <v>369</v>
      </c>
      <c r="D47">
        <f>D46+F46</f>
        <v>360</v>
      </c>
      <c r="E47">
        <v>11</v>
      </c>
      <c r="F47">
        <v>8</v>
      </c>
      <c r="G47">
        <f t="shared" si="0"/>
        <v>368</v>
      </c>
      <c r="H47">
        <f>IF(DAY($B47) = 3,LEN($G47)+2,LEN($G47))</f>
        <v>3</v>
      </c>
    </row>
    <row r="48" spans="1:8" x14ac:dyDescent="0.25">
      <c r="A48">
        <v>47</v>
      </c>
      <c r="B48" s="1">
        <v>1051</v>
      </c>
      <c r="C48">
        <f>C47+E47-H47</f>
        <v>377</v>
      </c>
      <c r="D48">
        <f>D47+F47</f>
        <v>368</v>
      </c>
      <c r="E48">
        <v>11</v>
      </c>
      <c r="F48">
        <v>8</v>
      </c>
      <c r="G48">
        <f t="shared" si="0"/>
        <v>376</v>
      </c>
      <c r="H48">
        <f>IF(DAY($B48) = 3,LEN($G48)+2,LEN($G48))</f>
        <v>3</v>
      </c>
    </row>
    <row r="49" spans="1:8" x14ac:dyDescent="0.25">
      <c r="A49">
        <v>48</v>
      </c>
      <c r="B49" s="1">
        <v>1052</v>
      </c>
      <c r="C49">
        <f>C48+E48-H48</f>
        <v>385</v>
      </c>
      <c r="D49">
        <f>D48+F48</f>
        <v>376</v>
      </c>
      <c r="E49">
        <v>11</v>
      </c>
      <c r="F49">
        <v>8</v>
      </c>
      <c r="G49">
        <f t="shared" si="0"/>
        <v>384</v>
      </c>
      <c r="H49">
        <f>IF(DAY($B49) = 3,LEN($G49)+2,LEN($G49))</f>
        <v>3</v>
      </c>
    </row>
    <row r="50" spans="1:8" x14ac:dyDescent="0.25">
      <c r="A50">
        <v>49</v>
      </c>
      <c r="B50" s="1">
        <v>1053</v>
      </c>
      <c r="C50">
        <f>C49+E49-H49</f>
        <v>393</v>
      </c>
      <c r="D50">
        <f>D49+F49</f>
        <v>384</v>
      </c>
      <c r="E50">
        <v>11</v>
      </c>
      <c r="F50">
        <v>8</v>
      </c>
      <c r="G50">
        <f t="shared" si="0"/>
        <v>392</v>
      </c>
      <c r="H50">
        <f>IF(DAY($B50) = 3,LEN($G50)+2,LEN($G50))</f>
        <v>3</v>
      </c>
    </row>
    <row r="51" spans="1:8" x14ac:dyDescent="0.25">
      <c r="A51">
        <v>50</v>
      </c>
      <c r="B51" s="1">
        <v>1054</v>
      </c>
      <c r="C51">
        <f>C50+E50-H50</f>
        <v>401</v>
      </c>
      <c r="D51">
        <f>D50+F50</f>
        <v>392</v>
      </c>
      <c r="E51">
        <v>11</v>
      </c>
      <c r="F51">
        <v>8</v>
      </c>
      <c r="G51">
        <f t="shared" si="0"/>
        <v>400</v>
      </c>
      <c r="H51">
        <f>IF(DAY($B51) = 3,LEN($G51)+2,LEN($G51))</f>
        <v>3</v>
      </c>
    </row>
    <row r="52" spans="1:8" x14ac:dyDescent="0.25">
      <c r="A52">
        <v>51</v>
      </c>
      <c r="B52" s="1">
        <v>1055</v>
      </c>
      <c r="C52">
        <f>C51+E51-H51</f>
        <v>409</v>
      </c>
      <c r="D52">
        <f>D51+F51</f>
        <v>400</v>
      </c>
      <c r="E52">
        <v>11</v>
      </c>
      <c r="F52">
        <v>8</v>
      </c>
      <c r="G52">
        <f t="shared" si="0"/>
        <v>408</v>
      </c>
      <c r="H52">
        <f>IF(DAY($B52) = 3,LEN($G52)+2,LEN($G52))</f>
        <v>3</v>
      </c>
    </row>
    <row r="53" spans="1:8" x14ac:dyDescent="0.25">
      <c r="A53">
        <v>52</v>
      </c>
      <c r="B53" s="1">
        <v>1056</v>
      </c>
      <c r="C53">
        <f>C52+E52-H52</f>
        <v>417</v>
      </c>
      <c r="D53">
        <f>D52+F52</f>
        <v>408</v>
      </c>
      <c r="E53">
        <v>11</v>
      </c>
      <c r="F53">
        <v>8</v>
      </c>
      <c r="G53">
        <f t="shared" si="0"/>
        <v>416</v>
      </c>
      <c r="H53">
        <f>IF(DAY($B53) = 3,LEN($G53)+2,LEN($G53))</f>
        <v>3</v>
      </c>
    </row>
    <row r="54" spans="1:8" x14ac:dyDescent="0.25">
      <c r="A54">
        <v>53</v>
      </c>
      <c r="B54" s="1">
        <v>1057</v>
      </c>
      <c r="C54">
        <f>C53+E53-H53</f>
        <v>425</v>
      </c>
      <c r="D54">
        <f>D53+F53</f>
        <v>416</v>
      </c>
      <c r="E54">
        <v>11</v>
      </c>
      <c r="F54">
        <v>8</v>
      </c>
      <c r="G54">
        <f t="shared" si="0"/>
        <v>424</v>
      </c>
      <c r="H54">
        <f>IF(DAY($B54) = 3,LEN($G54)+2,LEN($G54))</f>
        <v>3</v>
      </c>
    </row>
    <row r="55" spans="1:8" x14ac:dyDescent="0.25">
      <c r="A55">
        <v>54</v>
      </c>
      <c r="B55" s="1">
        <v>1058</v>
      </c>
      <c r="C55">
        <f>C54+E54-H54</f>
        <v>433</v>
      </c>
      <c r="D55">
        <f>D54+F54</f>
        <v>424</v>
      </c>
      <c r="E55">
        <v>11</v>
      </c>
      <c r="F55">
        <v>8</v>
      </c>
      <c r="G55">
        <f t="shared" si="0"/>
        <v>432</v>
      </c>
      <c r="H55">
        <f>IF(DAY($B55) = 3,LEN($G55)+2,LEN($G55))</f>
        <v>3</v>
      </c>
    </row>
    <row r="56" spans="1:8" x14ac:dyDescent="0.25">
      <c r="A56">
        <v>55</v>
      </c>
      <c r="B56" s="1">
        <v>1059</v>
      </c>
      <c r="C56">
        <f>C55+E55-H55</f>
        <v>441</v>
      </c>
      <c r="D56">
        <f>D55+F55</f>
        <v>432</v>
      </c>
      <c r="E56">
        <v>11</v>
      </c>
      <c r="F56">
        <v>8</v>
      </c>
      <c r="G56">
        <f t="shared" si="0"/>
        <v>440</v>
      </c>
      <c r="H56">
        <f>IF(DAY($B56) = 3,LEN($G56)+2,LEN($G56))</f>
        <v>3</v>
      </c>
    </row>
    <row r="57" spans="1:8" x14ac:dyDescent="0.25">
      <c r="A57">
        <v>56</v>
      </c>
      <c r="B57" s="1">
        <v>1060</v>
      </c>
      <c r="C57">
        <f>C56+E56-H56</f>
        <v>449</v>
      </c>
      <c r="D57">
        <f>D56+F56</f>
        <v>440</v>
      </c>
      <c r="E57">
        <v>11</v>
      </c>
      <c r="F57">
        <v>8</v>
      </c>
      <c r="G57">
        <f t="shared" si="0"/>
        <v>448</v>
      </c>
      <c r="H57">
        <f>IF(DAY($B57) = 3,LEN($G57)+2,LEN($G57))</f>
        <v>3</v>
      </c>
    </row>
    <row r="58" spans="1:8" x14ac:dyDescent="0.25">
      <c r="A58">
        <v>57</v>
      </c>
      <c r="B58" s="1">
        <v>1061</v>
      </c>
      <c r="C58">
        <f>C57+E57-H57</f>
        <v>457</v>
      </c>
      <c r="D58">
        <f>D57+F57</f>
        <v>448</v>
      </c>
      <c r="E58">
        <v>11</v>
      </c>
      <c r="F58">
        <v>8</v>
      </c>
      <c r="G58">
        <f t="shared" si="0"/>
        <v>456</v>
      </c>
      <c r="H58">
        <f>IF(DAY($B58) = 3,LEN($G58)+2,LEN($G58))</f>
        <v>3</v>
      </c>
    </row>
    <row r="59" spans="1:8" x14ac:dyDescent="0.25">
      <c r="A59">
        <v>58</v>
      </c>
      <c r="B59" s="1">
        <v>1062</v>
      </c>
      <c r="C59">
        <f>C58+E58-H58</f>
        <v>465</v>
      </c>
      <c r="D59">
        <f>D58+F58</f>
        <v>456</v>
      </c>
      <c r="E59">
        <v>11</v>
      </c>
      <c r="F59">
        <v>8</v>
      </c>
      <c r="G59">
        <f t="shared" si="0"/>
        <v>464</v>
      </c>
      <c r="H59">
        <f>IF(DAY($B59) = 3,LEN($G59)+2,LEN($G59))</f>
        <v>3</v>
      </c>
    </row>
    <row r="60" spans="1:8" x14ac:dyDescent="0.25">
      <c r="A60">
        <v>59</v>
      </c>
      <c r="B60" s="1">
        <v>1063</v>
      </c>
      <c r="C60">
        <f>C59+E59-H59</f>
        <v>473</v>
      </c>
      <c r="D60">
        <f>D59+F59</f>
        <v>464</v>
      </c>
      <c r="E60">
        <v>11</v>
      </c>
      <c r="F60">
        <v>8</v>
      </c>
      <c r="G60">
        <f t="shared" si="0"/>
        <v>472</v>
      </c>
      <c r="H60">
        <f>IF(DAY($B60) = 3,LEN($G60)+2,LEN($G60))</f>
        <v>3</v>
      </c>
    </row>
    <row r="61" spans="1:8" x14ac:dyDescent="0.25">
      <c r="A61">
        <v>60</v>
      </c>
      <c r="B61" s="1">
        <v>1064</v>
      </c>
      <c r="C61">
        <f>C60+E60-H60</f>
        <v>481</v>
      </c>
      <c r="D61">
        <f>D60+F60</f>
        <v>472</v>
      </c>
      <c r="E61">
        <v>11</v>
      </c>
      <c r="F61">
        <v>8</v>
      </c>
      <c r="G61">
        <f t="shared" si="0"/>
        <v>480</v>
      </c>
      <c r="H61">
        <f>IF(DAY($B61) = 3,LEN($G61)+2,LEN($G61))</f>
        <v>3</v>
      </c>
    </row>
    <row r="62" spans="1:8" x14ac:dyDescent="0.25">
      <c r="A62">
        <v>61</v>
      </c>
      <c r="B62" s="1">
        <v>1065</v>
      </c>
      <c r="C62">
        <f>C61+E61-H61</f>
        <v>489</v>
      </c>
      <c r="D62">
        <f>D61+F61</f>
        <v>480</v>
      </c>
      <c r="E62">
        <v>11</v>
      </c>
      <c r="F62">
        <v>8</v>
      </c>
      <c r="G62">
        <f t="shared" si="0"/>
        <v>488</v>
      </c>
      <c r="H62">
        <f>IF(DAY($B62) = 3,LEN($G62)+2,LEN($G62))</f>
        <v>3</v>
      </c>
    </row>
    <row r="63" spans="1:8" x14ac:dyDescent="0.25">
      <c r="A63">
        <v>62</v>
      </c>
      <c r="B63" s="1">
        <v>1066</v>
      </c>
      <c r="C63">
        <f>C62+E62-H62</f>
        <v>497</v>
      </c>
      <c r="D63">
        <f>D62+F62</f>
        <v>488</v>
      </c>
      <c r="E63">
        <v>11</v>
      </c>
      <c r="F63">
        <v>8</v>
      </c>
      <c r="G63">
        <f t="shared" si="0"/>
        <v>496</v>
      </c>
      <c r="H63">
        <f>IF(DAY($B63) = 3,LEN($G63)+2,LEN($G63))</f>
        <v>3</v>
      </c>
    </row>
    <row r="64" spans="1:8" x14ac:dyDescent="0.25">
      <c r="A64">
        <v>63</v>
      </c>
      <c r="B64" s="1">
        <v>1067</v>
      </c>
      <c r="C64">
        <f>C63+E63-H63</f>
        <v>505</v>
      </c>
      <c r="D64">
        <f>D63+F63</f>
        <v>496</v>
      </c>
      <c r="E64">
        <v>11</v>
      </c>
      <c r="F64">
        <v>8</v>
      </c>
      <c r="G64">
        <f t="shared" si="0"/>
        <v>504</v>
      </c>
      <c r="H64">
        <f>IF(DAY($B64) = 3,LEN($G64)+2,LEN($G64))</f>
        <v>3</v>
      </c>
    </row>
    <row r="65" spans="1:8" x14ac:dyDescent="0.25">
      <c r="A65">
        <v>64</v>
      </c>
      <c r="B65" s="1">
        <v>1068</v>
      </c>
      <c r="C65">
        <f>C64+E64-H64</f>
        <v>513</v>
      </c>
      <c r="D65">
        <f>D64+F64</f>
        <v>504</v>
      </c>
      <c r="E65">
        <v>11</v>
      </c>
      <c r="F65">
        <v>8</v>
      </c>
      <c r="G65">
        <f t="shared" si="0"/>
        <v>512</v>
      </c>
      <c r="H65">
        <f>IF(DAY($B65) = 3,LEN($G65)+2,LEN($G65))</f>
        <v>5</v>
      </c>
    </row>
    <row r="66" spans="1:8" x14ac:dyDescent="0.25">
      <c r="A66">
        <v>65</v>
      </c>
      <c r="B66" s="1">
        <v>1069</v>
      </c>
      <c r="C66">
        <f>C65+E65-H65</f>
        <v>519</v>
      </c>
      <c r="D66">
        <f>D65+F65</f>
        <v>512</v>
      </c>
      <c r="E66">
        <v>11</v>
      </c>
      <c r="F66">
        <v>8</v>
      </c>
      <c r="G66">
        <f t="shared" si="0"/>
        <v>520</v>
      </c>
      <c r="H66">
        <f>IF(DAY($B66) = 3,LEN($G66)+2,LEN($G66))</f>
        <v>3</v>
      </c>
    </row>
    <row r="67" spans="1:8" x14ac:dyDescent="0.25">
      <c r="A67">
        <v>66</v>
      </c>
      <c r="B67" s="1">
        <v>1070</v>
      </c>
      <c r="C67">
        <f>C66+E66-H66</f>
        <v>527</v>
      </c>
      <c r="D67">
        <f>D66+F66</f>
        <v>520</v>
      </c>
      <c r="E67">
        <v>11</v>
      </c>
      <c r="F67">
        <v>8</v>
      </c>
      <c r="G67">
        <f t="shared" si="0"/>
        <v>528</v>
      </c>
      <c r="H67">
        <f>IF(DAY($B67) = 3,LEN($G67)+2,LEN($G67))</f>
        <v>3</v>
      </c>
    </row>
    <row r="68" spans="1:8" x14ac:dyDescent="0.25">
      <c r="A68">
        <v>67</v>
      </c>
      <c r="B68" s="1">
        <v>1071</v>
      </c>
      <c r="C68">
        <f>C67+E67-H67</f>
        <v>535</v>
      </c>
      <c r="D68">
        <f>D67+F67</f>
        <v>528</v>
      </c>
      <c r="E68">
        <v>11</v>
      </c>
      <c r="F68">
        <v>8</v>
      </c>
      <c r="G68">
        <f t="shared" ref="G68:G131" si="1">G67+F68</f>
        <v>536</v>
      </c>
      <c r="H68">
        <f>IF(DAY($B68) = 3,LEN($G68)+2,LEN($G68))</f>
        <v>3</v>
      </c>
    </row>
    <row r="69" spans="1:8" x14ac:dyDescent="0.25">
      <c r="A69">
        <v>68</v>
      </c>
      <c r="B69" s="1">
        <v>1072</v>
      </c>
      <c r="C69">
        <f>C68+E68-H68</f>
        <v>543</v>
      </c>
      <c r="D69">
        <f>D68+F68</f>
        <v>536</v>
      </c>
      <c r="E69">
        <v>11</v>
      </c>
      <c r="F69">
        <v>8</v>
      </c>
      <c r="G69">
        <f t="shared" si="1"/>
        <v>544</v>
      </c>
      <c r="H69">
        <f>IF(DAY($B69) = 3,LEN($G69)+2,LEN($G69))</f>
        <v>3</v>
      </c>
    </row>
    <row r="70" spans="1:8" x14ac:dyDescent="0.25">
      <c r="A70">
        <v>69</v>
      </c>
      <c r="B70" s="1">
        <v>1073</v>
      </c>
      <c r="C70">
        <f>C69+E69-H69</f>
        <v>551</v>
      </c>
      <c r="D70">
        <f>D69+F69</f>
        <v>544</v>
      </c>
      <c r="E70">
        <v>11</v>
      </c>
      <c r="F70">
        <v>8</v>
      </c>
      <c r="G70">
        <f t="shared" si="1"/>
        <v>552</v>
      </c>
      <c r="H70">
        <f>IF(DAY($B70) = 3,LEN($G70)+2,LEN($G70))</f>
        <v>3</v>
      </c>
    </row>
    <row r="71" spans="1:8" x14ac:dyDescent="0.25">
      <c r="A71">
        <v>70</v>
      </c>
      <c r="B71" s="1">
        <v>1074</v>
      </c>
      <c r="C71">
        <f>C70+E70-H70</f>
        <v>559</v>
      </c>
      <c r="D71">
        <f>D70+F70</f>
        <v>552</v>
      </c>
      <c r="E71">
        <v>11</v>
      </c>
      <c r="F71">
        <v>8</v>
      </c>
      <c r="G71">
        <f t="shared" si="1"/>
        <v>560</v>
      </c>
      <c r="H71">
        <f>IF(DAY($B71) = 3,LEN($G71)+2,LEN($G71))</f>
        <v>3</v>
      </c>
    </row>
    <row r="72" spans="1:8" x14ac:dyDescent="0.25">
      <c r="A72">
        <v>71</v>
      </c>
      <c r="B72" s="1">
        <v>1075</v>
      </c>
      <c r="C72">
        <f>C71+E71-H71</f>
        <v>567</v>
      </c>
      <c r="D72">
        <f>D71+F71</f>
        <v>560</v>
      </c>
      <c r="E72">
        <v>11</v>
      </c>
      <c r="F72">
        <v>8</v>
      </c>
      <c r="G72">
        <f t="shared" si="1"/>
        <v>568</v>
      </c>
      <c r="H72">
        <f>IF(DAY($B72) = 3,LEN($G72)+2,LEN($G72))</f>
        <v>3</v>
      </c>
    </row>
    <row r="73" spans="1:8" x14ac:dyDescent="0.25">
      <c r="A73">
        <v>72</v>
      </c>
      <c r="B73" s="1">
        <v>1076</v>
      </c>
      <c r="C73">
        <f>C72+E72-H72</f>
        <v>575</v>
      </c>
      <c r="D73">
        <f>D72+F72</f>
        <v>568</v>
      </c>
      <c r="E73">
        <v>11</v>
      </c>
      <c r="F73">
        <v>8</v>
      </c>
      <c r="G73">
        <f t="shared" si="1"/>
        <v>576</v>
      </c>
      <c r="H73">
        <f>IF(DAY($B73) = 3,LEN($G73)+2,LEN($G73))</f>
        <v>3</v>
      </c>
    </row>
    <row r="74" spans="1:8" x14ac:dyDescent="0.25">
      <c r="A74">
        <v>73</v>
      </c>
      <c r="B74" s="1">
        <v>1077</v>
      </c>
      <c r="C74">
        <f>C73+E73-H73</f>
        <v>583</v>
      </c>
      <c r="D74">
        <f>D73+F73</f>
        <v>576</v>
      </c>
      <c r="E74">
        <v>11</v>
      </c>
      <c r="F74">
        <v>8</v>
      </c>
      <c r="G74">
        <f t="shared" si="1"/>
        <v>584</v>
      </c>
      <c r="H74">
        <f>IF(DAY($B74) = 3,LEN($G74)+2,LEN($G74))</f>
        <v>3</v>
      </c>
    </row>
    <row r="75" spans="1:8" x14ac:dyDescent="0.25">
      <c r="A75">
        <v>74</v>
      </c>
      <c r="B75" s="1">
        <v>1078</v>
      </c>
      <c r="C75">
        <f>C74+E74-H74</f>
        <v>591</v>
      </c>
      <c r="D75">
        <f>D74+F74</f>
        <v>584</v>
      </c>
      <c r="E75">
        <v>11</v>
      </c>
      <c r="F75">
        <v>8</v>
      </c>
      <c r="G75">
        <f t="shared" si="1"/>
        <v>592</v>
      </c>
      <c r="H75">
        <f>IF(DAY($B75) = 3,LEN($G75)+2,LEN($G75))</f>
        <v>3</v>
      </c>
    </row>
    <row r="76" spans="1:8" x14ac:dyDescent="0.25">
      <c r="A76">
        <v>75</v>
      </c>
      <c r="B76" s="1">
        <v>1079</v>
      </c>
      <c r="C76">
        <f>C75+E75-H75</f>
        <v>599</v>
      </c>
      <c r="D76">
        <f>D75+F75</f>
        <v>592</v>
      </c>
      <c r="E76">
        <v>11</v>
      </c>
      <c r="F76">
        <v>8</v>
      </c>
      <c r="G76">
        <f t="shared" si="1"/>
        <v>600</v>
      </c>
      <c r="H76">
        <f>IF(DAY($B76) = 3,LEN($G76)+2,LEN($G76))</f>
        <v>3</v>
      </c>
    </row>
    <row r="77" spans="1:8" x14ac:dyDescent="0.25">
      <c r="A77">
        <v>76</v>
      </c>
      <c r="B77" s="1">
        <v>1080</v>
      </c>
      <c r="C77">
        <f>C76+E76-H76</f>
        <v>607</v>
      </c>
      <c r="D77">
        <f>D76+F76</f>
        <v>600</v>
      </c>
      <c r="E77">
        <v>11</v>
      </c>
      <c r="F77">
        <v>8</v>
      </c>
      <c r="G77">
        <f t="shared" si="1"/>
        <v>608</v>
      </c>
      <c r="H77">
        <f>IF(DAY($B77) = 3,LEN($G77)+2,LEN($G77))</f>
        <v>3</v>
      </c>
    </row>
    <row r="78" spans="1:8" x14ac:dyDescent="0.25">
      <c r="A78">
        <v>77</v>
      </c>
      <c r="B78" s="1">
        <v>1081</v>
      </c>
      <c r="C78">
        <f>C77+E77-H77</f>
        <v>615</v>
      </c>
      <c r="D78">
        <f>D77+F77</f>
        <v>608</v>
      </c>
      <c r="E78">
        <v>11</v>
      </c>
      <c r="F78">
        <v>8</v>
      </c>
      <c r="G78">
        <f t="shared" si="1"/>
        <v>616</v>
      </c>
      <c r="H78">
        <f>IF(DAY($B78) = 3,LEN($G78)+2,LEN($G78))</f>
        <v>3</v>
      </c>
    </row>
    <row r="79" spans="1:8" x14ac:dyDescent="0.25">
      <c r="A79">
        <v>78</v>
      </c>
      <c r="B79" s="1">
        <v>1082</v>
      </c>
      <c r="C79">
        <f>C78+E78-H78</f>
        <v>623</v>
      </c>
      <c r="D79">
        <f>D78+F78</f>
        <v>616</v>
      </c>
      <c r="E79">
        <v>11</v>
      </c>
      <c r="F79">
        <v>8</v>
      </c>
      <c r="G79">
        <f t="shared" si="1"/>
        <v>624</v>
      </c>
      <c r="H79">
        <f>IF(DAY($B79) = 3,LEN($G79)+2,LEN($G79))</f>
        <v>3</v>
      </c>
    </row>
    <row r="80" spans="1:8" x14ac:dyDescent="0.25">
      <c r="A80">
        <v>79</v>
      </c>
      <c r="B80" s="1">
        <v>1083</v>
      </c>
      <c r="C80">
        <f>C79+E79-H79</f>
        <v>631</v>
      </c>
      <c r="D80">
        <f>D79+F79</f>
        <v>624</v>
      </c>
      <c r="E80">
        <v>11</v>
      </c>
      <c r="F80">
        <v>8</v>
      </c>
      <c r="G80">
        <f t="shared" si="1"/>
        <v>632</v>
      </c>
      <c r="H80">
        <f>IF(DAY($B80) = 3,LEN($G80)+2,LEN($G80))</f>
        <v>3</v>
      </c>
    </row>
    <row r="81" spans="1:8" x14ac:dyDescent="0.25">
      <c r="A81">
        <v>80</v>
      </c>
      <c r="B81" s="1">
        <v>1084</v>
      </c>
      <c r="C81">
        <f>C80+E80-H80</f>
        <v>639</v>
      </c>
      <c r="D81">
        <f>D80+F80</f>
        <v>632</v>
      </c>
      <c r="E81">
        <v>11</v>
      </c>
      <c r="F81">
        <v>8</v>
      </c>
      <c r="G81">
        <f t="shared" si="1"/>
        <v>640</v>
      </c>
      <c r="H81">
        <f>IF(DAY($B81) = 3,LEN($G81)+2,LEN($G81))</f>
        <v>3</v>
      </c>
    </row>
    <row r="82" spans="1:8" x14ac:dyDescent="0.25">
      <c r="A82">
        <v>81</v>
      </c>
      <c r="B82" s="1">
        <v>1085</v>
      </c>
      <c r="C82">
        <f>C81+E81-H81</f>
        <v>647</v>
      </c>
      <c r="D82">
        <f>D81+F81</f>
        <v>640</v>
      </c>
      <c r="E82">
        <v>11</v>
      </c>
      <c r="F82">
        <v>8</v>
      </c>
      <c r="G82">
        <f t="shared" si="1"/>
        <v>648</v>
      </c>
      <c r="H82">
        <f>IF(DAY($B82) = 3,LEN($G82)+2,LEN($G82))</f>
        <v>3</v>
      </c>
    </row>
    <row r="83" spans="1:8" x14ac:dyDescent="0.25">
      <c r="A83">
        <v>82</v>
      </c>
      <c r="B83" s="1">
        <v>1086</v>
      </c>
      <c r="C83">
        <f>C82+E82-H82</f>
        <v>655</v>
      </c>
      <c r="D83">
        <f>D82+F82</f>
        <v>648</v>
      </c>
      <c r="E83">
        <v>11</v>
      </c>
      <c r="F83">
        <v>8</v>
      </c>
      <c r="G83">
        <f t="shared" si="1"/>
        <v>656</v>
      </c>
      <c r="H83">
        <f>IF(DAY($B83) = 3,LEN($G83)+2,LEN($G83))</f>
        <v>3</v>
      </c>
    </row>
    <row r="84" spans="1:8" x14ac:dyDescent="0.25">
      <c r="A84">
        <v>83</v>
      </c>
      <c r="B84" s="1">
        <v>1087</v>
      </c>
      <c r="C84">
        <f>C83+E83-H83</f>
        <v>663</v>
      </c>
      <c r="D84">
        <f>D83+F83</f>
        <v>656</v>
      </c>
      <c r="E84">
        <v>11</v>
      </c>
      <c r="F84">
        <v>8</v>
      </c>
      <c r="G84">
        <f t="shared" si="1"/>
        <v>664</v>
      </c>
      <c r="H84">
        <f>IF(DAY($B84) = 3,LEN($G84)+2,LEN($G84))</f>
        <v>3</v>
      </c>
    </row>
    <row r="85" spans="1:8" x14ac:dyDescent="0.25">
      <c r="A85">
        <v>84</v>
      </c>
      <c r="B85" s="1">
        <v>1088</v>
      </c>
      <c r="C85">
        <f>C84+E84-H84</f>
        <v>671</v>
      </c>
      <c r="D85">
        <f>D84+F84</f>
        <v>664</v>
      </c>
      <c r="E85">
        <v>11</v>
      </c>
      <c r="F85">
        <v>8</v>
      </c>
      <c r="G85">
        <f t="shared" si="1"/>
        <v>672</v>
      </c>
      <c r="H85">
        <f>IF(DAY($B85) = 3,LEN($G85)+2,LEN($G85))</f>
        <v>3</v>
      </c>
    </row>
    <row r="86" spans="1:8" x14ac:dyDescent="0.25">
      <c r="A86">
        <v>85</v>
      </c>
      <c r="B86" s="1">
        <v>1089</v>
      </c>
      <c r="C86">
        <f>C85+E85-H85</f>
        <v>679</v>
      </c>
      <c r="D86">
        <f>D85+F85</f>
        <v>672</v>
      </c>
      <c r="E86">
        <v>11</v>
      </c>
      <c r="F86">
        <v>8</v>
      </c>
      <c r="G86">
        <f t="shared" si="1"/>
        <v>680</v>
      </c>
      <c r="H86">
        <f>IF(DAY($B86) = 3,LEN($G86)+2,LEN($G86))</f>
        <v>3</v>
      </c>
    </row>
    <row r="87" spans="1:8" x14ac:dyDescent="0.25">
      <c r="A87">
        <v>86</v>
      </c>
      <c r="B87" s="1">
        <v>1090</v>
      </c>
      <c r="C87">
        <f>C86+E86-H86</f>
        <v>687</v>
      </c>
      <c r="D87">
        <f>D86+F86</f>
        <v>680</v>
      </c>
      <c r="E87">
        <v>11</v>
      </c>
      <c r="F87">
        <v>8</v>
      </c>
      <c r="G87">
        <f t="shared" si="1"/>
        <v>688</v>
      </c>
      <c r="H87">
        <f>IF(DAY($B87) = 3,LEN($G87)+2,LEN($G87))</f>
        <v>3</v>
      </c>
    </row>
    <row r="88" spans="1:8" x14ac:dyDescent="0.25">
      <c r="A88">
        <v>87</v>
      </c>
      <c r="B88" s="1">
        <v>1091</v>
      </c>
      <c r="C88">
        <f>C87+E87-H87</f>
        <v>695</v>
      </c>
      <c r="D88">
        <f>D87+F87</f>
        <v>688</v>
      </c>
      <c r="E88">
        <v>11</v>
      </c>
      <c r="F88">
        <v>8</v>
      </c>
      <c r="G88">
        <f t="shared" si="1"/>
        <v>696</v>
      </c>
      <c r="H88">
        <f>IF(DAY($B88) = 3,LEN($G88)+2,LEN($G88))</f>
        <v>3</v>
      </c>
    </row>
    <row r="89" spans="1:8" x14ac:dyDescent="0.25">
      <c r="A89">
        <v>88</v>
      </c>
      <c r="B89" s="1">
        <v>1092</v>
      </c>
      <c r="C89">
        <f>C88+E88-H88</f>
        <v>703</v>
      </c>
      <c r="D89">
        <f>D88+F88</f>
        <v>696</v>
      </c>
      <c r="E89">
        <v>11</v>
      </c>
      <c r="F89">
        <v>8</v>
      </c>
      <c r="G89">
        <f t="shared" si="1"/>
        <v>704</v>
      </c>
      <c r="H89">
        <f>IF(DAY($B89) = 3,LEN($G89)+2,LEN($G89))</f>
        <v>3</v>
      </c>
    </row>
    <row r="90" spans="1:8" x14ac:dyDescent="0.25">
      <c r="A90">
        <v>89</v>
      </c>
      <c r="B90" s="1">
        <v>1093</v>
      </c>
      <c r="C90">
        <f>C89+E89-H89</f>
        <v>711</v>
      </c>
      <c r="D90">
        <f>D89+F89</f>
        <v>704</v>
      </c>
      <c r="E90">
        <v>11</v>
      </c>
      <c r="F90">
        <v>8</v>
      </c>
      <c r="G90">
        <f t="shared" si="1"/>
        <v>712</v>
      </c>
      <c r="H90">
        <f>IF(DAY($B90) = 3,LEN($G90)+2,LEN($G90))</f>
        <v>3</v>
      </c>
    </row>
    <row r="91" spans="1:8" x14ac:dyDescent="0.25">
      <c r="A91">
        <v>90</v>
      </c>
      <c r="B91" s="1">
        <v>1094</v>
      </c>
      <c r="C91">
        <f>C90+E90-H90</f>
        <v>719</v>
      </c>
      <c r="D91">
        <f>D90+F90</f>
        <v>712</v>
      </c>
      <c r="E91">
        <v>11</v>
      </c>
      <c r="F91">
        <v>8</v>
      </c>
      <c r="G91">
        <f t="shared" si="1"/>
        <v>720</v>
      </c>
      <c r="H91">
        <f>IF(DAY($B91) = 3,LEN($G91)+2,LEN($G91))</f>
        <v>3</v>
      </c>
    </row>
    <row r="92" spans="1:8" x14ac:dyDescent="0.25">
      <c r="A92">
        <v>91</v>
      </c>
      <c r="B92" s="1">
        <v>1095</v>
      </c>
      <c r="C92">
        <f>C91+E91-H91</f>
        <v>727</v>
      </c>
      <c r="D92">
        <f>D91+F91</f>
        <v>720</v>
      </c>
      <c r="E92">
        <v>11</v>
      </c>
      <c r="F92">
        <v>8</v>
      </c>
      <c r="G92">
        <f t="shared" si="1"/>
        <v>728</v>
      </c>
      <c r="H92">
        <f>IF(DAY($B92) = 3,LEN($G92)+2,LEN($G92))</f>
        <v>3</v>
      </c>
    </row>
    <row r="93" spans="1:8" x14ac:dyDescent="0.25">
      <c r="A93">
        <v>92</v>
      </c>
      <c r="B93" s="1">
        <v>1096</v>
      </c>
      <c r="C93">
        <f>C92+E92-H92</f>
        <v>735</v>
      </c>
      <c r="D93">
        <f>D92+F92</f>
        <v>728</v>
      </c>
      <c r="E93">
        <v>11</v>
      </c>
      <c r="F93">
        <v>8</v>
      </c>
      <c r="G93">
        <f t="shared" si="1"/>
        <v>736</v>
      </c>
      <c r="H93">
        <f>IF(DAY($B93) = 3,LEN($G93)+2,LEN($G93))</f>
        <v>3</v>
      </c>
    </row>
    <row r="94" spans="1:8" x14ac:dyDescent="0.25">
      <c r="A94">
        <v>93</v>
      </c>
      <c r="B94" s="1">
        <v>1097</v>
      </c>
      <c r="C94">
        <f>C93+E93-H93</f>
        <v>743</v>
      </c>
      <c r="D94">
        <f>D93+F93</f>
        <v>736</v>
      </c>
      <c r="E94">
        <v>11</v>
      </c>
      <c r="F94">
        <v>8</v>
      </c>
      <c r="G94">
        <f t="shared" si="1"/>
        <v>744</v>
      </c>
      <c r="H94">
        <f>IF(DAY($B94) = 3,LEN($G94)+2,LEN($G94))</f>
        <v>3</v>
      </c>
    </row>
    <row r="95" spans="1:8" x14ac:dyDescent="0.25">
      <c r="A95">
        <v>94</v>
      </c>
      <c r="B95" s="1">
        <v>1098</v>
      </c>
      <c r="C95">
        <f>C94+E94-H94</f>
        <v>751</v>
      </c>
      <c r="D95">
        <f>D94+F94</f>
        <v>744</v>
      </c>
      <c r="E95">
        <v>11</v>
      </c>
      <c r="F95">
        <v>8</v>
      </c>
      <c r="G95">
        <f t="shared" si="1"/>
        <v>752</v>
      </c>
      <c r="H95">
        <f>IF(DAY($B95) = 3,LEN($G95)+2,LEN($G95))</f>
        <v>3</v>
      </c>
    </row>
    <row r="96" spans="1:8" x14ac:dyDescent="0.25">
      <c r="A96">
        <v>95</v>
      </c>
      <c r="B96" s="1">
        <v>1099</v>
      </c>
      <c r="C96">
        <f>C95+E95-H95</f>
        <v>759</v>
      </c>
      <c r="D96">
        <f>D95+F95</f>
        <v>752</v>
      </c>
      <c r="E96">
        <v>11</v>
      </c>
      <c r="F96">
        <v>8</v>
      </c>
      <c r="G96">
        <f t="shared" si="1"/>
        <v>760</v>
      </c>
      <c r="H96">
        <f>IF(DAY($B96) = 3,LEN($G96)+2,LEN($G96))</f>
        <v>5</v>
      </c>
    </row>
    <row r="97" spans="1:8" x14ac:dyDescent="0.25">
      <c r="A97">
        <v>96</v>
      </c>
      <c r="B97" s="1">
        <v>1100</v>
      </c>
      <c r="C97">
        <f>C96+E96-H96</f>
        <v>765</v>
      </c>
      <c r="D97">
        <f>D96+F96</f>
        <v>760</v>
      </c>
      <c r="E97">
        <v>11</v>
      </c>
      <c r="F97">
        <v>8</v>
      </c>
      <c r="G97">
        <f t="shared" si="1"/>
        <v>768</v>
      </c>
      <c r="H97">
        <f>IF(DAY($B97) = 3,LEN($G97)+2,LEN($G97))</f>
        <v>3</v>
      </c>
    </row>
    <row r="98" spans="1:8" x14ac:dyDescent="0.25">
      <c r="A98">
        <v>97</v>
      </c>
      <c r="B98" s="1">
        <v>1101</v>
      </c>
      <c r="C98">
        <f>C97+E97-H97</f>
        <v>773</v>
      </c>
      <c r="D98">
        <f>D97+F97</f>
        <v>768</v>
      </c>
      <c r="E98">
        <v>11</v>
      </c>
      <c r="F98">
        <v>8</v>
      </c>
      <c r="G98">
        <f t="shared" si="1"/>
        <v>776</v>
      </c>
      <c r="H98">
        <f>IF(DAY($B98) = 3,LEN($G98)+2,LEN($G98))</f>
        <v>3</v>
      </c>
    </row>
    <row r="99" spans="1:8" x14ac:dyDescent="0.25">
      <c r="A99">
        <v>98</v>
      </c>
      <c r="B99" s="1">
        <v>1102</v>
      </c>
      <c r="C99">
        <f>C98+E98-H98</f>
        <v>781</v>
      </c>
      <c r="D99">
        <f>D98+F98</f>
        <v>776</v>
      </c>
      <c r="E99">
        <v>11</v>
      </c>
      <c r="F99">
        <v>8</v>
      </c>
      <c r="G99">
        <f t="shared" si="1"/>
        <v>784</v>
      </c>
      <c r="H99">
        <f>IF(DAY($B99) = 3,LEN($G99)+2,LEN($G99))</f>
        <v>3</v>
      </c>
    </row>
    <row r="100" spans="1:8" x14ac:dyDescent="0.25">
      <c r="A100">
        <v>99</v>
      </c>
      <c r="B100" s="1">
        <v>1103</v>
      </c>
      <c r="C100">
        <f>C99+E99-H99</f>
        <v>789</v>
      </c>
      <c r="D100">
        <f>D99+F99</f>
        <v>784</v>
      </c>
      <c r="E100">
        <v>11</v>
      </c>
      <c r="F100">
        <v>8</v>
      </c>
      <c r="G100">
        <f t="shared" si="1"/>
        <v>792</v>
      </c>
      <c r="H100">
        <f>IF(DAY($B100) = 3,LEN($G100)+2,LEN($G100))</f>
        <v>3</v>
      </c>
    </row>
    <row r="101" spans="1:8" x14ac:dyDescent="0.25">
      <c r="A101">
        <v>100</v>
      </c>
      <c r="B101" s="1">
        <v>1104</v>
      </c>
      <c r="C101">
        <f>C100+E100-H100</f>
        <v>797</v>
      </c>
      <c r="D101">
        <f>D100+F100</f>
        <v>792</v>
      </c>
      <c r="E101">
        <v>11</v>
      </c>
      <c r="F101">
        <v>8</v>
      </c>
      <c r="G101">
        <f t="shared" si="1"/>
        <v>800</v>
      </c>
      <c r="H101">
        <f>IF(DAY($B101) = 3,LEN($G101)+2,LEN($G101))</f>
        <v>3</v>
      </c>
    </row>
    <row r="102" spans="1:8" x14ac:dyDescent="0.25">
      <c r="A102">
        <v>101</v>
      </c>
      <c r="B102" s="1">
        <v>1105</v>
      </c>
      <c r="C102">
        <f>C101+E101-H101</f>
        <v>805</v>
      </c>
      <c r="D102">
        <f>D101+F101</f>
        <v>800</v>
      </c>
      <c r="E102">
        <v>11</v>
      </c>
      <c r="F102">
        <v>8</v>
      </c>
      <c r="G102">
        <f t="shared" si="1"/>
        <v>808</v>
      </c>
      <c r="H102">
        <f>IF(DAY($B102) = 3,LEN($G102)+2,LEN($G102))</f>
        <v>3</v>
      </c>
    </row>
    <row r="103" spans="1:8" x14ac:dyDescent="0.25">
      <c r="A103">
        <v>102</v>
      </c>
      <c r="B103" s="1">
        <v>1106</v>
      </c>
      <c r="C103">
        <f>C102+E102-H102</f>
        <v>813</v>
      </c>
      <c r="D103">
        <f>D102+F102</f>
        <v>808</v>
      </c>
      <c r="E103">
        <v>11</v>
      </c>
      <c r="F103">
        <v>8</v>
      </c>
      <c r="G103">
        <f t="shared" si="1"/>
        <v>816</v>
      </c>
      <c r="H103">
        <f>IF(DAY($B103) = 3,LEN($G103)+2,LEN($G103))</f>
        <v>3</v>
      </c>
    </row>
    <row r="104" spans="1:8" x14ac:dyDescent="0.25">
      <c r="A104">
        <v>103</v>
      </c>
      <c r="B104" s="1">
        <v>1107</v>
      </c>
      <c r="C104">
        <f>C103+E103-H103</f>
        <v>821</v>
      </c>
      <c r="D104">
        <f>D103+F103</f>
        <v>816</v>
      </c>
      <c r="E104">
        <v>11</v>
      </c>
      <c r="F104">
        <v>8</v>
      </c>
      <c r="G104">
        <f t="shared" si="1"/>
        <v>824</v>
      </c>
      <c r="H104">
        <f>IF(DAY($B104) = 3,LEN($G104)+2,LEN($G104))</f>
        <v>3</v>
      </c>
    </row>
    <row r="105" spans="1:8" x14ac:dyDescent="0.25">
      <c r="A105">
        <v>104</v>
      </c>
      <c r="B105" s="1">
        <v>1108</v>
      </c>
      <c r="C105">
        <f>C104+E104-H104</f>
        <v>829</v>
      </c>
      <c r="D105">
        <f>D104+F104</f>
        <v>824</v>
      </c>
      <c r="E105">
        <v>11</v>
      </c>
      <c r="F105">
        <v>8</v>
      </c>
      <c r="G105">
        <f t="shared" si="1"/>
        <v>832</v>
      </c>
      <c r="H105">
        <f>IF(DAY($B105) = 3,LEN($G105)+2,LEN($G105))</f>
        <v>3</v>
      </c>
    </row>
    <row r="106" spans="1:8" x14ac:dyDescent="0.25">
      <c r="A106">
        <v>105</v>
      </c>
      <c r="B106" s="1">
        <v>1109</v>
      </c>
      <c r="C106">
        <f>C105+E105-H105</f>
        <v>837</v>
      </c>
      <c r="D106">
        <f>D105+F105</f>
        <v>832</v>
      </c>
      <c r="E106">
        <v>11</v>
      </c>
      <c r="F106">
        <v>8</v>
      </c>
      <c r="G106">
        <f t="shared" si="1"/>
        <v>840</v>
      </c>
      <c r="H106">
        <f>IF(DAY($B106) = 3,LEN($G106)+2,LEN($G106))</f>
        <v>3</v>
      </c>
    </row>
    <row r="107" spans="1:8" x14ac:dyDescent="0.25">
      <c r="A107">
        <v>106</v>
      </c>
      <c r="B107" s="1">
        <v>1110</v>
      </c>
      <c r="C107">
        <f>C106+E106-H106</f>
        <v>845</v>
      </c>
      <c r="D107">
        <f>D106+F106</f>
        <v>840</v>
      </c>
      <c r="E107">
        <v>11</v>
      </c>
      <c r="F107">
        <v>8</v>
      </c>
      <c r="G107">
        <f t="shared" si="1"/>
        <v>848</v>
      </c>
      <c r="H107">
        <f>IF(DAY($B107) = 3,LEN($G107)+2,LEN($G107))</f>
        <v>3</v>
      </c>
    </row>
    <row r="108" spans="1:8" x14ac:dyDescent="0.25">
      <c r="A108">
        <v>107</v>
      </c>
      <c r="B108" s="1">
        <v>1111</v>
      </c>
      <c r="C108">
        <f>C107+E107-H107</f>
        <v>853</v>
      </c>
      <c r="D108">
        <f>D107+F107</f>
        <v>848</v>
      </c>
      <c r="E108">
        <v>11</v>
      </c>
      <c r="F108">
        <v>8</v>
      </c>
      <c r="G108">
        <f t="shared" si="1"/>
        <v>856</v>
      </c>
      <c r="H108">
        <f>IF(DAY($B108) = 3,LEN($G108)+2,LEN($G108))</f>
        <v>3</v>
      </c>
    </row>
    <row r="109" spans="1:8" x14ac:dyDescent="0.25">
      <c r="A109">
        <v>108</v>
      </c>
      <c r="B109" s="1">
        <v>1112</v>
      </c>
      <c r="C109">
        <f>C108+E108-H108</f>
        <v>861</v>
      </c>
      <c r="D109">
        <f>D108+F108</f>
        <v>856</v>
      </c>
      <c r="E109">
        <v>11</v>
      </c>
      <c r="F109">
        <v>8</v>
      </c>
      <c r="G109">
        <f t="shared" si="1"/>
        <v>864</v>
      </c>
      <c r="H109">
        <f>IF(DAY($B109) = 3,LEN($G109)+2,LEN($G109))</f>
        <v>3</v>
      </c>
    </row>
    <row r="110" spans="1:8" x14ac:dyDescent="0.25">
      <c r="A110">
        <v>109</v>
      </c>
      <c r="B110" s="1">
        <v>1113</v>
      </c>
      <c r="C110">
        <f>C109+E109-H109</f>
        <v>869</v>
      </c>
      <c r="D110">
        <f>D109+F109</f>
        <v>864</v>
      </c>
      <c r="E110">
        <v>11</v>
      </c>
      <c r="F110">
        <v>8</v>
      </c>
      <c r="G110">
        <f t="shared" si="1"/>
        <v>872</v>
      </c>
      <c r="H110">
        <f>IF(DAY($B110) = 3,LEN($G110)+2,LEN($G110))</f>
        <v>3</v>
      </c>
    </row>
    <row r="111" spans="1:8" x14ac:dyDescent="0.25">
      <c r="A111">
        <v>110</v>
      </c>
      <c r="B111" s="1">
        <v>1114</v>
      </c>
      <c r="C111">
        <f>C110+E110-H110</f>
        <v>877</v>
      </c>
      <c r="D111">
        <f>D110+F110</f>
        <v>872</v>
      </c>
      <c r="E111">
        <v>11</v>
      </c>
      <c r="F111">
        <v>8</v>
      </c>
      <c r="G111">
        <f t="shared" si="1"/>
        <v>880</v>
      </c>
      <c r="H111">
        <f>IF(DAY($B111) = 3,LEN($G111)+2,LEN($G111))</f>
        <v>3</v>
      </c>
    </row>
    <row r="112" spans="1:8" x14ac:dyDescent="0.25">
      <c r="A112">
        <v>111</v>
      </c>
      <c r="B112" s="1">
        <v>1115</v>
      </c>
      <c r="C112">
        <f>C111+E111-H111</f>
        <v>885</v>
      </c>
      <c r="D112">
        <f>D111+F111</f>
        <v>880</v>
      </c>
      <c r="E112">
        <v>11</v>
      </c>
      <c r="F112">
        <v>8</v>
      </c>
      <c r="G112">
        <f t="shared" si="1"/>
        <v>888</v>
      </c>
      <c r="H112">
        <f>IF(DAY($B112) = 3,LEN($G112)+2,LEN($G112))</f>
        <v>3</v>
      </c>
    </row>
    <row r="113" spans="1:8" x14ac:dyDescent="0.25">
      <c r="A113">
        <v>112</v>
      </c>
      <c r="B113" s="1">
        <v>1116</v>
      </c>
      <c r="C113">
        <f>C112+E112-H112</f>
        <v>893</v>
      </c>
      <c r="D113">
        <f>D112+F112</f>
        <v>888</v>
      </c>
      <c r="E113">
        <v>11</v>
      </c>
      <c r="F113">
        <v>8</v>
      </c>
      <c r="G113">
        <f t="shared" si="1"/>
        <v>896</v>
      </c>
      <c r="H113">
        <f>IF(DAY($B113) = 3,LEN($G113)+2,LEN($G113))</f>
        <v>3</v>
      </c>
    </row>
    <row r="114" spans="1:8" x14ac:dyDescent="0.25">
      <c r="A114">
        <v>113</v>
      </c>
      <c r="B114" s="1">
        <v>1117</v>
      </c>
      <c r="C114">
        <f>C113+E113-H113</f>
        <v>901</v>
      </c>
      <c r="D114">
        <f>D113+F113</f>
        <v>896</v>
      </c>
      <c r="E114">
        <v>11</v>
      </c>
      <c r="F114">
        <v>8</v>
      </c>
      <c r="G114">
        <f t="shared" si="1"/>
        <v>904</v>
      </c>
      <c r="H114">
        <f>IF(DAY($B114) = 3,LEN($G114)+2,LEN($G114))</f>
        <v>3</v>
      </c>
    </row>
    <row r="115" spans="1:8" x14ac:dyDescent="0.25">
      <c r="A115">
        <v>114</v>
      </c>
      <c r="B115" s="1">
        <v>1118</v>
      </c>
      <c r="C115">
        <f>C114+E114-H114</f>
        <v>909</v>
      </c>
      <c r="D115">
        <f>D114+F114</f>
        <v>904</v>
      </c>
      <c r="E115">
        <v>11</v>
      </c>
      <c r="F115">
        <v>8</v>
      </c>
      <c r="G115">
        <f t="shared" si="1"/>
        <v>912</v>
      </c>
      <c r="H115">
        <f>IF(DAY($B115) = 3,LEN($G115)+2,LEN($G115))</f>
        <v>3</v>
      </c>
    </row>
    <row r="116" spans="1:8" x14ac:dyDescent="0.25">
      <c r="A116">
        <v>115</v>
      </c>
      <c r="B116" s="1">
        <v>1119</v>
      </c>
      <c r="C116">
        <f>C115+E115-H115</f>
        <v>917</v>
      </c>
      <c r="D116">
        <f>D115+F115</f>
        <v>912</v>
      </c>
      <c r="E116">
        <v>11</v>
      </c>
      <c r="F116">
        <v>8</v>
      </c>
      <c r="G116">
        <f t="shared" si="1"/>
        <v>920</v>
      </c>
      <c r="H116">
        <f>IF(DAY($B116) = 3,LEN($G116)+2,LEN($G116))</f>
        <v>3</v>
      </c>
    </row>
    <row r="117" spans="1:8" x14ac:dyDescent="0.25">
      <c r="A117">
        <v>116</v>
      </c>
      <c r="B117" s="1">
        <v>1120</v>
      </c>
      <c r="C117">
        <f>C116+E116-H116</f>
        <v>925</v>
      </c>
      <c r="D117">
        <f>D116+F116</f>
        <v>920</v>
      </c>
      <c r="E117">
        <v>11</v>
      </c>
      <c r="F117">
        <v>8</v>
      </c>
      <c r="G117">
        <f t="shared" si="1"/>
        <v>928</v>
      </c>
      <c r="H117">
        <f>IF(DAY($B117) = 3,LEN($G117)+2,LEN($G117))</f>
        <v>3</v>
      </c>
    </row>
    <row r="118" spans="1:8" x14ac:dyDescent="0.25">
      <c r="A118">
        <v>117</v>
      </c>
      <c r="B118" s="1">
        <v>1121</v>
      </c>
      <c r="C118">
        <f>C117+E117-H117</f>
        <v>933</v>
      </c>
      <c r="D118">
        <f>D117+F117</f>
        <v>928</v>
      </c>
      <c r="E118">
        <v>11</v>
      </c>
      <c r="F118">
        <v>8</v>
      </c>
      <c r="G118">
        <f t="shared" si="1"/>
        <v>936</v>
      </c>
      <c r="H118">
        <f>IF(DAY($B118) = 3,LEN($G118)+2,LEN($G118))</f>
        <v>3</v>
      </c>
    </row>
    <row r="119" spans="1:8" x14ac:dyDescent="0.25">
      <c r="A119">
        <v>118</v>
      </c>
      <c r="B119" s="1">
        <v>1122</v>
      </c>
      <c r="C119">
        <f>C118+E118-H118</f>
        <v>941</v>
      </c>
      <c r="D119">
        <f>D118+F118</f>
        <v>936</v>
      </c>
      <c r="E119">
        <v>11</v>
      </c>
      <c r="F119">
        <v>8</v>
      </c>
      <c r="G119">
        <f t="shared" si="1"/>
        <v>944</v>
      </c>
      <c r="H119">
        <f>IF(DAY($B119) = 3,LEN($G119)+2,LEN($G119))</f>
        <v>3</v>
      </c>
    </row>
    <row r="120" spans="1:8" x14ac:dyDescent="0.25">
      <c r="A120">
        <v>119</v>
      </c>
      <c r="B120" s="1">
        <v>1123</v>
      </c>
      <c r="C120">
        <f>C119+E119-H119</f>
        <v>949</v>
      </c>
      <c r="D120">
        <f>D119+F119</f>
        <v>944</v>
      </c>
      <c r="E120">
        <v>11</v>
      </c>
      <c r="F120">
        <v>8</v>
      </c>
      <c r="G120">
        <f t="shared" si="1"/>
        <v>952</v>
      </c>
      <c r="H120">
        <f>IF(DAY($B120) = 3,LEN($G120)+2,LEN($G120))</f>
        <v>3</v>
      </c>
    </row>
    <row r="121" spans="1:8" x14ac:dyDescent="0.25">
      <c r="A121">
        <v>120</v>
      </c>
      <c r="B121" s="1">
        <v>1124</v>
      </c>
      <c r="C121">
        <f>C120+E120-H120</f>
        <v>957</v>
      </c>
      <c r="D121">
        <f>D120+F120</f>
        <v>952</v>
      </c>
      <c r="E121">
        <v>11</v>
      </c>
      <c r="F121">
        <v>8</v>
      </c>
      <c r="G121">
        <f t="shared" si="1"/>
        <v>960</v>
      </c>
      <c r="H121">
        <f>IF(DAY($B121) = 3,LEN($G121)+2,LEN($G121))</f>
        <v>3</v>
      </c>
    </row>
    <row r="122" spans="1:8" x14ac:dyDescent="0.25">
      <c r="A122">
        <v>121</v>
      </c>
      <c r="B122" s="1">
        <v>1125</v>
      </c>
      <c r="C122">
        <f>C121+E121-H121</f>
        <v>965</v>
      </c>
      <c r="D122">
        <f>D121+F121</f>
        <v>960</v>
      </c>
      <c r="E122">
        <v>11</v>
      </c>
      <c r="F122">
        <v>8</v>
      </c>
      <c r="G122">
        <f t="shared" si="1"/>
        <v>968</v>
      </c>
      <c r="H122">
        <f>IF(DAY($B122) = 3,LEN($G122)+2,LEN($G122))</f>
        <v>3</v>
      </c>
    </row>
    <row r="123" spans="1:8" x14ac:dyDescent="0.25">
      <c r="A123">
        <v>122</v>
      </c>
      <c r="B123" s="1">
        <v>1126</v>
      </c>
      <c r="C123">
        <f>C122+E122-H122</f>
        <v>973</v>
      </c>
      <c r="D123">
        <f>D122+F122</f>
        <v>968</v>
      </c>
      <c r="E123">
        <v>11</v>
      </c>
      <c r="F123">
        <v>8</v>
      </c>
      <c r="G123">
        <f t="shared" si="1"/>
        <v>976</v>
      </c>
      <c r="H123">
        <f>IF(DAY($B123) = 3,LEN($G123)+2,LEN($G123))</f>
        <v>3</v>
      </c>
    </row>
    <row r="124" spans="1:8" x14ac:dyDescent="0.25">
      <c r="A124">
        <v>123</v>
      </c>
      <c r="B124" s="1">
        <v>1127</v>
      </c>
      <c r="C124">
        <f>C123+E123-H123</f>
        <v>981</v>
      </c>
      <c r="D124">
        <f>D123+F123</f>
        <v>976</v>
      </c>
      <c r="E124">
        <v>11</v>
      </c>
      <c r="F124">
        <v>8</v>
      </c>
      <c r="G124">
        <f t="shared" si="1"/>
        <v>984</v>
      </c>
      <c r="H124">
        <f>IF(DAY($B124) = 3,LEN($G124)+2,LEN($G124))</f>
        <v>3</v>
      </c>
    </row>
    <row r="125" spans="1:8" x14ac:dyDescent="0.25">
      <c r="A125">
        <v>124</v>
      </c>
      <c r="B125" s="1">
        <v>1128</v>
      </c>
      <c r="C125">
        <f>C124+E124-H124</f>
        <v>989</v>
      </c>
      <c r="D125">
        <f>D124+F124</f>
        <v>984</v>
      </c>
      <c r="E125">
        <v>11</v>
      </c>
      <c r="F125">
        <v>8</v>
      </c>
      <c r="G125">
        <f t="shared" si="1"/>
        <v>992</v>
      </c>
      <c r="H125">
        <f>IF(DAY($B125) = 3,LEN($G125)+2,LEN($G125))</f>
        <v>3</v>
      </c>
    </row>
    <row r="126" spans="1:8" x14ac:dyDescent="0.25">
      <c r="A126">
        <v>125</v>
      </c>
      <c r="B126" s="1">
        <v>1129</v>
      </c>
      <c r="C126">
        <f>C125+E125-H125</f>
        <v>997</v>
      </c>
      <c r="D126">
        <f>D125+F125</f>
        <v>992</v>
      </c>
      <c r="E126">
        <v>11</v>
      </c>
      <c r="F126">
        <v>8</v>
      </c>
      <c r="G126">
        <f t="shared" si="1"/>
        <v>1000</v>
      </c>
      <c r="H126">
        <f>IF(DAY($B126) = 3,LEN($G126)+2,LEN($G126))</f>
        <v>4</v>
      </c>
    </row>
    <row r="127" spans="1:8" x14ac:dyDescent="0.25">
      <c r="A127">
        <v>126</v>
      </c>
      <c r="B127" s="1">
        <v>1130</v>
      </c>
      <c r="C127">
        <f>C126+E126-H126</f>
        <v>1004</v>
      </c>
      <c r="D127">
        <f>D126+F126</f>
        <v>1000</v>
      </c>
      <c r="E127">
        <v>11</v>
      </c>
      <c r="F127">
        <v>8</v>
      </c>
      <c r="G127">
        <f t="shared" si="1"/>
        <v>1008</v>
      </c>
      <c r="H127">
        <f>IF(DAY($B127) = 3,LEN($G127)+2,LEN($G127))</f>
        <v>6</v>
      </c>
    </row>
    <row r="128" spans="1:8" x14ac:dyDescent="0.25">
      <c r="A128">
        <v>127</v>
      </c>
      <c r="B128" s="1">
        <v>1131</v>
      </c>
      <c r="C128">
        <f>C127+E127-H127</f>
        <v>1009</v>
      </c>
      <c r="D128">
        <f>D127+F127</f>
        <v>1008</v>
      </c>
      <c r="E128">
        <v>11</v>
      </c>
      <c r="F128">
        <v>8</v>
      </c>
      <c r="G128">
        <f t="shared" si="1"/>
        <v>1016</v>
      </c>
      <c r="H128">
        <f>IF(DAY($B128) = 3,LEN($G128)+2,LEN($G128))</f>
        <v>4</v>
      </c>
    </row>
    <row r="129" spans="1:8" x14ac:dyDescent="0.25">
      <c r="A129">
        <v>128</v>
      </c>
      <c r="B129" s="1">
        <v>1132</v>
      </c>
      <c r="C129">
        <f>C128+E128-H128</f>
        <v>1016</v>
      </c>
      <c r="D129">
        <f>D128+F128</f>
        <v>1016</v>
      </c>
      <c r="E129">
        <v>11</v>
      </c>
      <c r="F129">
        <v>8</v>
      </c>
      <c r="G129">
        <f t="shared" si="1"/>
        <v>1024</v>
      </c>
      <c r="H129">
        <f>IF(DAY($B129) = 3,LEN($G129)+2,LEN($G129))</f>
        <v>4</v>
      </c>
    </row>
    <row r="130" spans="1:8" x14ac:dyDescent="0.25">
      <c r="A130">
        <v>129</v>
      </c>
      <c r="B130" s="1">
        <v>1133</v>
      </c>
      <c r="C130">
        <f>C129+E129-H129</f>
        <v>1023</v>
      </c>
      <c r="D130">
        <f>D129+F129</f>
        <v>1024</v>
      </c>
      <c r="E130">
        <v>11</v>
      </c>
      <c r="F130">
        <v>8</v>
      </c>
      <c r="G130">
        <f t="shared" si="1"/>
        <v>1032</v>
      </c>
      <c r="H130">
        <f>IF(DAY($B130) = 3,LEN($G130)+2,LEN($G130))</f>
        <v>4</v>
      </c>
    </row>
    <row r="131" spans="1:8" x14ac:dyDescent="0.25">
      <c r="A131">
        <v>130</v>
      </c>
      <c r="B131" s="1">
        <v>1134</v>
      </c>
      <c r="C131">
        <f>C130+E130-H130</f>
        <v>1030</v>
      </c>
      <c r="D131">
        <f>D130+F130</f>
        <v>1032</v>
      </c>
      <c r="E131">
        <v>11</v>
      </c>
      <c r="F131">
        <v>8</v>
      </c>
      <c r="G131">
        <f t="shared" si="1"/>
        <v>1040</v>
      </c>
      <c r="H131">
        <f>IF(DAY($B131) = 3,LEN($G131)+2,LEN($G131))</f>
        <v>4</v>
      </c>
    </row>
    <row r="132" spans="1:8" x14ac:dyDescent="0.25">
      <c r="A132">
        <v>131</v>
      </c>
      <c r="B132" s="1">
        <v>1135</v>
      </c>
      <c r="C132">
        <f>C131+E131-H131</f>
        <v>1037</v>
      </c>
      <c r="D132">
        <f>D131+F131</f>
        <v>1040</v>
      </c>
      <c r="E132">
        <v>11</v>
      </c>
      <c r="F132">
        <v>8</v>
      </c>
      <c r="G132">
        <f t="shared" ref="G132:G195" si="2">G131+F132</f>
        <v>1048</v>
      </c>
      <c r="H132">
        <f>IF(DAY($B132) = 3,LEN($G132)+2,LEN($G132))</f>
        <v>4</v>
      </c>
    </row>
    <row r="133" spans="1:8" x14ac:dyDescent="0.25">
      <c r="A133">
        <v>132</v>
      </c>
      <c r="B133" s="1">
        <v>1136</v>
      </c>
      <c r="C133">
        <f>C132+E132-H132</f>
        <v>1044</v>
      </c>
      <c r="D133">
        <f>D132+F132</f>
        <v>1048</v>
      </c>
      <c r="E133">
        <v>11</v>
      </c>
      <c r="F133">
        <v>8</v>
      </c>
      <c r="G133">
        <f t="shared" si="2"/>
        <v>1056</v>
      </c>
      <c r="H133">
        <f>IF(DAY($B133) = 3,LEN($G133)+2,LEN($G133))</f>
        <v>4</v>
      </c>
    </row>
    <row r="134" spans="1:8" x14ac:dyDescent="0.25">
      <c r="A134">
        <v>133</v>
      </c>
      <c r="B134" s="1">
        <v>1137</v>
      </c>
      <c r="C134">
        <f>C133+E133-H133</f>
        <v>1051</v>
      </c>
      <c r="D134">
        <f>D133+F133</f>
        <v>1056</v>
      </c>
      <c r="E134">
        <v>11</v>
      </c>
      <c r="F134">
        <v>8</v>
      </c>
      <c r="G134">
        <f t="shared" si="2"/>
        <v>1064</v>
      </c>
      <c r="H134">
        <f>IF(DAY($B134) = 3,LEN($G134)+2,LEN($G134))</f>
        <v>4</v>
      </c>
    </row>
    <row r="135" spans="1:8" x14ac:dyDescent="0.25">
      <c r="A135">
        <v>134</v>
      </c>
      <c r="B135" s="1">
        <v>1138</v>
      </c>
      <c r="C135">
        <f>C134+E134-H134</f>
        <v>1058</v>
      </c>
      <c r="D135">
        <f>D134+F134</f>
        <v>1064</v>
      </c>
      <c r="E135">
        <v>11</v>
      </c>
      <c r="F135">
        <v>8</v>
      </c>
      <c r="G135">
        <f t="shared" si="2"/>
        <v>1072</v>
      </c>
      <c r="H135">
        <f>IF(DAY($B135) = 3,LEN($G135)+2,LEN($G135))</f>
        <v>4</v>
      </c>
    </row>
    <row r="136" spans="1:8" x14ac:dyDescent="0.25">
      <c r="A136">
        <v>135</v>
      </c>
      <c r="B136" s="1">
        <v>1139</v>
      </c>
      <c r="C136">
        <f>C135+E135-H135</f>
        <v>1065</v>
      </c>
      <c r="D136">
        <f>D135+F135</f>
        <v>1072</v>
      </c>
      <c r="E136">
        <v>11</v>
      </c>
      <c r="F136">
        <v>8</v>
      </c>
      <c r="G136">
        <f t="shared" si="2"/>
        <v>1080</v>
      </c>
      <c r="H136">
        <f>IF(DAY($B136) = 3,LEN($G136)+2,LEN($G136))</f>
        <v>4</v>
      </c>
    </row>
    <row r="137" spans="1:8" x14ac:dyDescent="0.25">
      <c r="A137">
        <v>136</v>
      </c>
      <c r="B137" s="1">
        <v>1140</v>
      </c>
      <c r="C137">
        <f>C136+E136-H136</f>
        <v>1072</v>
      </c>
      <c r="D137">
        <f>D136+F136</f>
        <v>1080</v>
      </c>
      <c r="E137">
        <v>11</v>
      </c>
      <c r="F137">
        <v>8</v>
      </c>
      <c r="G137">
        <f t="shared" si="2"/>
        <v>1088</v>
      </c>
      <c r="H137">
        <f>IF(DAY($B137) = 3,LEN($G137)+2,LEN($G137))</f>
        <v>4</v>
      </c>
    </row>
    <row r="138" spans="1:8" x14ac:dyDescent="0.25">
      <c r="A138">
        <v>137</v>
      </c>
      <c r="B138" s="1">
        <v>1141</v>
      </c>
      <c r="C138">
        <f>C137+E137-H137</f>
        <v>1079</v>
      </c>
      <c r="D138">
        <f>D137+F137</f>
        <v>1088</v>
      </c>
      <c r="E138">
        <v>11</v>
      </c>
      <c r="F138">
        <v>8</v>
      </c>
      <c r="G138">
        <f t="shared" si="2"/>
        <v>1096</v>
      </c>
      <c r="H138">
        <f>IF(DAY($B138) = 3,LEN($G138)+2,LEN($G138))</f>
        <v>4</v>
      </c>
    </row>
    <row r="139" spans="1:8" x14ac:dyDescent="0.25">
      <c r="A139">
        <v>138</v>
      </c>
      <c r="B139" s="1">
        <v>1142</v>
      </c>
      <c r="C139">
        <f>C138+E138-H138</f>
        <v>1086</v>
      </c>
      <c r="D139">
        <f>D138+F138</f>
        <v>1096</v>
      </c>
      <c r="E139">
        <v>11</v>
      </c>
      <c r="F139">
        <v>8</v>
      </c>
      <c r="G139">
        <f t="shared" si="2"/>
        <v>1104</v>
      </c>
      <c r="H139">
        <f>IF(DAY($B139) = 3,LEN($G139)+2,LEN($G139))</f>
        <v>4</v>
      </c>
    </row>
    <row r="140" spans="1:8" x14ac:dyDescent="0.25">
      <c r="A140">
        <v>139</v>
      </c>
      <c r="B140" s="1">
        <v>1143</v>
      </c>
      <c r="C140">
        <f>C139+E139-H139</f>
        <v>1093</v>
      </c>
      <c r="D140">
        <f>D139+F139</f>
        <v>1104</v>
      </c>
      <c r="E140">
        <v>11</v>
      </c>
      <c r="F140">
        <v>8</v>
      </c>
      <c r="G140">
        <f t="shared" si="2"/>
        <v>1112</v>
      </c>
      <c r="H140">
        <f>IF(DAY($B140) = 3,LEN($G140)+2,LEN($G140))</f>
        <v>4</v>
      </c>
    </row>
    <row r="141" spans="1:8" x14ac:dyDescent="0.25">
      <c r="A141">
        <v>140</v>
      </c>
      <c r="B141" s="1">
        <v>1144</v>
      </c>
      <c r="C141">
        <f>C140+E140-H140</f>
        <v>1100</v>
      </c>
      <c r="D141">
        <f>D140+F140</f>
        <v>1112</v>
      </c>
      <c r="E141">
        <v>11</v>
      </c>
      <c r="F141">
        <v>8</v>
      </c>
      <c r="G141">
        <f t="shared" si="2"/>
        <v>1120</v>
      </c>
      <c r="H141">
        <f>IF(DAY($B141) = 3,LEN($G141)+2,LEN($G141))</f>
        <v>4</v>
      </c>
    </row>
    <row r="142" spans="1:8" x14ac:dyDescent="0.25">
      <c r="A142">
        <v>141</v>
      </c>
      <c r="B142" s="1">
        <v>1145</v>
      </c>
      <c r="C142">
        <f>C141+E141-H141</f>
        <v>1107</v>
      </c>
      <c r="D142">
        <f>D141+F141</f>
        <v>1120</v>
      </c>
      <c r="E142">
        <v>11</v>
      </c>
      <c r="F142">
        <v>8</v>
      </c>
      <c r="G142">
        <f t="shared" si="2"/>
        <v>1128</v>
      </c>
      <c r="H142">
        <f>IF(DAY($B142) = 3,LEN($G142)+2,LEN($G142))</f>
        <v>4</v>
      </c>
    </row>
    <row r="143" spans="1:8" x14ac:dyDescent="0.25">
      <c r="A143">
        <v>142</v>
      </c>
      <c r="B143" s="1">
        <v>1146</v>
      </c>
      <c r="C143">
        <f>C142+E142-H142</f>
        <v>1114</v>
      </c>
      <c r="D143">
        <f>D142+F142</f>
        <v>1128</v>
      </c>
      <c r="E143">
        <v>11</v>
      </c>
      <c r="F143">
        <v>8</v>
      </c>
      <c r="G143">
        <f t="shared" si="2"/>
        <v>1136</v>
      </c>
      <c r="H143">
        <f>IF(DAY($B143) = 3,LEN($G143)+2,LEN($G143))</f>
        <v>4</v>
      </c>
    </row>
    <row r="144" spans="1:8" x14ac:dyDescent="0.25">
      <c r="A144">
        <v>143</v>
      </c>
      <c r="B144" s="1">
        <v>1147</v>
      </c>
      <c r="C144">
        <f>C143+E143-H143</f>
        <v>1121</v>
      </c>
      <c r="D144">
        <f>D143+F143</f>
        <v>1136</v>
      </c>
      <c r="E144">
        <v>11</v>
      </c>
      <c r="F144">
        <v>8</v>
      </c>
      <c r="G144">
        <f t="shared" si="2"/>
        <v>1144</v>
      </c>
      <c r="H144">
        <f>IF(DAY($B144) = 3,LEN($G144)+2,LEN($G144))</f>
        <v>4</v>
      </c>
    </row>
    <row r="145" spans="1:8" x14ac:dyDescent="0.25">
      <c r="A145">
        <v>144</v>
      </c>
      <c r="B145" s="1">
        <v>1148</v>
      </c>
      <c r="C145">
        <f>C144+E144-H144</f>
        <v>1128</v>
      </c>
      <c r="D145">
        <f>D144+F144</f>
        <v>1144</v>
      </c>
      <c r="E145">
        <v>11</v>
      </c>
      <c r="F145">
        <v>8</v>
      </c>
      <c r="G145">
        <f t="shared" si="2"/>
        <v>1152</v>
      </c>
      <c r="H145">
        <f>IF(DAY($B145) = 3,LEN($G145)+2,LEN($G145))</f>
        <v>4</v>
      </c>
    </row>
    <row r="146" spans="1:8" x14ac:dyDescent="0.25">
      <c r="A146">
        <v>145</v>
      </c>
      <c r="B146" s="1">
        <v>1149</v>
      </c>
      <c r="C146">
        <f>C145+E145-H145</f>
        <v>1135</v>
      </c>
      <c r="D146">
        <f>D145+F145</f>
        <v>1152</v>
      </c>
      <c r="E146">
        <v>11</v>
      </c>
      <c r="F146">
        <v>8</v>
      </c>
      <c r="G146">
        <f t="shared" si="2"/>
        <v>1160</v>
      </c>
      <c r="H146">
        <f>IF(DAY($B146) = 3,LEN($G146)+2,LEN($G146))</f>
        <v>4</v>
      </c>
    </row>
    <row r="147" spans="1:8" x14ac:dyDescent="0.25">
      <c r="A147">
        <v>146</v>
      </c>
      <c r="B147" s="1">
        <v>1150</v>
      </c>
      <c r="C147">
        <f>C146+E146-H146</f>
        <v>1142</v>
      </c>
      <c r="D147">
        <f>D146+F146</f>
        <v>1160</v>
      </c>
      <c r="E147">
        <v>11</v>
      </c>
      <c r="F147">
        <v>8</v>
      </c>
      <c r="G147">
        <f t="shared" si="2"/>
        <v>1168</v>
      </c>
      <c r="H147">
        <f>IF(DAY($B147) = 3,LEN($G147)+2,LEN($G147))</f>
        <v>4</v>
      </c>
    </row>
    <row r="148" spans="1:8" x14ac:dyDescent="0.25">
      <c r="A148">
        <v>147</v>
      </c>
      <c r="B148" s="1">
        <v>1151</v>
      </c>
      <c r="C148">
        <f>C147+E147-H147</f>
        <v>1149</v>
      </c>
      <c r="D148">
        <f>D147+F147</f>
        <v>1168</v>
      </c>
      <c r="E148">
        <v>11</v>
      </c>
      <c r="F148">
        <v>8</v>
      </c>
      <c r="G148">
        <f t="shared" si="2"/>
        <v>1176</v>
      </c>
      <c r="H148">
        <f>IF(DAY($B148) = 3,LEN($G148)+2,LEN($G148))</f>
        <v>4</v>
      </c>
    </row>
    <row r="149" spans="1:8" x14ac:dyDescent="0.25">
      <c r="A149">
        <v>148</v>
      </c>
      <c r="B149" s="1">
        <v>1152</v>
      </c>
      <c r="C149">
        <f>C148+E148-H148</f>
        <v>1156</v>
      </c>
      <c r="D149">
        <f>D148+F148</f>
        <v>1176</v>
      </c>
      <c r="E149">
        <v>11</v>
      </c>
      <c r="F149">
        <v>8</v>
      </c>
      <c r="G149">
        <f t="shared" si="2"/>
        <v>1184</v>
      </c>
      <c r="H149">
        <f>IF(DAY($B149) = 3,LEN($G149)+2,LEN($G149))</f>
        <v>4</v>
      </c>
    </row>
    <row r="150" spans="1:8" x14ac:dyDescent="0.25">
      <c r="A150">
        <v>149</v>
      </c>
      <c r="B150" s="1">
        <v>1153</v>
      </c>
      <c r="C150">
        <f>C149+E149-H149</f>
        <v>1163</v>
      </c>
      <c r="D150">
        <f>D149+F149</f>
        <v>1184</v>
      </c>
      <c r="E150">
        <v>11</v>
      </c>
      <c r="F150">
        <v>8</v>
      </c>
      <c r="G150">
        <f t="shared" si="2"/>
        <v>1192</v>
      </c>
      <c r="H150">
        <f>IF(DAY($B150) = 3,LEN($G150)+2,LEN($G150))</f>
        <v>4</v>
      </c>
    </row>
    <row r="151" spans="1:8" x14ac:dyDescent="0.25">
      <c r="A151">
        <v>150</v>
      </c>
      <c r="B151" s="1">
        <v>1154</v>
      </c>
      <c r="C151">
        <f>C150+E150-H150</f>
        <v>1170</v>
      </c>
      <c r="D151">
        <f>D150+F150</f>
        <v>1192</v>
      </c>
      <c r="E151">
        <v>11</v>
      </c>
      <c r="F151">
        <v>8</v>
      </c>
      <c r="G151">
        <f t="shared" si="2"/>
        <v>1200</v>
      </c>
      <c r="H151">
        <f>IF(DAY($B151) = 3,LEN($G151)+2,LEN($G151))</f>
        <v>4</v>
      </c>
    </row>
    <row r="152" spans="1:8" x14ac:dyDescent="0.25">
      <c r="B152" s="1"/>
    </row>
    <row r="153" spans="1:8" x14ac:dyDescent="0.25">
      <c r="B153" s="1"/>
    </row>
    <row r="154" spans="1:8" x14ac:dyDescent="0.25">
      <c r="B154" s="1"/>
    </row>
    <row r="155" spans="1:8" x14ac:dyDescent="0.25">
      <c r="B155" s="1"/>
    </row>
    <row r="156" spans="1:8" x14ac:dyDescent="0.25">
      <c r="B156" s="1"/>
    </row>
    <row r="157" spans="1:8" x14ac:dyDescent="0.25">
      <c r="B157" s="1"/>
    </row>
    <row r="158" spans="1:8" x14ac:dyDescent="0.25">
      <c r="B158" s="1"/>
    </row>
    <row r="159" spans="1:8" x14ac:dyDescent="0.25">
      <c r="B159" s="1"/>
    </row>
    <row r="160" spans="1:8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A1A5-C0F2-4603-9164-387C6C170A7E}">
  <dimension ref="A1:M1501"/>
  <sheetViews>
    <sheetView tabSelected="1" workbookViewId="0">
      <selection activeCell="Q34" sqref="Q34"/>
    </sheetView>
  </sheetViews>
  <sheetFormatPr defaultRowHeight="15" x14ac:dyDescent="0.25"/>
  <cols>
    <col min="2" max="2" width="13.140625" customWidth="1"/>
    <col min="5" max="5" width="12.85546875" customWidth="1"/>
    <col min="6" max="6" width="15" customWidth="1"/>
    <col min="7" max="7" width="17.5703125" customWidth="1"/>
    <col min="8" max="8" width="22.42578125" customWidth="1"/>
    <col min="9" max="9" width="19.5703125" customWidth="1"/>
    <col min="10" max="10" width="15.85546875" customWidth="1"/>
    <col min="11" max="11" width="15.7109375" customWidth="1"/>
    <col min="13" max="13" width="13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7</v>
      </c>
      <c r="H1" t="s">
        <v>6</v>
      </c>
      <c r="I1" t="s">
        <v>10</v>
      </c>
      <c r="J1" t="s">
        <v>8</v>
      </c>
      <c r="K1" t="s">
        <v>9</v>
      </c>
    </row>
    <row r="2" spans="1:13" x14ac:dyDescent="0.25">
      <c r="A2">
        <v>1</v>
      </c>
      <c r="B2" s="1">
        <v>1005</v>
      </c>
      <c r="C2">
        <v>0</v>
      </c>
      <c r="D2">
        <v>0</v>
      </c>
      <c r="E2">
        <v>11</v>
      </c>
      <c r="F2">
        <v>8</v>
      </c>
      <c r="G2">
        <f>F2</f>
        <v>8</v>
      </c>
      <c r="H2">
        <f>IF(DAY($B2) = 3,LEN($G2)+2,LEN($G2))</f>
        <v>1</v>
      </c>
      <c r="I2">
        <f>ABS(C2-D2)</f>
        <v>0</v>
      </c>
      <c r="J2">
        <f>H2-K2</f>
        <v>1</v>
      </c>
      <c r="K2">
        <f>0</f>
        <v>0</v>
      </c>
      <c r="M2" t="s">
        <v>11</v>
      </c>
    </row>
    <row r="3" spans="1:13" x14ac:dyDescent="0.25">
      <c r="A3">
        <v>2</v>
      </c>
      <c r="B3" s="1">
        <v>1006</v>
      </c>
      <c r="C3">
        <f>C2+E2-H2</f>
        <v>10</v>
      </c>
      <c r="D3">
        <f>D2+F2</f>
        <v>8</v>
      </c>
      <c r="E3">
        <v>11</v>
      </c>
      <c r="F3">
        <v>8</v>
      </c>
      <c r="G3">
        <f>G2+F3</f>
        <v>16</v>
      </c>
      <c r="H3">
        <f>IF(DAY($B3) = 3,LEN($G3)+2,LEN($G3))</f>
        <v>2</v>
      </c>
      <c r="I3">
        <f>ABS(C3-D3)</f>
        <v>2</v>
      </c>
      <c r="J3">
        <f>J2+H3-K2</f>
        <v>3</v>
      </c>
      <c r="K3">
        <f>IF(WEEKDAY(B3,2)=6,ROUNDDOWN(J3*0.1,0),0)</f>
        <v>0</v>
      </c>
      <c r="M3">
        <f>SUM(K1:K151)</f>
        <v>260</v>
      </c>
    </row>
    <row r="4" spans="1:13" x14ac:dyDescent="0.25">
      <c r="A4">
        <v>3</v>
      </c>
      <c r="B4" s="1">
        <v>1007</v>
      </c>
      <c r="C4">
        <f>C3+E3-H3</f>
        <v>19</v>
      </c>
      <c r="D4">
        <f>D3+F3</f>
        <v>16</v>
      </c>
      <c r="E4">
        <v>11</v>
      </c>
      <c r="F4">
        <v>8</v>
      </c>
      <c r="G4">
        <f t="shared" ref="G4:H67" si="0">G3+F4</f>
        <v>24</v>
      </c>
      <c r="H4">
        <f>IF(DAY($B4) = 3,LEN($G4)+2,LEN($G4))</f>
        <v>4</v>
      </c>
      <c r="I4">
        <f t="shared" ref="I4:I66" si="1">ABS(C4-D4)</f>
        <v>3</v>
      </c>
      <c r="J4">
        <f t="shared" ref="J4:J67" si="2">J3+H4-K3</f>
        <v>7</v>
      </c>
      <c r="K4">
        <f t="shared" ref="K4:K67" si="3">IF(WEEKDAY(B4,2)=6,ROUNDDOWN(J4*0.1,0),0)</f>
        <v>0</v>
      </c>
    </row>
    <row r="5" spans="1:13" x14ac:dyDescent="0.25">
      <c r="A5">
        <v>4</v>
      </c>
      <c r="B5" s="1">
        <v>1008</v>
      </c>
      <c r="C5">
        <f>C4+E4-H4</f>
        <v>26</v>
      </c>
      <c r="D5">
        <f>D4+F4</f>
        <v>24</v>
      </c>
      <c r="E5">
        <v>11</v>
      </c>
      <c r="F5">
        <v>8</v>
      </c>
      <c r="G5">
        <f t="shared" si="0"/>
        <v>32</v>
      </c>
      <c r="H5">
        <f>IF(DAY($B5) = 3,LEN($G5)+2,LEN($G5))</f>
        <v>2</v>
      </c>
      <c r="I5">
        <f t="shared" si="1"/>
        <v>2</v>
      </c>
      <c r="J5">
        <f t="shared" si="2"/>
        <v>9</v>
      </c>
      <c r="K5">
        <f t="shared" si="3"/>
        <v>0</v>
      </c>
      <c r="M5" t="s">
        <v>12</v>
      </c>
    </row>
    <row r="6" spans="1:13" x14ac:dyDescent="0.25">
      <c r="A6">
        <v>5</v>
      </c>
      <c r="B6" s="1">
        <v>1009</v>
      </c>
      <c r="C6">
        <f>C5+E5-H5</f>
        <v>35</v>
      </c>
      <c r="D6">
        <f>D5+F5</f>
        <v>32</v>
      </c>
      <c r="E6">
        <v>11</v>
      </c>
      <c r="F6">
        <v>8</v>
      </c>
      <c r="G6">
        <f t="shared" si="0"/>
        <v>40</v>
      </c>
      <c r="H6">
        <f>IF(DAY($B6) = 3,LEN($G6)+2,LEN($G6))</f>
        <v>2</v>
      </c>
      <c r="I6">
        <f t="shared" si="1"/>
        <v>3</v>
      </c>
      <c r="J6">
        <f t="shared" si="2"/>
        <v>11</v>
      </c>
      <c r="K6">
        <f t="shared" si="3"/>
        <v>0</v>
      </c>
      <c r="M6">
        <f>SUMIF(H2:H151,"&gt;=4")</f>
        <v>125</v>
      </c>
    </row>
    <row r="7" spans="1:13" x14ac:dyDescent="0.25">
      <c r="A7">
        <v>6</v>
      </c>
      <c r="B7" s="1">
        <v>1010</v>
      </c>
      <c r="C7">
        <f>C6+E6-H6</f>
        <v>44</v>
      </c>
      <c r="D7">
        <f>D6+F6</f>
        <v>40</v>
      </c>
      <c r="E7">
        <v>11</v>
      </c>
      <c r="F7">
        <v>8</v>
      </c>
      <c r="G7">
        <f t="shared" si="0"/>
        <v>48</v>
      </c>
      <c r="H7">
        <f>IF(DAY($B7) = 3,LEN($G7)+2,LEN($G7))</f>
        <v>2</v>
      </c>
      <c r="I7">
        <f t="shared" si="1"/>
        <v>4</v>
      </c>
      <c r="J7">
        <f t="shared" si="2"/>
        <v>13</v>
      </c>
      <c r="K7">
        <f t="shared" si="3"/>
        <v>0</v>
      </c>
    </row>
    <row r="8" spans="1:13" x14ac:dyDescent="0.25">
      <c r="A8">
        <v>7</v>
      </c>
      <c r="B8" s="1">
        <v>1011</v>
      </c>
      <c r="C8">
        <f>C7+E7-H7</f>
        <v>53</v>
      </c>
      <c r="D8">
        <f>D7+F7</f>
        <v>48</v>
      </c>
      <c r="E8">
        <v>11</v>
      </c>
      <c r="F8">
        <v>8</v>
      </c>
      <c r="G8">
        <f t="shared" si="0"/>
        <v>56</v>
      </c>
      <c r="H8">
        <f>IF(DAY($B8) = 3,LEN($G8)+2,LEN($G8))</f>
        <v>2</v>
      </c>
      <c r="I8">
        <f t="shared" si="1"/>
        <v>5</v>
      </c>
      <c r="J8">
        <f t="shared" si="2"/>
        <v>15</v>
      </c>
      <c r="K8">
        <f t="shared" si="3"/>
        <v>0</v>
      </c>
      <c r="M8" t="s">
        <v>13</v>
      </c>
    </row>
    <row r="9" spans="1:13" x14ac:dyDescent="0.25">
      <c r="A9">
        <v>8</v>
      </c>
      <c r="B9" s="1">
        <v>1012</v>
      </c>
      <c r="C9">
        <f>C8+E8-H8</f>
        <v>62</v>
      </c>
      <c r="D9">
        <f>D8+F8</f>
        <v>56</v>
      </c>
      <c r="E9">
        <v>11</v>
      </c>
      <c r="F9">
        <v>8</v>
      </c>
      <c r="G9">
        <f t="shared" si="0"/>
        <v>64</v>
      </c>
      <c r="H9">
        <f>IF(DAY($B9) = 3,LEN($G9)+2,LEN($G9))</f>
        <v>2</v>
      </c>
      <c r="I9">
        <f t="shared" si="1"/>
        <v>6</v>
      </c>
      <c r="J9">
        <f t="shared" si="2"/>
        <v>17</v>
      </c>
      <c r="K9">
        <f t="shared" si="3"/>
        <v>0</v>
      </c>
      <c r="M9" s="2">
        <f>AVERAGE(I3:I152)</f>
        <v>8.1266666666666669</v>
      </c>
    </row>
    <row r="10" spans="1:13" x14ac:dyDescent="0.25">
      <c r="A10">
        <v>9</v>
      </c>
      <c r="B10" s="1">
        <v>1013</v>
      </c>
      <c r="C10">
        <f>C9+E9-H9</f>
        <v>71</v>
      </c>
      <c r="D10">
        <f>D9+F9</f>
        <v>64</v>
      </c>
      <c r="E10">
        <v>11</v>
      </c>
      <c r="F10">
        <v>8</v>
      </c>
      <c r="G10">
        <f t="shared" si="0"/>
        <v>72</v>
      </c>
      <c r="H10">
        <f>IF(DAY($B10) = 3,LEN($G10)+2,LEN($G10))</f>
        <v>2</v>
      </c>
      <c r="I10">
        <f t="shared" si="1"/>
        <v>7</v>
      </c>
      <c r="J10">
        <f t="shared" si="2"/>
        <v>19</v>
      </c>
      <c r="K10">
        <f t="shared" si="3"/>
        <v>0</v>
      </c>
    </row>
    <row r="11" spans="1:13" x14ac:dyDescent="0.25">
      <c r="A11">
        <v>10</v>
      </c>
      <c r="B11" s="1">
        <v>1014</v>
      </c>
      <c r="C11">
        <f>C10+E10-H10</f>
        <v>80</v>
      </c>
      <c r="D11">
        <f>D10+F10</f>
        <v>72</v>
      </c>
      <c r="E11">
        <v>11</v>
      </c>
      <c r="F11">
        <v>8</v>
      </c>
      <c r="G11">
        <f t="shared" si="0"/>
        <v>80</v>
      </c>
      <c r="H11">
        <f>IF(DAY($B11) = 3,LEN($G11)+2,LEN($G11))</f>
        <v>2</v>
      </c>
      <c r="I11">
        <f t="shared" si="1"/>
        <v>8</v>
      </c>
      <c r="J11">
        <f t="shared" si="2"/>
        <v>21</v>
      </c>
      <c r="K11">
        <f t="shared" si="3"/>
        <v>0</v>
      </c>
    </row>
    <row r="12" spans="1:13" x14ac:dyDescent="0.25">
      <c r="A12">
        <v>11</v>
      </c>
      <c r="B12" s="1">
        <v>1015</v>
      </c>
      <c r="C12">
        <f>C11+E11-H11</f>
        <v>89</v>
      </c>
      <c r="D12">
        <f>D11+F11</f>
        <v>80</v>
      </c>
      <c r="E12">
        <v>11</v>
      </c>
      <c r="F12">
        <v>8</v>
      </c>
      <c r="G12">
        <f t="shared" si="0"/>
        <v>88</v>
      </c>
      <c r="H12">
        <f>IF(DAY($B12) = 3,LEN($G12)+2,LEN($G12))</f>
        <v>2</v>
      </c>
      <c r="I12">
        <f t="shared" si="1"/>
        <v>9</v>
      </c>
      <c r="J12">
        <f t="shared" si="2"/>
        <v>23</v>
      </c>
      <c r="K12">
        <f t="shared" si="3"/>
        <v>2</v>
      </c>
    </row>
    <row r="13" spans="1:13" x14ac:dyDescent="0.25">
      <c r="A13">
        <v>12</v>
      </c>
      <c r="B13" s="1">
        <v>1016</v>
      </c>
      <c r="C13">
        <f>C12+E12-H12</f>
        <v>98</v>
      </c>
      <c r="D13">
        <f>D12+F12</f>
        <v>88</v>
      </c>
      <c r="E13">
        <v>11</v>
      </c>
      <c r="F13">
        <v>8</v>
      </c>
      <c r="G13">
        <f t="shared" si="0"/>
        <v>96</v>
      </c>
      <c r="H13">
        <f>IF(DAY($B13) = 3,LEN($G13)+2,LEN($G13))</f>
        <v>2</v>
      </c>
      <c r="I13">
        <f t="shared" si="1"/>
        <v>10</v>
      </c>
      <c r="J13">
        <f t="shared" si="2"/>
        <v>23</v>
      </c>
      <c r="K13">
        <f t="shared" si="3"/>
        <v>0</v>
      </c>
    </row>
    <row r="14" spans="1:13" x14ac:dyDescent="0.25">
      <c r="A14">
        <v>13</v>
      </c>
      <c r="B14" s="1">
        <v>1017</v>
      </c>
      <c r="C14">
        <f>C13+E13-H13</f>
        <v>107</v>
      </c>
      <c r="D14">
        <f>D13+F13</f>
        <v>96</v>
      </c>
      <c r="E14">
        <v>11</v>
      </c>
      <c r="F14">
        <v>8</v>
      </c>
      <c r="G14">
        <f t="shared" si="0"/>
        <v>104</v>
      </c>
      <c r="H14">
        <f>IF(DAY($B14) = 3,LEN($G14)+2,LEN($G14))</f>
        <v>3</v>
      </c>
      <c r="I14">
        <f t="shared" si="1"/>
        <v>11</v>
      </c>
      <c r="J14">
        <f t="shared" si="2"/>
        <v>26</v>
      </c>
      <c r="K14">
        <f t="shared" si="3"/>
        <v>0</v>
      </c>
    </row>
    <row r="15" spans="1:13" x14ac:dyDescent="0.25">
      <c r="A15">
        <v>14</v>
      </c>
      <c r="B15" s="1">
        <v>1018</v>
      </c>
      <c r="C15">
        <f>C14+E14-H14</f>
        <v>115</v>
      </c>
      <c r="D15">
        <f>D14+F14</f>
        <v>104</v>
      </c>
      <c r="E15">
        <v>11</v>
      </c>
      <c r="F15">
        <v>8</v>
      </c>
      <c r="G15">
        <f t="shared" si="0"/>
        <v>112</v>
      </c>
      <c r="H15">
        <f>IF(DAY($B15) = 3,LEN($G15)+2,LEN($G15))</f>
        <v>3</v>
      </c>
      <c r="I15">
        <f t="shared" si="1"/>
        <v>11</v>
      </c>
      <c r="J15">
        <f t="shared" si="2"/>
        <v>29</v>
      </c>
      <c r="K15">
        <f t="shared" si="3"/>
        <v>0</v>
      </c>
    </row>
    <row r="16" spans="1:13" x14ac:dyDescent="0.25">
      <c r="A16">
        <v>15</v>
      </c>
      <c r="B16" s="1">
        <v>1019</v>
      </c>
      <c r="C16">
        <f>C15+E15-H15</f>
        <v>123</v>
      </c>
      <c r="D16">
        <f>D15+F15</f>
        <v>112</v>
      </c>
      <c r="E16">
        <v>11</v>
      </c>
      <c r="F16">
        <v>8</v>
      </c>
      <c r="G16">
        <f t="shared" si="0"/>
        <v>120</v>
      </c>
      <c r="H16">
        <f>IF(DAY($B16) = 3,LEN($G16)+2,LEN($G16))</f>
        <v>3</v>
      </c>
      <c r="I16">
        <f t="shared" si="1"/>
        <v>11</v>
      </c>
      <c r="J16">
        <f t="shared" si="2"/>
        <v>32</v>
      </c>
      <c r="K16">
        <f t="shared" si="3"/>
        <v>0</v>
      </c>
    </row>
    <row r="17" spans="1:11" x14ac:dyDescent="0.25">
      <c r="A17">
        <v>16</v>
      </c>
      <c r="B17" s="1">
        <v>1020</v>
      </c>
      <c r="C17">
        <f>C16+E16-H16</f>
        <v>131</v>
      </c>
      <c r="D17">
        <f>D16+F16</f>
        <v>120</v>
      </c>
      <c r="E17">
        <v>11</v>
      </c>
      <c r="F17">
        <v>8</v>
      </c>
      <c r="G17">
        <f t="shared" si="0"/>
        <v>128</v>
      </c>
      <c r="H17">
        <f>IF(DAY($B17) = 3,LEN($G17)+2,LEN($G17))</f>
        <v>3</v>
      </c>
      <c r="I17">
        <f t="shared" si="1"/>
        <v>11</v>
      </c>
      <c r="J17">
        <f t="shared" si="2"/>
        <v>35</v>
      </c>
      <c r="K17">
        <f t="shared" si="3"/>
        <v>0</v>
      </c>
    </row>
    <row r="18" spans="1:11" x14ac:dyDescent="0.25">
      <c r="A18">
        <v>17</v>
      </c>
      <c r="B18" s="1">
        <v>1021</v>
      </c>
      <c r="C18">
        <f>C17+E17-H17</f>
        <v>139</v>
      </c>
      <c r="D18">
        <f>D17+F17</f>
        <v>128</v>
      </c>
      <c r="E18">
        <v>11</v>
      </c>
      <c r="F18">
        <v>8</v>
      </c>
      <c r="G18">
        <f t="shared" si="0"/>
        <v>136</v>
      </c>
      <c r="H18">
        <f>IF(DAY($B18) = 3,LEN($G18)+2,LEN($G18))</f>
        <v>3</v>
      </c>
      <c r="I18">
        <f t="shared" si="1"/>
        <v>11</v>
      </c>
      <c r="J18">
        <f t="shared" si="2"/>
        <v>38</v>
      </c>
      <c r="K18">
        <f t="shared" si="3"/>
        <v>0</v>
      </c>
    </row>
    <row r="19" spans="1:11" x14ac:dyDescent="0.25">
      <c r="A19">
        <v>18</v>
      </c>
      <c r="B19" s="1">
        <v>1022</v>
      </c>
      <c r="C19">
        <f>C18+E18-H18</f>
        <v>147</v>
      </c>
      <c r="D19">
        <f>D18+F18</f>
        <v>136</v>
      </c>
      <c r="E19">
        <v>11</v>
      </c>
      <c r="F19">
        <v>8</v>
      </c>
      <c r="G19">
        <f t="shared" si="0"/>
        <v>144</v>
      </c>
      <c r="H19">
        <f>IF(DAY($B19) = 3,LEN($G19)+2,LEN($G19))</f>
        <v>3</v>
      </c>
      <c r="I19">
        <f t="shared" si="1"/>
        <v>11</v>
      </c>
      <c r="J19">
        <f t="shared" si="2"/>
        <v>41</v>
      </c>
      <c r="K19">
        <f t="shared" si="3"/>
        <v>4</v>
      </c>
    </row>
    <row r="20" spans="1:11" x14ac:dyDescent="0.25">
      <c r="A20">
        <v>19</v>
      </c>
      <c r="B20" s="1">
        <v>1023</v>
      </c>
      <c r="C20">
        <f>C19+E19-H19</f>
        <v>155</v>
      </c>
      <c r="D20">
        <f>D19+F19</f>
        <v>144</v>
      </c>
      <c r="E20">
        <v>11</v>
      </c>
      <c r="F20">
        <v>8</v>
      </c>
      <c r="G20">
        <f t="shared" si="0"/>
        <v>152</v>
      </c>
      <c r="H20">
        <f>IF(DAY($B20) = 3,LEN($G20)+2,LEN($G20))</f>
        <v>3</v>
      </c>
      <c r="I20">
        <f t="shared" si="1"/>
        <v>11</v>
      </c>
      <c r="J20">
        <f t="shared" si="2"/>
        <v>40</v>
      </c>
      <c r="K20">
        <f t="shared" si="3"/>
        <v>0</v>
      </c>
    </row>
    <row r="21" spans="1:11" x14ac:dyDescent="0.25">
      <c r="A21">
        <v>20</v>
      </c>
      <c r="B21" s="1">
        <v>1024</v>
      </c>
      <c r="C21">
        <f>C20+E20-H20</f>
        <v>163</v>
      </c>
      <c r="D21">
        <f>D20+F20</f>
        <v>152</v>
      </c>
      <c r="E21">
        <v>11</v>
      </c>
      <c r="F21">
        <v>8</v>
      </c>
      <c r="G21">
        <f t="shared" si="0"/>
        <v>160</v>
      </c>
      <c r="H21">
        <f>IF(DAY($B21) = 3,LEN($G21)+2,LEN($G21))</f>
        <v>3</v>
      </c>
      <c r="I21">
        <f t="shared" si="1"/>
        <v>11</v>
      </c>
      <c r="J21">
        <f t="shared" si="2"/>
        <v>43</v>
      </c>
      <c r="K21">
        <f t="shared" si="3"/>
        <v>0</v>
      </c>
    </row>
    <row r="22" spans="1:11" x14ac:dyDescent="0.25">
      <c r="A22">
        <v>21</v>
      </c>
      <c r="B22" s="1">
        <v>1025</v>
      </c>
      <c r="C22">
        <f>C21+E21-H21</f>
        <v>171</v>
      </c>
      <c r="D22">
        <f>D21+F21</f>
        <v>160</v>
      </c>
      <c r="E22">
        <v>11</v>
      </c>
      <c r="F22">
        <v>8</v>
      </c>
      <c r="G22">
        <f t="shared" si="0"/>
        <v>168</v>
      </c>
      <c r="H22">
        <f>IF(DAY($B22) = 3,LEN($G22)+2,LEN($G22))</f>
        <v>3</v>
      </c>
      <c r="I22">
        <f t="shared" si="1"/>
        <v>11</v>
      </c>
      <c r="J22">
        <f t="shared" si="2"/>
        <v>46</v>
      </c>
      <c r="K22">
        <f t="shared" si="3"/>
        <v>0</v>
      </c>
    </row>
    <row r="23" spans="1:11" x14ac:dyDescent="0.25">
      <c r="A23">
        <v>22</v>
      </c>
      <c r="B23" s="1">
        <v>1026</v>
      </c>
      <c r="C23">
        <f>C22+E22-H22</f>
        <v>179</v>
      </c>
      <c r="D23">
        <f>D22+F22</f>
        <v>168</v>
      </c>
      <c r="E23">
        <v>11</v>
      </c>
      <c r="F23">
        <v>8</v>
      </c>
      <c r="G23">
        <f t="shared" si="0"/>
        <v>176</v>
      </c>
      <c r="H23">
        <f>IF(DAY($B23) = 3,LEN($G23)+2,LEN($G23))</f>
        <v>3</v>
      </c>
      <c r="I23">
        <f t="shared" si="1"/>
        <v>11</v>
      </c>
      <c r="J23">
        <f t="shared" si="2"/>
        <v>49</v>
      </c>
      <c r="K23">
        <f t="shared" si="3"/>
        <v>0</v>
      </c>
    </row>
    <row r="24" spans="1:11" x14ac:dyDescent="0.25">
      <c r="A24">
        <v>23</v>
      </c>
      <c r="B24" s="1">
        <v>1027</v>
      </c>
      <c r="C24">
        <f>C23+E23-H23</f>
        <v>187</v>
      </c>
      <c r="D24">
        <f>D23+F23</f>
        <v>176</v>
      </c>
      <c r="E24">
        <v>11</v>
      </c>
      <c r="F24">
        <v>8</v>
      </c>
      <c r="G24">
        <f t="shared" si="0"/>
        <v>184</v>
      </c>
      <c r="H24">
        <f>IF(DAY($B24) = 3,LEN($G24)+2,LEN($G24))</f>
        <v>3</v>
      </c>
      <c r="I24">
        <f t="shared" si="1"/>
        <v>11</v>
      </c>
      <c r="J24">
        <f t="shared" si="2"/>
        <v>52</v>
      </c>
      <c r="K24">
        <f t="shared" si="3"/>
        <v>0</v>
      </c>
    </row>
    <row r="25" spans="1:11" x14ac:dyDescent="0.25">
      <c r="A25">
        <v>24</v>
      </c>
      <c r="B25" s="1">
        <v>1028</v>
      </c>
      <c r="C25">
        <f>C24+E24-H24</f>
        <v>195</v>
      </c>
      <c r="D25">
        <f>D24+F24</f>
        <v>184</v>
      </c>
      <c r="E25">
        <v>11</v>
      </c>
      <c r="F25">
        <v>8</v>
      </c>
      <c r="G25">
        <f t="shared" si="0"/>
        <v>192</v>
      </c>
      <c r="H25">
        <f>IF(DAY($B25) = 3,LEN($G25)+2,LEN($G25))</f>
        <v>3</v>
      </c>
      <c r="I25">
        <f t="shared" si="1"/>
        <v>11</v>
      </c>
      <c r="J25">
        <f t="shared" si="2"/>
        <v>55</v>
      </c>
      <c r="K25">
        <f t="shared" si="3"/>
        <v>0</v>
      </c>
    </row>
    <row r="26" spans="1:11" x14ac:dyDescent="0.25">
      <c r="A26">
        <v>25</v>
      </c>
      <c r="B26" s="1">
        <v>1029</v>
      </c>
      <c r="C26">
        <f>C25+E25-H25</f>
        <v>203</v>
      </c>
      <c r="D26">
        <f>D25+F25</f>
        <v>192</v>
      </c>
      <c r="E26">
        <v>11</v>
      </c>
      <c r="F26">
        <v>8</v>
      </c>
      <c r="G26">
        <f t="shared" si="0"/>
        <v>200</v>
      </c>
      <c r="H26">
        <f>IF(DAY($B26) = 3,LEN($G26)+2,LEN($G26))</f>
        <v>3</v>
      </c>
      <c r="I26">
        <f t="shared" si="1"/>
        <v>11</v>
      </c>
      <c r="J26">
        <f t="shared" si="2"/>
        <v>58</v>
      </c>
      <c r="K26">
        <f t="shared" si="3"/>
        <v>5</v>
      </c>
    </row>
    <row r="27" spans="1:11" x14ac:dyDescent="0.25">
      <c r="A27">
        <v>26</v>
      </c>
      <c r="B27" s="1">
        <v>1030</v>
      </c>
      <c r="C27">
        <f>C26+E26-H26</f>
        <v>211</v>
      </c>
      <c r="D27">
        <f>D26+F26</f>
        <v>200</v>
      </c>
      <c r="E27">
        <v>11</v>
      </c>
      <c r="F27">
        <v>8</v>
      </c>
      <c r="G27">
        <f t="shared" si="0"/>
        <v>208</v>
      </c>
      <c r="H27">
        <f>IF(DAY($B27) = 3,LEN($G27)+2,LEN($G27))</f>
        <v>3</v>
      </c>
      <c r="I27">
        <f t="shared" si="1"/>
        <v>11</v>
      </c>
      <c r="J27">
        <f t="shared" si="2"/>
        <v>56</v>
      </c>
      <c r="K27">
        <f t="shared" si="3"/>
        <v>0</v>
      </c>
    </row>
    <row r="28" spans="1:11" x14ac:dyDescent="0.25">
      <c r="A28">
        <v>27</v>
      </c>
      <c r="B28" s="1">
        <v>1031</v>
      </c>
      <c r="C28">
        <f>C27+E27-H27</f>
        <v>219</v>
      </c>
      <c r="D28">
        <f>D27+F27</f>
        <v>208</v>
      </c>
      <c r="E28">
        <v>11</v>
      </c>
      <c r="F28">
        <v>8</v>
      </c>
      <c r="G28">
        <f t="shared" si="0"/>
        <v>216</v>
      </c>
      <c r="H28">
        <f>IF(DAY($B28) = 3,LEN($G28)+2,LEN($G28))</f>
        <v>3</v>
      </c>
      <c r="I28">
        <f t="shared" si="1"/>
        <v>11</v>
      </c>
      <c r="J28">
        <f t="shared" si="2"/>
        <v>59</v>
      </c>
      <c r="K28">
        <f t="shared" si="3"/>
        <v>0</v>
      </c>
    </row>
    <row r="29" spans="1:11" x14ac:dyDescent="0.25">
      <c r="A29">
        <v>28</v>
      </c>
      <c r="B29" s="1">
        <v>1032</v>
      </c>
      <c r="C29">
        <f>C28+E28-H28</f>
        <v>227</v>
      </c>
      <c r="D29">
        <f>D28+F28</f>
        <v>216</v>
      </c>
      <c r="E29">
        <v>11</v>
      </c>
      <c r="F29">
        <v>8</v>
      </c>
      <c r="G29">
        <f t="shared" si="0"/>
        <v>224</v>
      </c>
      <c r="H29">
        <f>IF(DAY($B29) = 3,LEN($G29)+2,LEN($G29))</f>
        <v>3</v>
      </c>
      <c r="I29">
        <f t="shared" si="1"/>
        <v>11</v>
      </c>
      <c r="J29">
        <f t="shared" si="2"/>
        <v>62</v>
      </c>
      <c r="K29">
        <f t="shared" si="3"/>
        <v>0</v>
      </c>
    </row>
    <row r="30" spans="1:11" x14ac:dyDescent="0.25">
      <c r="A30">
        <v>29</v>
      </c>
      <c r="B30" s="1">
        <v>1033</v>
      </c>
      <c r="C30">
        <f>C29+E29-H29</f>
        <v>235</v>
      </c>
      <c r="D30">
        <f>D29+F29</f>
        <v>224</v>
      </c>
      <c r="E30">
        <v>11</v>
      </c>
      <c r="F30">
        <v>8</v>
      </c>
      <c r="G30">
        <f t="shared" si="0"/>
        <v>232</v>
      </c>
      <c r="H30">
        <f>IF(DAY($B30) = 3,LEN($G30)+2,LEN($G30))</f>
        <v>3</v>
      </c>
      <c r="I30">
        <f t="shared" si="1"/>
        <v>11</v>
      </c>
      <c r="J30">
        <f t="shared" si="2"/>
        <v>65</v>
      </c>
      <c r="K30">
        <f t="shared" si="3"/>
        <v>0</v>
      </c>
    </row>
    <row r="31" spans="1:11" x14ac:dyDescent="0.25">
      <c r="A31">
        <v>30</v>
      </c>
      <c r="B31" s="1">
        <v>1034</v>
      </c>
      <c r="C31">
        <f>C30+E30-H30</f>
        <v>243</v>
      </c>
      <c r="D31">
        <f>D30+F30</f>
        <v>232</v>
      </c>
      <c r="E31">
        <v>11</v>
      </c>
      <c r="F31">
        <v>8</v>
      </c>
      <c r="G31">
        <f t="shared" si="0"/>
        <v>240</v>
      </c>
      <c r="H31">
        <f>IF(DAY($B31) = 3,LEN($G31)+2,LEN($G31))</f>
        <v>3</v>
      </c>
      <c r="I31">
        <f t="shared" si="1"/>
        <v>11</v>
      </c>
      <c r="J31">
        <f t="shared" si="2"/>
        <v>68</v>
      </c>
      <c r="K31">
        <f t="shared" si="3"/>
        <v>0</v>
      </c>
    </row>
    <row r="32" spans="1:11" x14ac:dyDescent="0.25">
      <c r="A32">
        <v>31</v>
      </c>
      <c r="B32" s="1">
        <v>1035</v>
      </c>
      <c r="C32">
        <f>C31+E31-H31</f>
        <v>251</v>
      </c>
      <c r="D32">
        <f>D31+F31</f>
        <v>240</v>
      </c>
      <c r="E32">
        <v>11</v>
      </c>
      <c r="F32">
        <v>8</v>
      </c>
      <c r="G32">
        <f t="shared" si="0"/>
        <v>248</v>
      </c>
      <c r="H32">
        <f>IF(DAY($B32) = 3,LEN($G32)+2,LEN($G32))</f>
        <v>3</v>
      </c>
      <c r="I32">
        <f t="shared" si="1"/>
        <v>11</v>
      </c>
      <c r="J32">
        <f t="shared" si="2"/>
        <v>71</v>
      </c>
      <c r="K32">
        <f t="shared" si="3"/>
        <v>0</v>
      </c>
    </row>
    <row r="33" spans="1:11" x14ac:dyDescent="0.25">
      <c r="A33">
        <v>32</v>
      </c>
      <c r="B33" s="1">
        <v>1036</v>
      </c>
      <c r="C33">
        <f>C32+E32-H32</f>
        <v>259</v>
      </c>
      <c r="D33">
        <f>D32+F32</f>
        <v>248</v>
      </c>
      <c r="E33">
        <v>11</v>
      </c>
      <c r="F33">
        <v>8</v>
      </c>
      <c r="G33">
        <f t="shared" si="0"/>
        <v>256</v>
      </c>
      <c r="H33">
        <f>IF(DAY($B33) = 3,LEN($G33)+2,LEN($G33))</f>
        <v>3</v>
      </c>
      <c r="I33">
        <f t="shared" si="1"/>
        <v>11</v>
      </c>
      <c r="J33">
        <f t="shared" si="2"/>
        <v>74</v>
      </c>
      <c r="K33">
        <f t="shared" si="3"/>
        <v>7</v>
      </c>
    </row>
    <row r="34" spans="1:11" x14ac:dyDescent="0.25">
      <c r="A34">
        <v>33</v>
      </c>
      <c r="B34" s="1">
        <v>1037</v>
      </c>
      <c r="C34">
        <f>C33+E33-H33</f>
        <v>267</v>
      </c>
      <c r="D34">
        <f>D33+F33</f>
        <v>256</v>
      </c>
      <c r="E34">
        <v>11</v>
      </c>
      <c r="F34">
        <v>8</v>
      </c>
      <c r="G34">
        <f t="shared" si="0"/>
        <v>264</v>
      </c>
      <c r="H34">
        <f>IF(DAY($B34) = 3,LEN($G34)+2,LEN($G34))</f>
        <v>3</v>
      </c>
      <c r="I34">
        <f t="shared" si="1"/>
        <v>11</v>
      </c>
      <c r="J34">
        <f t="shared" si="2"/>
        <v>70</v>
      </c>
      <c r="K34">
        <f t="shared" si="3"/>
        <v>0</v>
      </c>
    </row>
    <row r="35" spans="1:11" x14ac:dyDescent="0.25">
      <c r="A35">
        <v>34</v>
      </c>
      <c r="B35" s="1">
        <v>1038</v>
      </c>
      <c r="C35">
        <f>C34+E34-H34</f>
        <v>275</v>
      </c>
      <c r="D35">
        <f>D34+F34</f>
        <v>264</v>
      </c>
      <c r="E35">
        <v>11</v>
      </c>
      <c r="F35">
        <v>8</v>
      </c>
      <c r="G35">
        <f t="shared" si="0"/>
        <v>272</v>
      </c>
      <c r="H35">
        <f>IF(DAY($B35) = 3,LEN($G35)+2,LEN($G35))</f>
        <v>5</v>
      </c>
      <c r="I35">
        <f t="shared" si="1"/>
        <v>11</v>
      </c>
      <c r="J35">
        <f t="shared" si="2"/>
        <v>75</v>
      </c>
      <c r="K35">
        <f t="shared" si="3"/>
        <v>0</v>
      </c>
    </row>
    <row r="36" spans="1:11" x14ac:dyDescent="0.25">
      <c r="A36">
        <v>35</v>
      </c>
      <c r="B36" s="1">
        <v>1039</v>
      </c>
      <c r="C36">
        <f>C35+E35-H35</f>
        <v>281</v>
      </c>
      <c r="D36">
        <f>D35+F35</f>
        <v>272</v>
      </c>
      <c r="E36">
        <v>11</v>
      </c>
      <c r="F36">
        <v>8</v>
      </c>
      <c r="G36">
        <f t="shared" si="0"/>
        <v>280</v>
      </c>
      <c r="H36">
        <f>IF(DAY($B36) = 3,LEN($G36)+2,LEN($G36))</f>
        <v>3</v>
      </c>
      <c r="I36">
        <f t="shared" si="1"/>
        <v>9</v>
      </c>
      <c r="J36">
        <f t="shared" si="2"/>
        <v>78</v>
      </c>
      <c r="K36">
        <f t="shared" si="3"/>
        <v>0</v>
      </c>
    </row>
    <row r="37" spans="1:11" x14ac:dyDescent="0.25">
      <c r="A37">
        <v>36</v>
      </c>
      <c r="B37" s="1">
        <v>1040</v>
      </c>
      <c r="C37">
        <f>C36+E36-H36</f>
        <v>289</v>
      </c>
      <c r="D37">
        <f>D36+F36</f>
        <v>280</v>
      </c>
      <c r="E37">
        <v>11</v>
      </c>
      <c r="F37">
        <v>8</v>
      </c>
      <c r="G37">
        <f t="shared" si="0"/>
        <v>288</v>
      </c>
      <c r="H37">
        <f>IF(DAY($B37) = 3,LEN($G37)+2,LEN($G37))</f>
        <v>3</v>
      </c>
      <c r="I37">
        <f t="shared" si="1"/>
        <v>9</v>
      </c>
      <c r="J37">
        <f t="shared" si="2"/>
        <v>81</v>
      </c>
      <c r="K37">
        <f t="shared" si="3"/>
        <v>0</v>
      </c>
    </row>
    <row r="38" spans="1:11" x14ac:dyDescent="0.25">
      <c r="A38">
        <v>37</v>
      </c>
      <c r="B38" s="1">
        <v>1041</v>
      </c>
      <c r="C38">
        <f>C37+E37-H37</f>
        <v>297</v>
      </c>
      <c r="D38">
        <f>D37+F37</f>
        <v>288</v>
      </c>
      <c r="E38">
        <v>11</v>
      </c>
      <c r="F38">
        <v>8</v>
      </c>
      <c r="G38">
        <f t="shared" si="0"/>
        <v>296</v>
      </c>
      <c r="H38">
        <f>IF(DAY($B38) = 3,LEN($G38)+2,LEN($G38))</f>
        <v>3</v>
      </c>
      <c r="I38">
        <f t="shared" si="1"/>
        <v>9</v>
      </c>
      <c r="J38">
        <f t="shared" si="2"/>
        <v>84</v>
      </c>
      <c r="K38">
        <f t="shared" si="3"/>
        <v>0</v>
      </c>
    </row>
    <row r="39" spans="1:11" x14ac:dyDescent="0.25">
      <c r="A39">
        <v>38</v>
      </c>
      <c r="B39" s="1">
        <v>1042</v>
      </c>
      <c r="C39">
        <f>C38+E38-H38</f>
        <v>305</v>
      </c>
      <c r="D39">
        <f>D38+F38</f>
        <v>296</v>
      </c>
      <c r="E39">
        <v>11</v>
      </c>
      <c r="F39">
        <v>8</v>
      </c>
      <c r="G39">
        <f t="shared" si="0"/>
        <v>304</v>
      </c>
      <c r="H39">
        <f>IF(DAY($B39) = 3,LEN($G39)+2,LEN($G39))</f>
        <v>3</v>
      </c>
      <c r="I39">
        <f t="shared" si="1"/>
        <v>9</v>
      </c>
      <c r="J39">
        <f t="shared" si="2"/>
        <v>87</v>
      </c>
      <c r="K39">
        <f t="shared" si="3"/>
        <v>0</v>
      </c>
    </row>
    <row r="40" spans="1:11" x14ac:dyDescent="0.25">
      <c r="A40">
        <v>39</v>
      </c>
      <c r="B40" s="1">
        <v>1043</v>
      </c>
      <c r="C40">
        <f>C39+E39-H39</f>
        <v>313</v>
      </c>
      <c r="D40">
        <f>D39+F39</f>
        <v>304</v>
      </c>
      <c r="E40">
        <v>11</v>
      </c>
      <c r="F40">
        <v>8</v>
      </c>
      <c r="G40">
        <f t="shared" si="0"/>
        <v>312</v>
      </c>
      <c r="H40">
        <f>IF(DAY($B40) = 3,LEN($G40)+2,LEN($G40))</f>
        <v>3</v>
      </c>
      <c r="I40">
        <f t="shared" si="1"/>
        <v>9</v>
      </c>
      <c r="J40">
        <f t="shared" si="2"/>
        <v>90</v>
      </c>
      <c r="K40">
        <f t="shared" si="3"/>
        <v>9</v>
      </c>
    </row>
    <row r="41" spans="1:11" x14ac:dyDescent="0.25">
      <c r="A41">
        <v>40</v>
      </c>
      <c r="B41" s="1">
        <v>1044</v>
      </c>
      <c r="C41">
        <f>C40+E40-H40</f>
        <v>321</v>
      </c>
      <c r="D41">
        <f>D40+F40</f>
        <v>312</v>
      </c>
      <c r="E41">
        <v>11</v>
      </c>
      <c r="F41">
        <v>8</v>
      </c>
      <c r="G41">
        <f t="shared" si="0"/>
        <v>320</v>
      </c>
      <c r="H41">
        <f>IF(DAY($B41) = 3,LEN($G41)+2,LEN($G41))</f>
        <v>3</v>
      </c>
      <c r="I41">
        <f t="shared" si="1"/>
        <v>9</v>
      </c>
      <c r="J41">
        <f t="shared" si="2"/>
        <v>84</v>
      </c>
      <c r="K41">
        <f t="shared" si="3"/>
        <v>0</v>
      </c>
    </row>
    <row r="42" spans="1:11" x14ac:dyDescent="0.25">
      <c r="A42">
        <v>41</v>
      </c>
      <c r="B42" s="1">
        <v>1045</v>
      </c>
      <c r="C42">
        <f>C41+E41-H41</f>
        <v>329</v>
      </c>
      <c r="D42">
        <f>D41+F41</f>
        <v>320</v>
      </c>
      <c r="E42">
        <v>11</v>
      </c>
      <c r="F42">
        <v>8</v>
      </c>
      <c r="G42">
        <f t="shared" si="0"/>
        <v>328</v>
      </c>
      <c r="H42">
        <f>IF(DAY($B42) = 3,LEN($G42)+2,LEN($G42))</f>
        <v>3</v>
      </c>
      <c r="I42">
        <f t="shared" si="1"/>
        <v>9</v>
      </c>
      <c r="J42">
        <f t="shared" si="2"/>
        <v>87</v>
      </c>
      <c r="K42">
        <f t="shared" si="3"/>
        <v>0</v>
      </c>
    </row>
    <row r="43" spans="1:11" x14ac:dyDescent="0.25">
      <c r="A43">
        <v>42</v>
      </c>
      <c r="B43" s="1">
        <v>1046</v>
      </c>
      <c r="C43">
        <f>C42+E42-H42</f>
        <v>337</v>
      </c>
      <c r="D43">
        <f>D42+F42</f>
        <v>328</v>
      </c>
      <c r="E43">
        <v>11</v>
      </c>
      <c r="F43">
        <v>8</v>
      </c>
      <c r="G43">
        <f t="shared" si="0"/>
        <v>336</v>
      </c>
      <c r="H43">
        <f>IF(DAY($B43) = 3,LEN($G43)+2,LEN($G43))</f>
        <v>3</v>
      </c>
      <c r="I43">
        <f t="shared" si="1"/>
        <v>9</v>
      </c>
      <c r="J43">
        <f t="shared" si="2"/>
        <v>90</v>
      </c>
      <c r="K43">
        <f t="shared" si="3"/>
        <v>0</v>
      </c>
    </row>
    <row r="44" spans="1:11" x14ac:dyDescent="0.25">
      <c r="A44">
        <v>43</v>
      </c>
      <c r="B44" s="1">
        <v>1047</v>
      </c>
      <c r="C44">
        <f>C43+E43-H43</f>
        <v>345</v>
      </c>
      <c r="D44">
        <f>D43+F43</f>
        <v>336</v>
      </c>
      <c r="E44">
        <v>11</v>
      </c>
      <c r="F44">
        <v>8</v>
      </c>
      <c r="G44">
        <f t="shared" si="0"/>
        <v>344</v>
      </c>
      <c r="H44">
        <f>IF(DAY($B44) = 3,LEN($G44)+2,LEN($G44))</f>
        <v>3</v>
      </c>
      <c r="I44">
        <f t="shared" si="1"/>
        <v>9</v>
      </c>
      <c r="J44">
        <f t="shared" si="2"/>
        <v>93</v>
      </c>
      <c r="K44">
        <f t="shared" si="3"/>
        <v>0</v>
      </c>
    </row>
    <row r="45" spans="1:11" x14ac:dyDescent="0.25">
      <c r="A45">
        <v>44</v>
      </c>
      <c r="B45" s="1">
        <v>1048</v>
      </c>
      <c r="C45">
        <f>C44+E44-H44</f>
        <v>353</v>
      </c>
      <c r="D45">
        <f>D44+F44</f>
        <v>344</v>
      </c>
      <c r="E45">
        <v>11</v>
      </c>
      <c r="F45">
        <v>8</v>
      </c>
      <c r="G45">
        <f t="shared" si="0"/>
        <v>352</v>
      </c>
      <c r="H45">
        <f>IF(DAY($B45) = 3,LEN($G45)+2,LEN($G45))</f>
        <v>3</v>
      </c>
      <c r="I45">
        <f t="shared" si="1"/>
        <v>9</v>
      </c>
      <c r="J45">
        <f t="shared" si="2"/>
        <v>96</v>
      </c>
      <c r="K45">
        <f t="shared" si="3"/>
        <v>0</v>
      </c>
    </row>
    <row r="46" spans="1:11" x14ac:dyDescent="0.25">
      <c r="A46">
        <v>45</v>
      </c>
      <c r="B46" s="1">
        <v>1049</v>
      </c>
      <c r="C46">
        <f>C45+E45-H45</f>
        <v>361</v>
      </c>
      <c r="D46">
        <f>D45+F45</f>
        <v>352</v>
      </c>
      <c r="E46">
        <v>11</v>
      </c>
      <c r="F46">
        <v>8</v>
      </c>
      <c r="G46">
        <f t="shared" si="0"/>
        <v>360</v>
      </c>
      <c r="H46">
        <f>IF(DAY($B46) = 3,LEN($G46)+2,LEN($G46))</f>
        <v>3</v>
      </c>
      <c r="I46">
        <f t="shared" si="1"/>
        <v>9</v>
      </c>
      <c r="J46">
        <f t="shared" si="2"/>
        <v>99</v>
      </c>
      <c r="K46">
        <f t="shared" si="3"/>
        <v>0</v>
      </c>
    </row>
    <row r="47" spans="1:11" x14ac:dyDescent="0.25">
      <c r="A47">
        <v>46</v>
      </c>
      <c r="B47" s="1">
        <v>1050</v>
      </c>
      <c r="C47">
        <f>C46+E46-H46</f>
        <v>369</v>
      </c>
      <c r="D47">
        <f>D46+F46</f>
        <v>360</v>
      </c>
      <c r="E47">
        <v>11</v>
      </c>
      <c r="F47">
        <v>8</v>
      </c>
      <c r="G47">
        <f t="shared" si="0"/>
        <v>368</v>
      </c>
      <c r="H47">
        <f>IF(DAY($B47) = 3,LEN($G47)+2,LEN($G47))</f>
        <v>3</v>
      </c>
      <c r="I47">
        <f t="shared" si="1"/>
        <v>9</v>
      </c>
      <c r="J47">
        <f t="shared" si="2"/>
        <v>102</v>
      </c>
      <c r="K47">
        <f t="shared" si="3"/>
        <v>10</v>
      </c>
    </row>
    <row r="48" spans="1:11" x14ac:dyDescent="0.25">
      <c r="A48">
        <v>47</v>
      </c>
      <c r="B48" s="1">
        <v>1051</v>
      </c>
      <c r="C48">
        <f>C47+E47-H47</f>
        <v>377</v>
      </c>
      <c r="D48">
        <f>D47+F47</f>
        <v>368</v>
      </c>
      <c r="E48">
        <v>11</v>
      </c>
      <c r="F48">
        <v>8</v>
      </c>
      <c r="G48">
        <f t="shared" si="0"/>
        <v>376</v>
      </c>
      <c r="H48">
        <f>IF(DAY($B48) = 3,LEN($G48)+2,LEN($G48))</f>
        <v>3</v>
      </c>
      <c r="I48">
        <f t="shared" si="1"/>
        <v>9</v>
      </c>
      <c r="J48">
        <f t="shared" si="2"/>
        <v>95</v>
      </c>
      <c r="K48">
        <f t="shared" si="3"/>
        <v>0</v>
      </c>
    </row>
    <row r="49" spans="1:11" x14ac:dyDescent="0.25">
      <c r="A49">
        <v>48</v>
      </c>
      <c r="B49" s="1">
        <v>1052</v>
      </c>
      <c r="C49">
        <f>C48+E48-H48</f>
        <v>385</v>
      </c>
      <c r="D49">
        <f>D48+F48</f>
        <v>376</v>
      </c>
      <c r="E49">
        <v>11</v>
      </c>
      <c r="F49">
        <v>8</v>
      </c>
      <c r="G49">
        <f t="shared" si="0"/>
        <v>384</v>
      </c>
      <c r="H49">
        <f>IF(DAY($B49) = 3,LEN($G49)+2,LEN($G49))</f>
        <v>3</v>
      </c>
      <c r="I49">
        <f t="shared" si="1"/>
        <v>9</v>
      </c>
      <c r="J49">
        <f t="shared" si="2"/>
        <v>98</v>
      </c>
      <c r="K49">
        <f t="shared" si="3"/>
        <v>0</v>
      </c>
    </row>
    <row r="50" spans="1:11" x14ac:dyDescent="0.25">
      <c r="A50">
        <v>49</v>
      </c>
      <c r="B50" s="1">
        <v>1053</v>
      </c>
      <c r="C50">
        <f>C49+E49-H49</f>
        <v>393</v>
      </c>
      <c r="D50">
        <f>D49+F49</f>
        <v>384</v>
      </c>
      <c r="E50">
        <v>11</v>
      </c>
      <c r="F50">
        <v>8</v>
      </c>
      <c r="G50">
        <f t="shared" si="0"/>
        <v>392</v>
      </c>
      <c r="H50">
        <f>IF(DAY($B50) = 3,LEN($G50)+2,LEN($G50))</f>
        <v>3</v>
      </c>
      <c r="I50">
        <f t="shared" si="1"/>
        <v>9</v>
      </c>
      <c r="J50">
        <f t="shared" si="2"/>
        <v>101</v>
      </c>
      <c r="K50">
        <f t="shared" si="3"/>
        <v>0</v>
      </c>
    </row>
    <row r="51" spans="1:11" x14ac:dyDescent="0.25">
      <c r="A51">
        <v>50</v>
      </c>
      <c r="B51" s="1">
        <v>1054</v>
      </c>
      <c r="C51">
        <f>C50+E50-H50</f>
        <v>401</v>
      </c>
      <c r="D51">
        <f>D50+F50</f>
        <v>392</v>
      </c>
      <c r="E51">
        <v>11</v>
      </c>
      <c r="F51">
        <v>8</v>
      </c>
      <c r="G51">
        <f t="shared" si="0"/>
        <v>400</v>
      </c>
      <c r="H51">
        <f>IF(DAY($B51) = 3,LEN($G51)+2,LEN($G51))</f>
        <v>3</v>
      </c>
      <c r="I51">
        <f t="shared" si="1"/>
        <v>9</v>
      </c>
      <c r="J51">
        <f t="shared" si="2"/>
        <v>104</v>
      </c>
      <c r="K51">
        <f t="shared" si="3"/>
        <v>0</v>
      </c>
    </row>
    <row r="52" spans="1:11" x14ac:dyDescent="0.25">
      <c r="A52">
        <v>51</v>
      </c>
      <c r="B52" s="1">
        <v>1055</v>
      </c>
      <c r="C52">
        <f>C51+E51-H51</f>
        <v>409</v>
      </c>
      <c r="D52">
        <f>D51+F51</f>
        <v>400</v>
      </c>
      <c r="E52">
        <v>11</v>
      </c>
      <c r="F52">
        <v>8</v>
      </c>
      <c r="G52">
        <f t="shared" si="0"/>
        <v>408</v>
      </c>
      <c r="H52">
        <f>IF(DAY($B52) = 3,LEN($G52)+2,LEN($G52))</f>
        <v>3</v>
      </c>
      <c r="I52">
        <f t="shared" si="1"/>
        <v>9</v>
      </c>
      <c r="J52">
        <f t="shared" si="2"/>
        <v>107</v>
      </c>
      <c r="K52">
        <f t="shared" si="3"/>
        <v>0</v>
      </c>
    </row>
    <row r="53" spans="1:11" x14ac:dyDescent="0.25">
      <c r="A53">
        <v>52</v>
      </c>
      <c r="B53" s="1">
        <v>1056</v>
      </c>
      <c r="C53">
        <f>C52+E52-H52</f>
        <v>417</v>
      </c>
      <c r="D53">
        <f>D52+F52</f>
        <v>408</v>
      </c>
      <c r="E53">
        <v>11</v>
      </c>
      <c r="F53">
        <v>8</v>
      </c>
      <c r="G53">
        <f t="shared" si="0"/>
        <v>416</v>
      </c>
      <c r="H53">
        <f>IF(DAY($B53) = 3,LEN($G53)+2,LEN($G53))</f>
        <v>3</v>
      </c>
      <c r="I53">
        <f t="shared" si="1"/>
        <v>9</v>
      </c>
      <c r="J53">
        <f t="shared" si="2"/>
        <v>110</v>
      </c>
      <c r="K53">
        <f t="shared" si="3"/>
        <v>0</v>
      </c>
    </row>
    <row r="54" spans="1:11" x14ac:dyDescent="0.25">
      <c r="A54">
        <v>53</v>
      </c>
      <c r="B54" s="1">
        <v>1057</v>
      </c>
      <c r="C54">
        <f>C53+E53-H53</f>
        <v>425</v>
      </c>
      <c r="D54">
        <f>D53+F53</f>
        <v>416</v>
      </c>
      <c r="E54">
        <v>11</v>
      </c>
      <c r="F54">
        <v>8</v>
      </c>
      <c r="G54">
        <f t="shared" si="0"/>
        <v>424</v>
      </c>
      <c r="H54">
        <f>IF(DAY($B54) = 3,LEN($G54)+2,LEN($G54))</f>
        <v>3</v>
      </c>
      <c r="I54">
        <f t="shared" si="1"/>
        <v>9</v>
      </c>
      <c r="J54">
        <f t="shared" si="2"/>
        <v>113</v>
      </c>
      <c r="K54">
        <f t="shared" si="3"/>
        <v>11</v>
      </c>
    </row>
    <row r="55" spans="1:11" x14ac:dyDescent="0.25">
      <c r="A55">
        <v>54</v>
      </c>
      <c r="B55" s="1">
        <v>1058</v>
      </c>
      <c r="C55">
        <f>C54+E54-H54</f>
        <v>433</v>
      </c>
      <c r="D55">
        <f>D54+F54</f>
        <v>424</v>
      </c>
      <c r="E55">
        <v>11</v>
      </c>
      <c r="F55">
        <v>8</v>
      </c>
      <c r="G55">
        <f t="shared" si="0"/>
        <v>432</v>
      </c>
      <c r="H55">
        <f>IF(DAY($B55) = 3,LEN($G55)+2,LEN($G55))</f>
        <v>3</v>
      </c>
      <c r="I55">
        <f t="shared" si="1"/>
        <v>9</v>
      </c>
      <c r="J55">
        <f t="shared" si="2"/>
        <v>105</v>
      </c>
      <c r="K55">
        <f t="shared" si="3"/>
        <v>0</v>
      </c>
    </row>
    <row r="56" spans="1:11" x14ac:dyDescent="0.25">
      <c r="A56">
        <v>55</v>
      </c>
      <c r="B56" s="1">
        <v>1059</v>
      </c>
      <c r="C56">
        <f>C55+E55-H55</f>
        <v>441</v>
      </c>
      <c r="D56">
        <f>D55+F55</f>
        <v>432</v>
      </c>
      <c r="E56">
        <v>11</v>
      </c>
      <c r="F56">
        <v>8</v>
      </c>
      <c r="G56">
        <f t="shared" si="0"/>
        <v>440</v>
      </c>
      <c r="H56">
        <f>IF(DAY($B56) = 3,LEN($G56)+2,LEN($G56))</f>
        <v>3</v>
      </c>
      <c r="I56">
        <f t="shared" si="1"/>
        <v>9</v>
      </c>
      <c r="J56">
        <f t="shared" si="2"/>
        <v>108</v>
      </c>
      <c r="K56">
        <f t="shared" si="3"/>
        <v>0</v>
      </c>
    </row>
    <row r="57" spans="1:11" x14ac:dyDescent="0.25">
      <c r="A57">
        <v>56</v>
      </c>
      <c r="B57" s="1">
        <v>1060</v>
      </c>
      <c r="C57">
        <f>C56+E56-H56</f>
        <v>449</v>
      </c>
      <c r="D57">
        <f>D56+F56</f>
        <v>440</v>
      </c>
      <c r="E57">
        <v>11</v>
      </c>
      <c r="F57">
        <v>8</v>
      </c>
      <c r="G57">
        <f t="shared" si="0"/>
        <v>448</v>
      </c>
      <c r="H57">
        <f>IF(DAY($B57) = 3,LEN($G57)+2,LEN($G57))</f>
        <v>3</v>
      </c>
      <c r="I57">
        <f t="shared" si="1"/>
        <v>9</v>
      </c>
      <c r="J57">
        <f t="shared" si="2"/>
        <v>111</v>
      </c>
      <c r="K57">
        <f t="shared" si="3"/>
        <v>0</v>
      </c>
    </row>
    <row r="58" spans="1:11" x14ac:dyDescent="0.25">
      <c r="A58">
        <v>57</v>
      </c>
      <c r="B58" s="1">
        <v>1061</v>
      </c>
      <c r="C58">
        <f>C57+E57-H57</f>
        <v>457</v>
      </c>
      <c r="D58">
        <f>D57+F57</f>
        <v>448</v>
      </c>
      <c r="E58">
        <v>11</v>
      </c>
      <c r="F58">
        <v>8</v>
      </c>
      <c r="G58">
        <f t="shared" si="0"/>
        <v>456</v>
      </c>
      <c r="H58">
        <f>IF(DAY($B58) = 3,LEN($G58)+2,LEN($G58))</f>
        <v>3</v>
      </c>
      <c r="I58">
        <f t="shared" si="1"/>
        <v>9</v>
      </c>
      <c r="J58">
        <f t="shared" si="2"/>
        <v>114</v>
      </c>
      <c r="K58">
        <f t="shared" si="3"/>
        <v>0</v>
      </c>
    </row>
    <row r="59" spans="1:11" x14ac:dyDescent="0.25">
      <c r="A59">
        <v>58</v>
      </c>
      <c r="B59" s="1">
        <v>1062</v>
      </c>
      <c r="C59">
        <f>C58+E58-H58</f>
        <v>465</v>
      </c>
      <c r="D59">
        <f>D58+F58</f>
        <v>456</v>
      </c>
      <c r="E59">
        <v>11</v>
      </c>
      <c r="F59">
        <v>8</v>
      </c>
      <c r="G59">
        <f t="shared" si="0"/>
        <v>464</v>
      </c>
      <c r="H59">
        <f>IF(DAY($B59) = 3,LEN($G59)+2,LEN($G59))</f>
        <v>3</v>
      </c>
      <c r="I59">
        <f t="shared" si="1"/>
        <v>9</v>
      </c>
      <c r="J59">
        <f t="shared" si="2"/>
        <v>117</v>
      </c>
      <c r="K59">
        <f t="shared" si="3"/>
        <v>0</v>
      </c>
    </row>
    <row r="60" spans="1:11" x14ac:dyDescent="0.25">
      <c r="A60">
        <v>59</v>
      </c>
      <c r="B60" s="1">
        <v>1063</v>
      </c>
      <c r="C60">
        <f>C59+E59-H59</f>
        <v>473</v>
      </c>
      <c r="D60">
        <f>D59+F59</f>
        <v>464</v>
      </c>
      <c r="E60">
        <v>11</v>
      </c>
      <c r="F60">
        <v>8</v>
      </c>
      <c r="G60">
        <f t="shared" si="0"/>
        <v>472</v>
      </c>
      <c r="H60">
        <f>IF(DAY($B60) = 3,LEN($G60)+2,LEN($G60))</f>
        <v>3</v>
      </c>
      <c r="I60">
        <f t="shared" si="1"/>
        <v>9</v>
      </c>
      <c r="J60">
        <f t="shared" si="2"/>
        <v>120</v>
      </c>
      <c r="K60">
        <f t="shared" si="3"/>
        <v>0</v>
      </c>
    </row>
    <row r="61" spans="1:11" x14ac:dyDescent="0.25">
      <c r="A61">
        <v>60</v>
      </c>
      <c r="B61" s="1">
        <v>1064</v>
      </c>
      <c r="C61">
        <f>C60+E60-H60</f>
        <v>481</v>
      </c>
      <c r="D61">
        <f>D60+F60</f>
        <v>472</v>
      </c>
      <c r="E61">
        <v>11</v>
      </c>
      <c r="F61">
        <v>8</v>
      </c>
      <c r="G61">
        <f t="shared" si="0"/>
        <v>480</v>
      </c>
      <c r="H61">
        <f>IF(DAY($B61) = 3,LEN($G61)+2,LEN($G61))</f>
        <v>3</v>
      </c>
      <c r="I61">
        <f t="shared" si="1"/>
        <v>9</v>
      </c>
      <c r="J61">
        <f t="shared" si="2"/>
        <v>123</v>
      </c>
      <c r="K61">
        <f t="shared" si="3"/>
        <v>12</v>
      </c>
    </row>
    <row r="62" spans="1:11" x14ac:dyDescent="0.25">
      <c r="A62">
        <v>61</v>
      </c>
      <c r="B62" s="1">
        <v>1065</v>
      </c>
      <c r="C62">
        <f>C61+E61-H61</f>
        <v>489</v>
      </c>
      <c r="D62">
        <f>D61+F61</f>
        <v>480</v>
      </c>
      <c r="E62">
        <v>11</v>
      </c>
      <c r="F62">
        <v>8</v>
      </c>
      <c r="G62">
        <f t="shared" si="0"/>
        <v>488</v>
      </c>
      <c r="H62">
        <f>IF(DAY($B62) = 3,LEN($G62)+2,LEN($G62))</f>
        <v>3</v>
      </c>
      <c r="I62">
        <f t="shared" si="1"/>
        <v>9</v>
      </c>
      <c r="J62">
        <f t="shared" si="2"/>
        <v>114</v>
      </c>
      <c r="K62">
        <f t="shared" si="3"/>
        <v>0</v>
      </c>
    </row>
    <row r="63" spans="1:11" x14ac:dyDescent="0.25">
      <c r="A63">
        <v>62</v>
      </c>
      <c r="B63" s="1">
        <v>1066</v>
      </c>
      <c r="C63">
        <f>C62+E62-H62</f>
        <v>497</v>
      </c>
      <c r="D63">
        <f>D62+F62</f>
        <v>488</v>
      </c>
      <c r="E63">
        <v>11</v>
      </c>
      <c r="F63">
        <v>8</v>
      </c>
      <c r="G63">
        <f t="shared" si="0"/>
        <v>496</v>
      </c>
      <c r="H63">
        <f>IF(DAY($B63) = 3,LEN($G63)+2,LEN($G63))</f>
        <v>3</v>
      </c>
      <c r="I63">
        <f t="shared" si="1"/>
        <v>9</v>
      </c>
      <c r="J63">
        <f t="shared" si="2"/>
        <v>117</v>
      </c>
      <c r="K63">
        <f t="shared" si="3"/>
        <v>0</v>
      </c>
    </row>
    <row r="64" spans="1:11" x14ac:dyDescent="0.25">
      <c r="A64">
        <v>63</v>
      </c>
      <c r="B64" s="1">
        <v>1067</v>
      </c>
      <c r="C64">
        <f>C63+E63-H63</f>
        <v>505</v>
      </c>
      <c r="D64">
        <f>D63+F63</f>
        <v>496</v>
      </c>
      <c r="E64">
        <v>11</v>
      </c>
      <c r="F64">
        <v>8</v>
      </c>
      <c r="G64">
        <f t="shared" si="0"/>
        <v>504</v>
      </c>
      <c r="H64">
        <f>IF(DAY($B64) = 3,LEN($G64)+2,LEN($G64))</f>
        <v>3</v>
      </c>
      <c r="I64">
        <f t="shared" si="1"/>
        <v>9</v>
      </c>
      <c r="J64">
        <f t="shared" si="2"/>
        <v>120</v>
      </c>
      <c r="K64">
        <f t="shared" si="3"/>
        <v>0</v>
      </c>
    </row>
    <row r="65" spans="1:11" x14ac:dyDescent="0.25">
      <c r="A65">
        <v>64</v>
      </c>
      <c r="B65" s="1">
        <v>1068</v>
      </c>
      <c r="C65">
        <f>C64+E64-H64</f>
        <v>513</v>
      </c>
      <c r="D65">
        <f>D64+F64</f>
        <v>504</v>
      </c>
      <c r="E65">
        <v>11</v>
      </c>
      <c r="F65">
        <v>8</v>
      </c>
      <c r="G65">
        <f t="shared" si="0"/>
        <v>512</v>
      </c>
      <c r="H65">
        <f>IF(DAY($B65) = 3,LEN($G65)+2,LEN($G65))</f>
        <v>5</v>
      </c>
      <c r="I65">
        <f t="shared" si="1"/>
        <v>9</v>
      </c>
      <c r="J65">
        <f t="shared" si="2"/>
        <v>125</v>
      </c>
      <c r="K65">
        <f t="shared" si="3"/>
        <v>0</v>
      </c>
    </row>
    <row r="66" spans="1:11" x14ac:dyDescent="0.25">
      <c r="A66">
        <v>65</v>
      </c>
      <c r="B66" s="1">
        <v>1069</v>
      </c>
      <c r="C66">
        <f>C65+E65-H65</f>
        <v>519</v>
      </c>
      <c r="D66">
        <f>D65+F65</f>
        <v>512</v>
      </c>
      <c r="E66">
        <v>11</v>
      </c>
      <c r="F66">
        <v>8</v>
      </c>
      <c r="G66">
        <f t="shared" si="0"/>
        <v>520</v>
      </c>
      <c r="H66">
        <f>IF(DAY($B66) = 3,LEN($G66)+2,LEN($G66))</f>
        <v>3</v>
      </c>
      <c r="I66">
        <f t="shared" si="1"/>
        <v>7</v>
      </c>
      <c r="J66">
        <f t="shared" si="2"/>
        <v>128</v>
      </c>
      <c r="K66">
        <f t="shared" si="3"/>
        <v>0</v>
      </c>
    </row>
    <row r="67" spans="1:11" x14ac:dyDescent="0.25">
      <c r="A67">
        <v>66</v>
      </c>
      <c r="B67" s="1">
        <v>1070</v>
      </c>
      <c r="C67">
        <f>C66+E66-H66</f>
        <v>527</v>
      </c>
      <c r="D67">
        <f>D66+F66</f>
        <v>520</v>
      </c>
      <c r="E67">
        <v>11</v>
      </c>
      <c r="F67">
        <v>8</v>
      </c>
      <c r="G67">
        <f t="shared" si="0"/>
        <v>528</v>
      </c>
      <c r="H67">
        <f>IF(DAY($B67) = 3,LEN($G67)+2,LEN($G67))</f>
        <v>3</v>
      </c>
      <c r="I67">
        <f t="shared" ref="I67:I130" si="4">ABS(C67-D67)</f>
        <v>7</v>
      </c>
      <c r="J67">
        <f t="shared" si="2"/>
        <v>131</v>
      </c>
      <c r="K67">
        <f t="shared" si="3"/>
        <v>0</v>
      </c>
    </row>
    <row r="68" spans="1:11" x14ac:dyDescent="0.25">
      <c r="A68">
        <v>67</v>
      </c>
      <c r="B68" s="1">
        <v>1071</v>
      </c>
      <c r="C68">
        <f>C67+E67-H67</f>
        <v>535</v>
      </c>
      <c r="D68">
        <f>D67+F67</f>
        <v>528</v>
      </c>
      <c r="E68">
        <v>11</v>
      </c>
      <c r="F68">
        <v>8</v>
      </c>
      <c r="G68">
        <f t="shared" ref="G68:G131" si="5">G67+F68</f>
        <v>536</v>
      </c>
      <c r="H68">
        <f>IF(DAY($B68) = 3,LEN($G68)+2,LEN($G68))</f>
        <v>3</v>
      </c>
      <c r="I68">
        <f t="shared" si="4"/>
        <v>7</v>
      </c>
      <c r="J68">
        <f t="shared" ref="J68:J131" si="6">J67+H68-K67</f>
        <v>134</v>
      </c>
      <c r="K68">
        <f t="shared" ref="K68:K131" si="7">IF(WEEKDAY(B68,2)=6,ROUNDDOWN(J68*0.1,0),0)</f>
        <v>13</v>
      </c>
    </row>
    <row r="69" spans="1:11" x14ac:dyDescent="0.25">
      <c r="A69">
        <v>68</v>
      </c>
      <c r="B69" s="1">
        <v>1072</v>
      </c>
      <c r="C69">
        <f>C68+E68-H68</f>
        <v>543</v>
      </c>
      <c r="D69">
        <f>D68+F68</f>
        <v>536</v>
      </c>
      <c r="E69">
        <v>11</v>
      </c>
      <c r="F69">
        <v>8</v>
      </c>
      <c r="G69">
        <f t="shared" si="5"/>
        <v>544</v>
      </c>
      <c r="H69">
        <f>IF(DAY($B69) = 3,LEN($G69)+2,LEN($G69))</f>
        <v>3</v>
      </c>
      <c r="I69">
        <f t="shared" si="4"/>
        <v>7</v>
      </c>
      <c r="J69">
        <f t="shared" si="6"/>
        <v>124</v>
      </c>
      <c r="K69">
        <f t="shared" si="7"/>
        <v>0</v>
      </c>
    </row>
    <row r="70" spans="1:11" x14ac:dyDescent="0.25">
      <c r="A70">
        <v>69</v>
      </c>
      <c r="B70" s="1">
        <v>1073</v>
      </c>
      <c r="C70">
        <f>C69+E69-H69</f>
        <v>551</v>
      </c>
      <c r="D70">
        <f>D69+F69</f>
        <v>544</v>
      </c>
      <c r="E70">
        <v>11</v>
      </c>
      <c r="F70">
        <v>8</v>
      </c>
      <c r="G70">
        <f t="shared" si="5"/>
        <v>552</v>
      </c>
      <c r="H70">
        <f>IF(DAY($B70) = 3,LEN($G70)+2,LEN($G70))</f>
        <v>3</v>
      </c>
      <c r="I70">
        <f t="shared" si="4"/>
        <v>7</v>
      </c>
      <c r="J70">
        <f t="shared" si="6"/>
        <v>127</v>
      </c>
      <c r="K70">
        <f t="shared" si="7"/>
        <v>0</v>
      </c>
    </row>
    <row r="71" spans="1:11" x14ac:dyDescent="0.25">
      <c r="A71">
        <v>70</v>
      </c>
      <c r="B71" s="1">
        <v>1074</v>
      </c>
      <c r="C71">
        <f>C70+E70-H70</f>
        <v>559</v>
      </c>
      <c r="D71">
        <f>D70+F70</f>
        <v>552</v>
      </c>
      <c r="E71">
        <v>11</v>
      </c>
      <c r="F71">
        <v>8</v>
      </c>
      <c r="G71">
        <f t="shared" si="5"/>
        <v>560</v>
      </c>
      <c r="H71">
        <f>IF(DAY($B71) = 3,LEN($G71)+2,LEN($G71))</f>
        <v>3</v>
      </c>
      <c r="I71">
        <f t="shared" si="4"/>
        <v>7</v>
      </c>
      <c r="J71">
        <f t="shared" si="6"/>
        <v>130</v>
      </c>
      <c r="K71">
        <f t="shared" si="7"/>
        <v>0</v>
      </c>
    </row>
    <row r="72" spans="1:11" x14ac:dyDescent="0.25">
      <c r="A72">
        <v>71</v>
      </c>
      <c r="B72" s="1">
        <v>1075</v>
      </c>
      <c r="C72">
        <f>C71+E71-H71</f>
        <v>567</v>
      </c>
      <c r="D72">
        <f>D71+F71</f>
        <v>560</v>
      </c>
      <c r="E72">
        <v>11</v>
      </c>
      <c r="F72">
        <v>8</v>
      </c>
      <c r="G72">
        <f t="shared" si="5"/>
        <v>568</v>
      </c>
      <c r="H72">
        <f>IF(DAY($B72) = 3,LEN($G72)+2,LEN($G72))</f>
        <v>3</v>
      </c>
      <c r="I72">
        <f t="shared" si="4"/>
        <v>7</v>
      </c>
      <c r="J72">
        <f t="shared" si="6"/>
        <v>133</v>
      </c>
      <c r="K72">
        <f t="shared" si="7"/>
        <v>0</v>
      </c>
    </row>
    <row r="73" spans="1:11" x14ac:dyDescent="0.25">
      <c r="A73">
        <v>72</v>
      </c>
      <c r="B73" s="1">
        <v>1076</v>
      </c>
      <c r="C73">
        <f>C72+E72-H72</f>
        <v>575</v>
      </c>
      <c r="D73">
        <f>D72+F72</f>
        <v>568</v>
      </c>
      <c r="E73">
        <v>11</v>
      </c>
      <c r="F73">
        <v>8</v>
      </c>
      <c r="G73">
        <f t="shared" si="5"/>
        <v>576</v>
      </c>
      <c r="H73">
        <f>IF(DAY($B73) = 3,LEN($G73)+2,LEN($G73))</f>
        <v>3</v>
      </c>
      <c r="I73">
        <f t="shared" si="4"/>
        <v>7</v>
      </c>
      <c r="J73">
        <f t="shared" si="6"/>
        <v>136</v>
      </c>
      <c r="K73">
        <f t="shared" si="7"/>
        <v>0</v>
      </c>
    </row>
    <row r="74" spans="1:11" x14ac:dyDescent="0.25">
      <c r="A74">
        <v>73</v>
      </c>
      <c r="B74" s="1">
        <v>1077</v>
      </c>
      <c r="C74">
        <f>C73+E73-H73</f>
        <v>583</v>
      </c>
      <c r="D74">
        <f>D73+F73</f>
        <v>576</v>
      </c>
      <c r="E74">
        <v>11</v>
      </c>
      <c r="F74">
        <v>8</v>
      </c>
      <c r="G74">
        <f t="shared" si="5"/>
        <v>584</v>
      </c>
      <c r="H74">
        <f>IF(DAY($B74) = 3,LEN($G74)+2,LEN($G74))</f>
        <v>3</v>
      </c>
      <c r="I74">
        <f t="shared" si="4"/>
        <v>7</v>
      </c>
      <c r="J74">
        <f t="shared" si="6"/>
        <v>139</v>
      </c>
      <c r="K74">
        <f t="shared" si="7"/>
        <v>0</v>
      </c>
    </row>
    <row r="75" spans="1:11" x14ac:dyDescent="0.25">
      <c r="A75">
        <v>74</v>
      </c>
      <c r="B75" s="1">
        <v>1078</v>
      </c>
      <c r="C75">
        <f>C74+E74-H74</f>
        <v>591</v>
      </c>
      <c r="D75">
        <f>D74+F74</f>
        <v>584</v>
      </c>
      <c r="E75">
        <v>11</v>
      </c>
      <c r="F75">
        <v>8</v>
      </c>
      <c r="G75">
        <f t="shared" si="5"/>
        <v>592</v>
      </c>
      <c r="H75">
        <f>IF(DAY($B75) = 3,LEN($G75)+2,LEN($G75))</f>
        <v>3</v>
      </c>
      <c r="I75">
        <f t="shared" si="4"/>
        <v>7</v>
      </c>
      <c r="J75">
        <f t="shared" si="6"/>
        <v>142</v>
      </c>
      <c r="K75">
        <f t="shared" si="7"/>
        <v>14</v>
      </c>
    </row>
    <row r="76" spans="1:11" x14ac:dyDescent="0.25">
      <c r="A76">
        <v>75</v>
      </c>
      <c r="B76" s="1">
        <v>1079</v>
      </c>
      <c r="C76">
        <f>C75+E75-H75</f>
        <v>599</v>
      </c>
      <c r="D76">
        <f>D75+F75</f>
        <v>592</v>
      </c>
      <c r="E76">
        <v>11</v>
      </c>
      <c r="F76">
        <v>8</v>
      </c>
      <c r="G76">
        <f t="shared" si="5"/>
        <v>600</v>
      </c>
      <c r="H76">
        <f>IF(DAY($B76) = 3,LEN($G76)+2,LEN($G76))</f>
        <v>3</v>
      </c>
      <c r="I76">
        <f t="shared" si="4"/>
        <v>7</v>
      </c>
      <c r="J76">
        <f t="shared" si="6"/>
        <v>131</v>
      </c>
      <c r="K76">
        <f t="shared" si="7"/>
        <v>0</v>
      </c>
    </row>
    <row r="77" spans="1:11" x14ac:dyDescent="0.25">
      <c r="A77">
        <v>76</v>
      </c>
      <c r="B77" s="1">
        <v>1080</v>
      </c>
      <c r="C77">
        <f>C76+E76-H76</f>
        <v>607</v>
      </c>
      <c r="D77">
        <f>D76+F76</f>
        <v>600</v>
      </c>
      <c r="E77">
        <v>11</v>
      </c>
      <c r="F77">
        <v>8</v>
      </c>
      <c r="G77">
        <f t="shared" si="5"/>
        <v>608</v>
      </c>
      <c r="H77">
        <f>IF(DAY($B77) = 3,LEN($G77)+2,LEN($G77))</f>
        <v>3</v>
      </c>
      <c r="I77">
        <f t="shared" si="4"/>
        <v>7</v>
      </c>
      <c r="J77">
        <f t="shared" si="6"/>
        <v>134</v>
      </c>
      <c r="K77">
        <f t="shared" si="7"/>
        <v>0</v>
      </c>
    </row>
    <row r="78" spans="1:11" x14ac:dyDescent="0.25">
      <c r="A78">
        <v>77</v>
      </c>
      <c r="B78" s="1">
        <v>1081</v>
      </c>
      <c r="C78">
        <f>C77+E77-H77</f>
        <v>615</v>
      </c>
      <c r="D78">
        <f>D77+F77</f>
        <v>608</v>
      </c>
      <c r="E78">
        <v>11</v>
      </c>
      <c r="F78">
        <v>8</v>
      </c>
      <c r="G78">
        <f t="shared" si="5"/>
        <v>616</v>
      </c>
      <c r="H78">
        <f>IF(DAY($B78) = 3,LEN($G78)+2,LEN($G78))</f>
        <v>3</v>
      </c>
      <c r="I78">
        <f t="shared" si="4"/>
        <v>7</v>
      </c>
      <c r="J78">
        <f t="shared" si="6"/>
        <v>137</v>
      </c>
      <c r="K78">
        <f t="shared" si="7"/>
        <v>0</v>
      </c>
    </row>
    <row r="79" spans="1:11" x14ac:dyDescent="0.25">
      <c r="A79">
        <v>78</v>
      </c>
      <c r="B79" s="1">
        <v>1082</v>
      </c>
      <c r="C79">
        <f>C78+E78-H78</f>
        <v>623</v>
      </c>
      <c r="D79">
        <f>D78+F78</f>
        <v>616</v>
      </c>
      <c r="E79">
        <v>11</v>
      </c>
      <c r="F79">
        <v>8</v>
      </c>
      <c r="G79">
        <f t="shared" si="5"/>
        <v>624</v>
      </c>
      <c r="H79">
        <f>IF(DAY($B79) = 3,LEN($G79)+2,LEN($G79))</f>
        <v>3</v>
      </c>
      <c r="I79">
        <f t="shared" si="4"/>
        <v>7</v>
      </c>
      <c r="J79">
        <f t="shared" si="6"/>
        <v>140</v>
      </c>
      <c r="K79">
        <f t="shared" si="7"/>
        <v>0</v>
      </c>
    </row>
    <row r="80" spans="1:11" x14ac:dyDescent="0.25">
      <c r="A80">
        <v>79</v>
      </c>
      <c r="B80" s="1">
        <v>1083</v>
      </c>
      <c r="C80">
        <f>C79+E79-H79</f>
        <v>631</v>
      </c>
      <c r="D80">
        <f>D79+F79</f>
        <v>624</v>
      </c>
      <c r="E80">
        <v>11</v>
      </c>
      <c r="F80">
        <v>8</v>
      </c>
      <c r="G80">
        <f t="shared" si="5"/>
        <v>632</v>
      </c>
      <c r="H80">
        <f>IF(DAY($B80) = 3,LEN($G80)+2,LEN($G80))</f>
        <v>3</v>
      </c>
      <c r="I80">
        <f t="shared" si="4"/>
        <v>7</v>
      </c>
      <c r="J80">
        <f t="shared" si="6"/>
        <v>143</v>
      </c>
      <c r="K80">
        <f t="shared" si="7"/>
        <v>0</v>
      </c>
    </row>
    <row r="81" spans="1:11" x14ac:dyDescent="0.25">
      <c r="A81">
        <v>80</v>
      </c>
      <c r="B81" s="1">
        <v>1084</v>
      </c>
      <c r="C81">
        <f>C80+E80-H80</f>
        <v>639</v>
      </c>
      <c r="D81">
        <f>D80+F80</f>
        <v>632</v>
      </c>
      <c r="E81">
        <v>11</v>
      </c>
      <c r="F81">
        <v>8</v>
      </c>
      <c r="G81">
        <f t="shared" si="5"/>
        <v>640</v>
      </c>
      <c r="H81">
        <f>IF(DAY($B81) = 3,LEN($G81)+2,LEN($G81))</f>
        <v>3</v>
      </c>
      <c r="I81">
        <f t="shared" si="4"/>
        <v>7</v>
      </c>
      <c r="J81">
        <f t="shared" si="6"/>
        <v>146</v>
      </c>
      <c r="K81">
        <f t="shared" si="7"/>
        <v>0</v>
      </c>
    </row>
    <row r="82" spans="1:11" x14ac:dyDescent="0.25">
      <c r="A82">
        <v>81</v>
      </c>
      <c r="B82" s="1">
        <v>1085</v>
      </c>
      <c r="C82">
        <f>C81+E81-H81</f>
        <v>647</v>
      </c>
      <c r="D82">
        <f>D81+F81</f>
        <v>640</v>
      </c>
      <c r="E82">
        <v>11</v>
      </c>
      <c r="F82">
        <v>8</v>
      </c>
      <c r="G82">
        <f t="shared" si="5"/>
        <v>648</v>
      </c>
      <c r="H82">
        <f>IF(DAY($B82) = 3,LEN($G82)+2,LEN($G82))</f>
        <v>3</v>
      </c>
      <c r="I82">
        <f t="shared" si="4"/>
        <v>7</v>
      </c>
      <c r="J82">
        <f t="shared" si="6"/>
        <v>149</v>
      </c>
      <c r="K82">
        <f t="shared" si="7"/>
        <v>14</v>
      </c>
    </row>
    <row r="83" spans="1:11" x14ac:dyDescent="0.25">
      <c r="A83">
        <v>82</v>
      </c>
      <c r="B83" s="1">
        <v>1086</v>
      </c>
      <c r="C83">
        <f>C82+E82-H82</f>
        <v>655</v>
      </c>
      <c r="D83">
        <f>D82+F82</f>
        <v>648</v>
      </c>
      <c r="E83">
        <v>11</v>
      </c>
      <c r="F83">
        <v>8</v>
      </c>
      <c r="G83">
        <f t="shared" si="5"/>
        <v>656</v>
      </c>
      <c r="H83">
        <f>IF(DAY($B83) = 3,LEN($G83)+2,LEN($G83))</f>
        <v>3</v>
      </c>
      <c r="I83">
        <f t="shared" si="4"/>
        <v>7</v>
      </c>
      <c r="J83">
        <f t="shared" si="6"/>
        <v>138</v>
      </c>
      <c r="K83">
        <f t="shared" si="7"/>
        <v>0</v>
      </c>
    </row>
    <row r="84" spans="1:11" x14ac:dyDescent="0.25">
      <c r="A84">
        <v>83</v>
      </c>
      <c r="B84" s="1">
        <v>1087</v>
      </c>
      <c r="C84">
        <f>C83+E83-H83</f>
        <v>663</v>
      </c>
      <c r="D84">
        <f>D83+F83</f>
        <v>656</v>
      </c>
      <c r="E84">
        <v>11</v>
      </c>
      <c r="F84">
        <v>8</v>
      </c>
      <c r="G84">
        <f t="shared" si="5"/>
        <v>664</v>
      </c>
      <c r="H84">
        <f>IF(DAY($B84) = 3,LEN($G84)+2,LEN($G84))</f>
        <v>3</v>
      </c>
      <c r="I84">
        <f t="shared" si="4"/>
        <v>7</v>
      </c>
      <c r="J84">
        <f t="shared" si="6"/>
        <v>141</v>
      </c>
      <c r="K84">
        <f t="shared" si="7"/>
        <v>0</v>
      </c>
    </row>
    <row r="85" spans="1:11" x14ac:dyDescent="0.25">
      <c r="A85">
        <v>84</v>
      </c>
      <c r="B85" s="1">
        <v>1088</v>
      </c>
      <c r="C85">
        <f>C84+E84-H84</f>
        <v>671</v>
      </c>
      <c r="D85">
        <f>D84+F84</f>
        <v>664</v>
      </c>
      <c r="E85">
        <v>11</v>
      </c>
      <c r="F85">
        <v>8</v>
      </c>
      <c r="G85">
        <f t="shared" si="5"/>
        <v>672</v>
      </c>
      <c r="H85">
        <f>IF(DAY($B85) = 3,LEN($G85)+2,LEN($G85))</f>
        <v>3</v>
      </c>
      <c r="I85">
        <f t="shared" si="4"/>
        <v>7</v>
      </c>
      <c r="J85">
        <f t="shared" si="6"/>
        <v>144</v>
      </c>
      <c r="K85">
        <f t="shared" si="7"/>
        <v>0</v>
      </c>
    </row>
    <row r="86" spans="1:11" x14ac:dyDescent="0.25">
      <c r="A86">
        <v>85</v>
      </c>
      <c r="B86" s="1">
        <v>1089</v>
      </c>
      <c r="C86">
        <f>C85+E85-H85</f>
        <v>679</v>
      </c>
      <c r="D86">
        <f>D85+F85</f>
        <v>672</v>
      </c>
      <c r="E86">
        <v>11</v>
      </c>
      <c r="F86">
        <v>8</v>
      </c>
      <c r="G86">
        <f t="shared" si="5"/>
        <v>680</v>
      </c>
      <c r="H86">
        <f>IF(DAY($B86) = 3,LEN($G86)+2,LEN($G86))</f>
        <v>3</v>
      </c>
      <c r="I86">
        <f t="shared" si="4"/>
        <v>7</v>
      </c>
      <c r="J86">
        <f t="shared" si="6"/>
        <v>147</v>
      </c>
      <c r="K86">
        <f t="shared" si="7"/>
        <v>0</v>
      </c>
    </row>
    <row r="87" spans="1:11" x14ac:dyDescent="0.25">
      <c r="A87">
        <v>86</v>
      </c>
      <c r="B87" s="1">
        <v>1090</v>
      </c>
      <c r="C87">
        <f>C86+E86-H86</f>
        <v>687</v>
      </c>
      <c r="D87">
        <f>D86+F86</f>
        <v>680</v>
      </c>
      <c r="E87">
        <v>11</v>
      </c>
      <c r="F87">
        <v>8</v>
      </c>
      <c r="G87">
        <f t="shared" si="5"/>
        <v>688</v>
      </c>
      <c r="H87">
        <f>IF(DAY($B87) = 3,LEN($G87)+2,LEN($G87))</f>
        <v>3</v>
      </c>
      <c r="I87">
        <f t="shared" si="4"/>
        <v>7</v>
      </c>
      <c r="J87">
        <f t="shared" si="6"/>
        <v>150</v>
      </c>
      <c r="K87">
        <f t="shared" si="7"/>
        <v>0</v>
      </c>
    </row>
    <row r="88" spans="1:11" x14ac:dyDescent="0.25">
      <c r="A88">
        <v>87</v>
      </c>
      <c r="B88" s="1">
        <v>1091</v>
      </c>
      <c r="C88">
        <f>C87+E87-H87</f>
        <v>695</v>
      </c>
      <c r="D88">
        <f>D87+F87</f>
        <v>688</v>
      </c>
      <c r="E88">
        <v>11</v>
      </c>
      <c r="F88">
        <v>8</v>
      </c>
      <c r="G88">
        <f t="shared" si="5"/>
        <v>696</v>
      </c>
      <c r="H88">
        <f>IF(DAY($B88) = 3,LEN($G88)+2,LEN($G88))</f>
        <v>3</v>
      </c>
      <c r="I88">
        <f t="shared" si="4"/>
        <v>7</v>
      </c>
      <c r="J88">
        <f t="shared" si="6"/>
        <v>153</v>
      </c>
      <c r="K88">
        <f t="shared" si="7"/>
        <v>0</v>
      </c>
    </row>
    <row r="89" spans="1:11" x14ac:dyDescent="0.25">
      <c r="A89">
        <v>88</v>
      </c>
      <c r="B89" s="1">
        <v>1092</v>
      </c>
      <c r="C89">
        <f>C88+E88-H88</f>
        <v>703</v>
      </c>
      <c r="D89">
        <f>D88+F88</f>
        <v>696</v>
      </c>
      <c r="E89">
        <v>11</v>
      </c>
      <c r="F89">
        <v>8</v>
      </c>
      <c r="G89">
        <f t="shared" si="5"/>
        <v>704</v>
      </c>
      <c r="H89">
        <f>IF(DAY($B89) = 3,LEN($G89)+2,LEN($G89))</f>
        <v>3</v>
      </c>
      <c r="I89">
        <f t="shared" si="4"/>
        <v>7</v>
      </c>
      <c r="J89">
        <f t="shared" si="6"/>
        <v>156</v>
      </c>
      <c r="K89">
        <f t="shared" si="7"/>
        <v>15</v>
      </c>
    </row>
    <row r="90" spans="1:11" x14ac:dyDescent="0.25">
      <c r="A90">
        <v>89</v>
      </c>
      <c r="B90" s="1">
        <v>1093</v>
      </c>
      <c r="C90">
        <f>C89+E89-H89</f>
        <v>711</v>
      </c>
      <c r="D90">
        <f>D89+F89</f>
        <v>704</v>
      </c>
      <c r="E90">
        <v>11</v>
      </c>
      <c r="F90">
        <v>8</v>
      </c>
      <c r="G90">
        <f t="shared" si="5"/>
        <v>712</v>
      </c>
      <c r="H90">
        <f>IF(DAY($B90) = 3,LEN($G90)+2,LEN($G90))</f>
        <v>3</v>
      </c>
      <c r="I90">
        <f t="shared" si="4"/>
        <v>7</v>
      </c>
      <c r="J90">
        <f t="shared" si="6"/>
        <v>144</v>
      </c>
      <c r="K90">
        <f t="shared" si="7"/>
        <v>0</v>
      </c>
    </row>
    <row r="91" spans="1:11" x14ac:dyDescent="0.25">
      <c r="A91">
        <v>90</v>
      </c>
      <c r="B91" s="1">
        <v>1094</v>
      </c>
      <c r="C91">
        <f>C90+E90-H90</f>
        <v>719</v>
      </c>
      <c r="D91">
        <f>D90+F90</f>
        <v>712</v>
      </c>
      <c r="E91">
        <v>11</v>
      </c>
      <c r="F91">
        <v>8</v>
      </c>
      <c r="G91">
        <f t="shared" si="5"/>
        <v>720</v>
      </c>
      <c r="H91">
        <f>IF(DAY($B91) = 3,LEN($G91)+2,LEN($G91))</f>
        <v>3</v>
      </c>
      <c r="I91">
        <f t="shared" si="4"/>
        <v>7</v>
      </c>
      <c r="J91">
        <f t="shared" si="6"/>
        <v>147</v>
      </c>
      <c r="K91">
        <f t="shared" si="7"/>
        <v>0</v>
      </c>
    </row>
    <row r="92" spans="1:11" x14ac:dyDescent="0.25">
      <c r="A92">
        <v>91</v>
      </c>
      <c r="B92" s="1">
        <v>1095</v>
      </c>
      <c r="C92">
        <f>C91+E91-H91</f>
        <v>727</v>
      </c>
      <c r="D92">
        <f>D91+F91</f>
        <v>720</v>
      </c>
      <c r="E92">
        <v>11</v>
      </c>
      <c r="F92">
        <v>8</v>
      </c>
      <c r="G92">
        <f t="shared" si="5"/>
        <v>728</v>
      </c>
      <c r="H92">
        <f>IF(DAY($B92) = 3,LEN($G92)+2,LEN($G92))</f>
        <v>3</v>
      </c>
      <c r="I92">
        <f t="shared" si="4"/>
        <v>7</v>
      </c>
      <c r="J92">
        <f t="shared" si="6"/>
        <v>150</v>
      </c>
      <c r="K92">
        <f t="shared" si="7"/>
        <v>0</v>
      </c>
    </row>
    <row r="93" spans="1:11" x14ac:dyDescent="0.25">
      <c r="A93">
        <v>92</v>
      </c>
      <c r="B93" s="1">
        <v>1096</v>
      </c>
      <c r="C93">
        <f>C92+E92-H92</f>
        <v>735</v>
      </c>
      <c r="D93">
        <f>D92+F92</f>
        <v>728</v>
      </c>
      <c r="E93">
        <v>11</v>
      </c>
      <c r="F93">
        <v>8</v>
      </c>
      <c r="G93">
        <f t="shared" si="5"/>
        <v>736</v>
      </c>
      <c r="H93">
        <f>IF(DAY($B93) = 3,LEN($G93)+2,LEN($G93))</f>
        <v>3</v>
      </c>
      <c r="I93">
        <f t="shared" si="4"/>
        <v>7</v>
      </c>
      <c r="J93">
        <f t="shared" si="6"/>
        <v>153</v>
      </c>
      <c r="K93">
        <f t="shared" si="7"/>
        <v>0</v>
      </c>
    </row>
    <row r="94" spans="1:11" x14ac:dyDescent="0.25">
      <c r="A94">
        <v>93</v>
      </c>
      <c r="B94" s="1">
        <v>1097</v>
      </c>
      <c r="C94">
        <f>C93+E93-H93</f>
        <v>743</v>
      </c>
      <c r="D94">
        <f>D93+F93</f>
        <v>736</v>
      </c>
      <c r="E94">
        <v>11</v>
      </c>
      <c r="F94">
        <v>8</v>
      </c>
      <c r="G94">
        <f t="shared" si="5"/>
        <v>744</v>
      </c>
      <c r="H94">
        <f>IF(DAY($B94) = 3,LEN($G94)+2,LEN($G94))</f>
        <v>3</v>
      </c>
      <c r="I94">
        <f t="shared" si="4"/>
        <v>7</v>
      </c>
      <c r="J94">
        <f t="shared" si="6"/>
        <v>156</v>
      </c>
      <c r="K94">
        <f t="shared" si="7"/>
        <v>0</v>
      </c>
    </row>
    <row r="95" spans="1:11" x14ac:dyDescent="0.25">
      <c r="A95">
        <v>94</v>
      </c>
      <c r="B95" s="1">
        <v>1098</v>
      </c>
      <c r="C95">
        <f>C94+E94-H94</f>
        <v>751</v>
      </c>
      <c r="D95">
        <f>D94+F94</f>
        <v>744</v>
      </c>
      <c r="E95">
        <v>11</v>
      </c>
      <c r="F95">
        <v>8</v>
      </c>
      <c r="G95">
        <f t="shared" si="5"/>
        <v>752</v>
      </c>
      <c r="H95">
        <f>IF(DAY($B95) = 3,LEN($G95)+2,LEN($G95))</f>
        <v>3</v>
      </c>
      <c r="I95">
        <f t="shared" si="4"/>
        <v>7</v>
      </c>
      <c r="J95">
        <f t="shared" si="6"/>
        <v>159</v>
      </c>
      <c r="K95">
        <f t="shared" si="7"/>
        <v>0</v>
      </c>
    </row>
    <row r="96" spans="1:11" x14ac:dyDescent="0.25">
      <c r="A96">
        <v>95</v>
      </c>
      <c r="B96" s="1">
        <v>1099</v>
      </c>
      <c r="C96">
        <f>C95+E95-H95</f>
        <v>759</v>
      </c>
      <c r="D96">
        <f>D95+F95</f>
        <v>752</v>
      </c>
      <c r="E96">
        <v>11</v>
      </c>
      <c r="F96">
        <v>8</v>
      </c>
      <c r="G96">
        <f t="shared" si="5"/>
        <v>760</v>
      </c>
      <c r="H96">
        <f>IF(DAY($B96) = 3,LEN($G96)+2,LEN($G96))</f>
        <v>5</v>
      </c>
      <c r="I96">
        <f t="shared" si="4"/>
        <v>7</v>
      </c>
      <c r="J96">
        <f t="shared" si="6"/>
        <v>164</v>
      </c>
      <c r="K96">
        <f t="shared" si="7"/>
        <v>16</v>
      </c>
    </row>
    <row r="97" spans="1:11" x14ac:dyDescent="0.25">
      <c r="A97">
        <v>96</v>
      </c>
      <c r="B97" s="1">
        <v>1100</v>
      </c>
      <c r="C97">
        <f>C96+E96-H96</f>
        <v>765</v>
      </c>
      <c r="D97">
        <f>D96+F96</f>
        <v>760</v>
      </c>
      <c r="E97">
        <v>11</v>
      </c>
      <c r="F97">
        <v>8</v>
      </c>
      <c r="G97">
        <f t="shared" si="5"/>
        <v>768</v>
      </c>
      <c r="H97">
        <f>IF(DAY($B97) = 3,LEN($G97)+2,LEN($G97))</f>
        <v>3</v>
      </c>
      <c r="I97">
        <f t="shared" si="4"/>
        <v>5</v>
      </c>
      <c r="J97">
        <f t="shared" si="6"/>
        <v>151</v>
      </c>
      <c r="K97">
        <f t="shared" si="7"/>
        <v>0</v>
      </c>
    </row>
    <row r="98" spans="1:11" x14ac:dyDescent="0.25">
      <c r="A98">
        <v>97</v>
      </c>
      <c r="B98" s="1">
        <v>1101</v>
      </c>
      <c r="C98">
        <f>C97+E97-H97</f>
        <v>773</v>
      </c>
      <c r="D98">
        <f>D97+F97</f>
        <v>768</v>
      </c>
      <c r="E98">
        <v>11</v>
      </c>
      <c r="F98">
        <v>8</v>
      </c>
      <c r="G98">
        <f t="shared" si="5"/>
        <v>776</v>
      </c>
      <c r="H98">
        <f>IF(DAY($B98) = 3,LEN($G98)+2,LEN($G98))</f>
        <v>3</v>
      </c>
      <c r="I98">
        <f t="shared" si="4"/>
        <v>5</v>
      </c>
      <c r="J98">
        <f t="shared" si="6"/>
        <v>154</v>
      </c>
      <c r="K98">
        <f t="shared" si="7"/>
        <v>0</v>
      </c>
    </row>
    <row r="99" spans="1:11" x14ac:dyDescent="0.25">
      <c r="A99">
        <v>98</v>
      </c>
      <c r="B99" s="1">
        <v>1102</v>
      </c>
      <c r="C99">
        <f>C98+E98-H98</f>
        <v>781</v>
      </c>
      <c r="D99">
        <f>D98+F98</f>
        <v>776</v>
      </c>
      <c r="E99">
        <v>11</v>
      </c>
      <c r="F99">
        <v>8</v>
      </c>
      <c r="G99">
        <f t="shared" si="5"/>
        <v>784</v>
      </c>
      <c r="H99">
        <f>IF(DAY($B99) = 3,LEN($G99)+2,LEN($G99))</f>
        <v>3</v>
      </c>
      <c r="I99">
        <f t="shared" si="4"/>
        <v>5</v>
      </c>
      <c r="J99">
        <f t="shared" si="6"/>
        <v>157</v>
      </c>
      <c r="K99">
        <f t="shared" si="7"/>
        <v>0</v>
      </c>
    </row>
    <row r="100" spans="1:11" x14ac:dyDescent="0.25">
      <c r="A100">
        <v>99</v>
      </c>
      <c r="B100" s="1">
        <v>1103</v>
      </c>
      <c r="C100">
        <f>C99+E99-H99</f>
        <v>789</v>
      </c>
      <c r="D100">
        <f>D99+F99</f>
        <v>784</v>
      </c>
      <c r="E100">
        <v>11</v>
      </c>
      <c r="F100">
        <v>8</v>
      </c>
      <c r="G100">
        <f t="shared" si="5"/>
        <v>792</v>
      </c>
      <c r="H100">
        <f>IF(DAY($B100) = 3,LEN($G100)+2,LEN($G100))</f>
        <v>3</v>
      </c>
      <c r="I100">
        <f t="shared" si="4"/>
        <v>5</v>
      </c>
      <c r="J100">
        <f t="shared" si="6"/>
        <v>160</v>
      </c>
      <c r="K100">
        <f t="shared" si="7"/>
        <v>0</v>
      </c>
    </row>
    <row r="101" spans="1:11" x14ac:dyDescent="0.25">
      <c r="A101">
        <v>100</v>
      </c>
      <c r="B101" s="1">
        <v>1104</v>
      </c>
      <c r="C101">
        <f>C100+E100-H100</f>
        <v>797</v>
      </c>
      <c r="D101">
        <f>D100+F100</f>
        <v>792</v>
      </c>
      <c r="E101">
        <v>11</v>
      </c>
      <c r="F101">
        <v>8</v>
      </c>
      <c r="G101">
        <f t="shared" si="5"/>
        <v>800</v>
      </c>
      <c r="H101">
        <f>IF(DAY($B101) = 3,LEN($G101)+2,LEN($G101))</f>
        <v>3</v>
      </c>
      <c r="I101">
        <f t="shared" si="4"/>
        <v>5</v>
      </c>
      <c r="J101">
        <f t="shared" si="6"/>
        <v>163</v>
      </c>
      <c r="K101">
        <f t="shared" si="7"/>
        <v>0</v>
      </c>
    </row>
    <row r="102" spans="1:11" x14ac:dyDescent="0.25">
      <c r="A102">
        <v>101</v>
      </c>
      <c r="B102" s="1">
        <v>1105</v>
      </c>
      <c r="C102">
        <f>C101+E101-H101</f>
        <v>805</v>
      </c>
      <c r="D102">
        <f>D101+F101</f>
        <v>800</v>
      </c>
      <c r="E102">
        <v>11</v>
      </c>
      <c r="F102">
        <v>8</v>
      </c>
      <c r="G102">
        <f t="shared" si="5"/>
        <v>808</v>
      </c>
      <c r="H102">
        <f>IF(DAY($B102) = 3,LEN($G102)+2,LEN($G102))</f>
        <v>3</v>
      </c>
      <c r="I102">
        <f t="shared" si="4"/>
        <v>5</v>
      </c>
      <c r="J102">
        <f t="shared" si="6"/>
        <v>166</v>
      </c>
      <c r="K102">
        <f t="shared" si="7"/>
        <v>0</v>
      </c>
    </row>
    <row r="103" spans="1:11" x14ac:dyDescent="0.25">
      <c r="A103">
        <v>102</v>
      </c>
      <c r="B103" s="1">
        <v>1106</v>
      </c>
      <c r="C103">
        <f>C102+E102-H102</f>
        <v>813</v>
      </c>
      <c r="D103">
        <f>D102+F102</f>
        <v>808</v>
      </c>
      <c r="E103">
        <v>11</v>
      </c>
      <c r="F103">
        <v>8</v>
      </c>
      <c r="G103">
        <f t="shared" si="5"/>
        <v>816</v>
      </c>
      <c r="H103">
        <f>IF(DAY($B103) = 3,LEN($G103)+2,LEN($G103))</f>
        <v>3</v>
      </c>
      <c r="I103">
        <f t="shared" si="4"/>
        <v>5</v>
      </c>
      <c r="J103">
        <f t="shared" si="6"/>
        <v>169</v>
      </c>
      <c r="K103">
        <f t="shared" si="7"/>
        <v>16</v>
      </c>
    </row>
    <row r="104" spans="1:11" x14ac:dyDescent="0.25">
      <c r="A104">
        <v>103</v>
      </c>
      <c r="B104" s="1">
        <v>1107</v>
      </c>
      <c r="C104">
        <f>C103+E103-H103</f>
        <v>821</v>
      </c>
      <c r="D104">
        <f>D103+F103</f>
        <v>816</v>
      </c>
      <c r="E104">
        <v>11</v>
      </c>
      <c r="F104">
        <v>8</v>
      </c>
      <c r="G104">
        <f t="shared" si="5"/>
        <v>824</v>
      </c>
      <c r="H104">
        <f>IF(DAY($B104) = 3,LEN($G104)+2,LEN($G104))</f>
        <v>3</v>
      </c>
      <c r="I104">
        <f t="shared" si="4"/>
        <v>5</v>
      </c>
      <c r="J104">
        <f t="shared" si="6"/>
        <v>156</v>
      </c>
      <c r="K104">
        <f t="shared" si="7"/>
        <v>0</v>
      </c>
    </row>
    <row r="105" spans="1:11" x14ac:dyDescent="0.25">
      <c r="A105">
        <v>104</v>
      </c>
      <c r="B105" s="1">
        <v>1108</v>
      </c>
      <c r="C105">
        <f>C104+E104-H104</f>
        <v>829</v>
      </c>
      <c r="D105">
        <f>D104+F104</f>
        <v>824</v>
      </c>
      <c r="E105">
        <v>11</v>
      </c>
      <c r="F105">
        <v>8</v>
      </c>
      <c r="G105">
        <f t="shared" si="5"/>
        <v>832</v>
      </c>
      <c r="H105">
        <f>IF(DAY($B105) = 3,LEN($G105)+2,LEN($G105))</f>
        <v>3</v>
      </c>
      <c r="I105">
        <f t="shared" si="4"/>
        <v>5</v>
      </c>
      <c r="J105">
        <f t="shared" si="6"/>
        <v>159</v>
      </c>
      <c r="K105">
        <f t="shared" si="7"/>
        <v>0</v>
      </c>
    </row>
    <row r="106" spans="1:11" x14ac:dyDescent="0.25">
      <c r="A106">
        <v>105</v>
      </c>
      <c r="B106" s="1">
        <v>1109</v>
      </c>
      <c r="C106">
        <f>C105+E105-H105</f>
        <v>837</v>
      </c>
      <c r="D106">
        <f>D105+F105</f>
        <v>832</v>
      </c>
      <c r="E106">
        <v>11</v>
      </c>
      <c r="F106">
        <v>8</v>
      </c>
      <c r="G106">
        <f t="shared" si="5"/>
        <v>840</v>
      </c>
      <c r="H106">
        <f>IF(DAY($B106) = 3,LEN($G106)+2,LEN($G106))</f>
        <v>3</v>
      </c>
      <c r="I106">
        <f t="shared" si="4"/>
        <v>5</v>
      </c>
      <c r="J106">
        <f t="shared" si="6"/>
        <v>162</v>
      </c>
      <c r="K106">
        <f t="shared" si="7"/>
        <v>0</v>
      </c>
    </row>
    <row r="107" spans="1:11" x14ac:dyDescent="0.25">
      <c r="A107">
        <v>106</v>
      </c>
      <c r="B107" s="1">
        <v>1110</v>
      </c>
      <c r="C107">
        <f>C106+E106-H106</f>
        <v>845</v>
      </c>
      <c r="D107">
        <f>D106+F106</f>
        <v>840</v>
      </c>
      <c r="E107">
        <v>11</v>
      </c>
      <c r="F107">
        <v>8</v>
      </c>
      <c r="G107">
        <f t="shared" si="5"/>
        <v>848</v>
      </c>
      <c r="H107">
        <f>IF(DAY($B107) = 3,LEN($G107)+2,LEN($G107))</f>
        <v>3</v>
      </c>
      <c r="I107">
        <f t="shared" si="4"/>
        <v>5</v>
      </c>
      <c r="J107">
        <f t="shared" si="6"/>
        <v>165</v>
      </c>
      <c r="K107">
        <f t="shared" si="7"/>
        <v>0</v>
      </c>
    </row>
    <row r="108" spans="1:11" x14ac:dyDescent="0.25">
      <c r="A108">
        <v>107</v>
      </c>
      <c r="B108" s="1">
        <v>1111</v>
      </c>
      <c r="C108">
        <f>C107+E107-H107</f>
        <v>853</v>
      </c>
      <c r="D108">
        <f>D107+F107</f>
        <v>848</v>
      </c>
      <c r="E108">
        <v>11</v>
      </c>
      <c r="F108">
        <v>8</v>
      </c>
      <c r="G108">
        <f t="shared" si="5"/>
        <v>856</v>
      </c>
      <c r="H108">
        <f>IF(DAY($B108) = 3,LEN($G108)+2,LEN($G108))</f>
        <v>3</v>
      </c>
      <c r="I108">
        <f t="shared" si="4"/>
        <v>5</v>
      </c>
      <c r="J108">
        <f t="shared" si="6"/>
        <v>168</v>
      </c>
      <c r="K108">
        <f t="shared" si="7"/>
        <v>0</v>
      </c>
    </row>
    <row r="109" spans="1:11" x14ac:dyDescent="0.25">
      <c r="A109">
        <v>108</v>
      </c>
      <c r="B109" s="1">
        <v>1112</v>
      </c>
      <c r="C109">
        <f>C108+E108-H108</f>
        <v>861</v>
      </c>
      <c r="D109">
        <f>D108+F108</f>
        <v>856</v>
      </c>
      <c r="E109">
        <v>11</v>
      </c>
      <c r="F109">
        <v>8</v>
      </c>
      <c r="G109">
        <f t="shared" si="5"/>
        <v>864</v>
      </c>
      <c r="H109">
        <f>IF(DAY($B109) = 3,LEN($G109)+2,LEN($G109))</f>
        <v>3</v>
      </c>
      <c r="I109">
        <f t="shared" si="4"/>
        <v>5</v>
      </c>
      <c r="J109">
        <f t="shared" si="6"/>
        <v>171</v>
      </c>
      <c r="K109">
        <f t="shared" si="7"/>
        <v>0</v>
      </c>
    </row>
    <row r="110" spans="1:11" x14ac:dyDescent="0.25">
      <c r="A110">
        <v>109</v>
      </c>
      <c r="B110" s="1">
        <v>1113</v>
      </c>
      <c r="C110">
        <f>C109+E109-H109</f>
        <v>869</v>
      </c>
      <c r="D110">
        <f>D109+F109</f>
        <v>864</v>
      </c>
      <c r="E110">
        <v>11</v>
      </c>
      <c r="F110">
        <v>8</v>
      </c>
      <c r="G110">
        <f t="shared" si="5"/>
        <v>872</v>
      </c>
      <c r="H110">
        <f>IF(DAY($B110) = 3,LEN($G110)+2,LEN($G110))</f>
        <v>3</v>
      </c>
      <c r="I110">
        <f t="shared" si="4"/>
        <v>5</v>
      </c>
      <c r="J110">
        <f t="shared" si="6"/>
        <v>174</v>
      </c>
      <c r="K110">
        <f t="shared" si="7"/>
        <v>17</v>
      </c>
    </row>
    <row r="111" spans="1:11" x14ac:dyDescent="0.25">
      <c r="A111">
        <v>110</v>
      </c>
      <c r="B111" s="1">
        <v>1114</v>
      </c>
      <c r="C111">
        <f>C110+E110-H110</f>
        <v>877</v>
      </c>
      <c r="D111">
        <f>D110+F110</f>
        <v>872</v>
      </c>
      <c r="E111">
        <v>11</v>
      </c>
      <c r="F111">
        <v>8</v>
      </c>
      <c r="G111">
        <f t="shared" si="5"/>
        <v>880</v>
      </c>
      <c r="H111">
        <f>IF(DAY($B111) = 3,LEN($G111)+2,LEN($G111))</f>
        <v>3</v>
      </c>
      <c r="I111">
        <f t="shared" si="4"/>
        <v>5</v>
      </c>
      <c r="J111">
        <f t="shared" si="6"/>
        <v>160</v>
      </c>
      <c r="K111">
        <f t="shared" si="7"/>
        <v>0</v>
      </c>
    </row>
    <row r="112" spans="1:11" x14ac:dyDescent="0.25">
      <c r="A112">
        <v>111</v>
      </c>
      <c r="B112" s="1">
        <v>1115</v>
      </c>
      <c r="C112">
        <f>C111+E111-H111</f>
        <v>885</v>
      </c>
      <c r="D112">
        <f>D111+F111</f>
        <v>880</v>
      </c>
      <c r="E112">
        <v>11</v>
      </c>
      <c r="F112">
        <v>8</v>
      </c>
      <c r="G112">
        <f t="shared" si="5"/>
        <v>888</v>
      </c>
      <c r="H112">
        <f>IF(DAY($B112) = 3,LEN($G112)+2,LEN($G112))</f>
        <v>3</v>
      </c>
      <c r="I112">
        <f t="shared" si="4"/>
        <v>5</v>
      </c>
      <c r="J112">
        <f t="shared" si="6"/>
        <v>163</v>
      </c>
      <c r="K112">
        <f t="shared" si="7"/>
        <v>0</v>
      </c>
    </row>
    <row r="113" spans="1:11" x14ac:dyDescent="0.25">
      <c r="A113">
        <v>112</v>
      </c>
      <c r="B113" s="1">
        <v>1116</v>
      </c>
      <c r="C113">
        <f>C112+E112-H112</f>
        <v>893</v>
      </c>
      <c r="D113">
        <f>D112+F112</f>
        <v>888</v>
      </c>
      <c r="E113">
        <v>11</v>
      </c>
      <c r="F113">
        <v>8</v>
      </c>
      <c r="G113">
        <f t="shared" si="5"/>
        <v>896</v>
      </c>
      <c r="H113">
        <f>IF(DAY($B113) = 3,LEN($G113)+2,LEN($G113))</f>
        <v>3</v>
      </c>
      <c r="I113">
        <f t="shared" si="4"/>
        <v>5</v>
      </c>
      <c r="J113">
        <f t="shared" si="6"/>
        <v>166</v>
      </c>
      <c r="K113">
        <f t="shared" si="7"/>
        <v>0</v>
      </c>
    </row>
    <row r="114" spans="1:11" x14ac:dyDescent="0.25">
      <c r="A114">
        <v>113</v>
      </c>
      <c r="B114" s="1">
        <v>1117</v>
      </c>
      <c r="C114">
        <f>C113+E113-H113</f>
        <v>901</v>
      </c>
      <c r="D114">
        <f>D113+F113</f>
        <v>896</v>
      </c>
      <c r="E114">
        <v>11</v>
      </c>
      <c r="F114">
        <v>8</v>
      </c>
      <c r="G114">
        <f t="shared" si="5"/>
        <v>904</v>
      </c>
      <c r="H114">
        <f>IF(DAY($B114) = 3,LEN($G114)+2,LEN($G114))</f>
        <v>3</v>
      </c>
      <c r="I114">
        <f t="shared" si="4"/>
        <v>5</v>
      </c>
      <c r="J114">
        <f t="shared" si="6"/>
        <v>169</v>
      </c>
      <c r="K114">
        <f t="shared" si="7"/>
        <v>0</v>
      </c>
    </row>
    <row r="115" spans="1:11" x14ac:dyDescent="0.25">
      <c r="A115">
        <v>114</v>
      </c>
      <c r="B115" s="1">
        <v>1118</v>
      </c>
      <c r="C115">
        <f>C114+E114-H114</f>
        <v>909</v>
      </c>
      <c r="D115">
        <f>D114+F114</f>
        <v>904</v>
      </c>
      <c r="E115">
        <v>11</v>
      </c>
      <c r="F115">
        <v>8</v>
      </c>
      <c r="G115">
        <f t="shared" si="5"/>
        <v>912</v>
      </c>
      <c r="H115">
        <f>IF(DAY($B115) = 3,LEN($G115)+2,LEN($G115))</f>
        <v>3</v>
      </c>
      <c r="I115">
        <f t="shared" si="4"/>
        <v>5</v>
      </c>
      <c r="J115">
        <f t="shared" si="6"/>
        <v>172</v>
      </c>
      <c r="K115">
        <f t="shared" si="7"/>
        <v>0</v>
      </c>
    </row>
    <row r="116" spans="1:11" x14ac:dyDescent="0.25">
      <c r="A116">
        <v>115</v>
      </c>
      <c r="B116" s="1">
        <v>1119</v>
      </c>
      <c r="C116">
        <f>C115+E115-H115</f>
        <v>917</v>
      </c>
      <c r="D116">
        <f>D115+F115</f>
        <v>912</v>
      </c>
      <c r="E116">
        <v>11</v>
      </c>
      <c r="F116">
        <v>8</v>
      </c>
      <c r="G116">
        <f t="shared" si="5"/>
        <v>920</v>
      </c>
      <c r="H116">
        <f>IF(DAY($B116) = 3,LEN($G116)+2,LEN($G116))</f>
        <v>3</v>
      </c>
      <c r="I116">
        <f t="shared" si="4"/>
        <v>5</v>
      </c>
      <c r="J116">
        <f t="shared" si="6"/>
        <v>175</v>
      </c>
      <c r="K116">
        <f t="shared" si="7"/>
        <v>0</v>
      </c>
    </row>
    <row r="117" spans="1:11" x14ac:dyDescent="0.25">
      <c r="A117">
        <v>116</v>
      </c>
      <c r="B117" s="1">
        <v>1120</v>
      </c>
      <c r="C117">
        <f>C116+E116-H116</f>
        <v>925</v>
      </c>
      <c r="D117">
        <f>D116+F116</f>
        <v>920</v>
      </c>
      <c r="E117">
        <v>11</v>
      </c>
      <c r="F117">
        <v>8</v>
      </c>
      <c r="G117">
        <f t="shared" si="5"/>
        <v>928</v>
      </c>
      <c r="H117">
        <f>IF(DAY($B117) = 3,LEN($G117)+2,LEN($G117))</f>
        <v>3</v>
      </c>
      <c r="I117">
        <f t="shared" si="4"/>
        <v>5</v>
      </c>
      <c r="J117">
        <f t="shared" si="6"/>
        <v>178</v>
      </c>
      <c r="K117">
        <f t="shared" si="7"/>
        <v>17</v>
      </c>
    </row>
    <row r="118" spans="1:11" x14ac:dyDescent="0.25">
      <c r="A118">
        <v>117</v>
      </c>
      <c r="B118" s="1">
        <v>1121</v>
      </c>
      <c r="C118">
        <f>C117+E117-H117</f>
        <v>933</v>
      </c>
      <c r="D118">
        <f>D117+F117</f>
        <v>928</v>
      </c>
      <c r="E118">
        <v>11</v>
      </c>
      <c r="F118">
        <v>8</v>
      </c>
      <c r="G118">
        <f t="shared" si="5"/>
        <v>936</v>
      </c>
      <c r="H118">
        <f>IF(DAY($B118) = 3,LEN($G118)+2,LEN($G118))</f>
        <v>3</v>
      </c>
      <c r="I118">
        <f t="shared" si="4"/>
        <v>5</v>
      </c>
      <c r="J118">
        <f t="shared" si="6"/>
        <v>164</v>
      </c>
      <c r="K118">
        <f t="shared" si="7"/>
        <v>0</v>
      </c>
    </row>
    <row r="119" spans="1:11" x14ac:dyDescent="0.25">
      <c r="A119">
        <v>118</v>
      </c>
      <c r="B119" s="1">
        <v>1122</v>
      </c>
      <c r="C119">
        <f>C118+E118-H118</f>
        <v>941</v>
      </c>
      <c r="D119">
        <f>D118+F118</f>
        <v>936</v>
      </c>
      <c r="E119">
        <v>11</v>
      </c>
      <c r="F119">
        <v>8</v>
      </c>
      <c r="G119">
        <f t="shared" si="5"/>
        <v>944</v>
      </c>
      <c r="H119">
        <f>IF(DAY($B119) = 3,LEN($G119)+2,LEN($G119))</f>
        <v>3</v>
      </c>
      <c r="I119">
        <f t="shared" si="4"/>
        <v>5</v>
      </c>
      <c r="J119">
        <f t="shared" si="6"/>
        <v>167</v>
      </c>
      <c r="K119">
        <f t="shared" si="7"/>
        <v>0</v>
      </c>
    </row>
    <row r="120" spans="1:11" x14ac:dyDescent="0.25">
      <c r="A120">
        <v>119</v>
      </c>
      <c r="B120" s="1">
        <v>1123</v>
      </c>
      <c r="C120">
        <f>C119+E119-H119</f>
        <v>949</v>
      </c>
      <c r="D120">
        <f>D119+F119</f>
        <v>944</v>
      </c>
      <c r="E120">
        <v>11</v>
      </c>
      <c r="F120">
        <v>8</v>
      </c>
      <c r="G120">
        <f t="shared" si="5"/>
        <v>952</v>
      </c>
      <c r="H120">
        <f>IF(DAY($B120) = 3,LEN($G120)+2,LEN($G120))</f>
        <v>3</v>
      </c>
      <c r="I120">
        <f t="shared" si="4"/>
        <v>5</v>
      </c>
      <c r="J120">
        <f t="shared" si="6"/>
        <v>170</v>
      </c>
      <c r="K120">
        <f t="shared" si="7"/>
        <v>0</v>
      </c>
    </row>
    <row r="121" spans="1:11" x14ac:dyDescent="0.25">
      <c r="A121">
        <v>120</v>
      </c>
      <c r="B121" s="1">
        <v>1124</v>
      </c>
      <c r="C121">
        <f>C120+E120-H120</f>
        <v>957</v>
      </c>
      <c r="D121">
        <f>D120+F120</f>
        <v>952</v>
      </c>
      <c r="E121">
        <v>11</v>
      </c>
      <c r="F121">
        <v>8</v>
      </c>
      <c r="G121">
        <f t="shared" si="5"/>
        <v>960</v>
      </c>
      <c r="H121">
        <f>IF(DAY($B121) = 3,LEN($G121)+2,LEN($G121))</f>
        <v>3</v>
      </c>
      <c r="I121">
        <f t="shared" si="4"/>
        <v>5</v>
      </c>
      <c r="J121">
        <f t="shared" si="6"/>
        <v>173</v>
      </c>
      <c r="K121">
        <f t="shared" si="7"/>
        <v>0</v>
      </c>
    </row>
    <row r="122" spans="1:11" x14ac:dyDescent="0.25">
      <c r="A122">
        <v>121</v>
      </c>
      <c r="B122" s="1">
        <v>1125</v>
      </c>
      <c r="C122">
        <f>C121+E121-H121</f>
        <v>965</v>
      </c>
      <c r="D122">
        <f>D121+F121</f>
        <v>960</v>
      </c>
      <c r="E122">
        <v>11</v>
      </c>
      <c r="F122">
        <v>8</v>
      </c>
      <c r="G122">
        <f t="shared" si="5"/>
        <v>968</v>
      </c>
      <c r="H122">
        <f>IF(DAY($B122) = 3,LEN($G122)+2,LEN($G122))</f>
        <v>3</v>
      </c>
      <c r="I122">
        <f t="shared" si="4"/>
        <v>5</v>
      </c>
      <c r="J122">
        <f t="shared" si="6"/>
        <v>176</v>
      </c>
      <c r="K122">
        <f t="shared" si="7"/>
        <v>0</v>
      </c>
    </row>
    <row r="123" spans="1:11" x14ac:dyDescent="0.25">
      <c r="A123">
        <v>122</v>
      </c>
      <c r="B123" s="1">
        <v>1126</v>
      </c>
      <c r="C123">
        <f>C122+E122-H122</f>
        <v>973</v>
      </c>
      <c r="D123">
        <f>D122+F122</f>
        <v>968</v>
      </c>
      <c r="E123">
        <v>11</v>
      </c>
      <c r="F123">
        <v>8</v>
      </c>
      <c r="G123">
        <f t="shared" si="5"/>
        <v>976</v>
      </c>
      <c r="H123">
        <f>IF(DAY($B123) = 3,LEN($G123)+2,LEN($G123))</f>
        <v>3</v>
      </c>
      <c r="I123">
        <f t="shared" si="4"/>
        <v>5</v>
      </c>
      <c r="J123">
        <f t="shared" si="6"/>
        <v>179</v>
      </c>
      <c r="K123">
        <f t="shared" si="7"/>
        <v>0</v>
      </c>
    </row>
    <row r="124" spans="1:11" x14ac:dyDescent="0.25">
      <c r="A124">
        <v>123</v>
      </c>
      <c r="B124" s="1">
        <v>1127</v>
      </c>
      <c r="C124">
        <f>C123+E123-H123</f>
        <v>981</v>
      </c>
      <c r="D124">
        <f>D123+F123</f>
        <v>976</v>
      </c>
      <c r="E124">
        <v>11</v>
      </c>
      <c r="F124">
        <v>8</v>
      </c>
      <c r="G124">
        <f t="shared" si="5"/>
        <v>984</v>
      </c>
      <c r="H124">
        <f>IF(DAY($B124) = 3,LEN($G124)+2,LEN($G124))</f>
        <v>3</v>
      </c>
      <c r="I124">
        <f t="shared" si="4"/>
        <v>5</v>
      </c>
      <c r="J124">
        <f t="shared" si="6"/>
        <v>182</v>
      </c>
      <c r="K124">
        <f t="shared" si="7"/>
        <v>18</v>
      </c>
    </row>
    <row r="125" spans="1:11" x14ac:dyDescent="0.25">
      <c r="A125">
        <v>124</v>
      </c>
      <c r="B125" s="1">
        <v>1128</v>
      </c>
      <c r="C125">
        <f>C124+E124-H124</f>
        <v>989</v>
      </c>
      <c r="D125">
        <f>D124+F124</f>
        <v>984</v>
      </c>
      <c r="E125">
        <v>11</v>
      </c>
      <c r="F125">
        <v>8</v>
      </c>
      <c r="G125">
        <f t="shared" si="5"/>
        <v>992</v>
      </c>
      <c r="H125">
        <f>IF(DAY($B125) = 3,LEN($G125)+2,LEN($G125))</f>
        <v>3</v>
      </c>
      <c r="I125">
        <f t="shared" si="4"/>
        <v>5</v>
      </c>
      <c r="J125">
        <f t="shared" si="6"/>
        <v>167</v>
      </c>
      <c r="K125">
        <f t="shared" si="7"/>
        <v>0</v>
      </c>
    </row>
    <row r="126" spans="1:11" x14ac:dyDescent="0.25">
      <c r="A126">
        <v>125</v>
      </c>
      <c r="B126" s="1">
        <v>1129</v>
      </c>
      <c r="C126">
        <f>C125+E125-H125</f>
        <v>997</v>
      </c>
      <c r="D126">
        <f>D125+F125</f>
        <v>992</v>
      </c>
      <c r="E126">
        <v>11</v>
      </c>
      <c r="F126">
        <v>8</v>
      </c>
      <c r="G126">
        <f t="shared" si="5"/>
        <v>1000</v>
      </c>
      <c r="H126">
        <f>IF(DAY($B126) = 3,LEN($G126)+2,LEN($G126))</f>
        <v>4</v>
      </c>
      <c r="I126">
        <f t="shared" si="4"/>
        <v>5</v>
      </c>
      <c r="J126">
        <f t="shared" si="6"/>
        <v>171</v>
      </c>
      <c r="K126">
        <f t="shared" si="7"/>
        <v>0</v>
      </c>
    </row>
    <row r="127" spans="1:11" x14ac:dyDescent="0.25">
      <c r="A127">
        <v>126</v>
      </c>
      <c r="B127" s="1">
        <v>1130</v>
      </c>
      <c r="C127">
        <f>C126+E126-H126</f>
        <v>1004</v>
      </c>
      <c r="D127">
        <f>D126+F126</f>
        <v>1000</v>
      </c>
      <c r="E127">
        <v>11</v>
      </c>
      <c r="F127">
        <v>8</v>
      </c>
      <c r="G127">
        <f t="shared" si="5"/>
        <v>1008</v>
      </c>
      <c r="H127">
        <f>IF(DAY($B127) = 3,LEN($G127)+2,LEN($G127))</f>
        <v>6</v>
      </c>
      <c r="I127">
        <f t="shared" si="4"/>
        <v>4</v>
      </c>
      <c r="J127">
        <f t="shared" si="6"/>
        <v>177</v>
      </c>
      <c r="K127">
        <f t="shared" si="7"/>
        <v>0</v>
      </c>
    </row>
    <row r="128" spans="1:11" x14ac:dyDescent="0.25">
      <c r="A128">
        <v>127</v>
      </c>
      <c r="B128" s="1">
        <v>1131</v>
      </c>
      <c r="C128">
        <f>C127+E127-H127</f>
        <v>1009</v>
      </c>
      <c r="D128">
        <f>D127+F127</f>
        <v>1008</v>
      </c>
      <c r="E128">
        <v>11</v>
      </c>
      <c r="F128">
        <v>8</v>
      </c>
      <c r="G128">
        <f t="shared" si="5"/>
        <v>1016</v>
      </c>
      <c r="H128">
        <f>IF(DAY($B128) = 3,LEN($G128)+2,LEN($G128))</f>
        <v>4</v>
      </c>
      <c r="I128">
        <f t="shared" si="4"/>
        <v>1</v>
      </c>
      <c r="J128">
        <f t="shared" si="6"/>
        <v>181</v>
      </c>
      <c r="K128">
        <f t="shared" si="7"/>
        <v>0</v>
      </c>
    </row>
    <row r="129" spans="1:11" x14ac:dyDescent="0.25">
      <c r="A129">
        <v>128</v>
      </c>
      <c r="B129" s="1">
        <v>1132</v>
      </c>
      <c r="C129">
        <f>C128+E128-H128</f>
        <v>1016</v>
      </c>
      <c r="D129">
        <f>D128+F128</f>
        <v>1016</v>
      </c>
      <c r="E129">
        <v>11</v>
      </c>
      <c r="F129">
        <v>8</v>
      </c>
      <c r="G129">
        <f t="shared" si="5"/>
        <v>1024</v>
      </c>
      <c r="H129">
        <f>IF(DAY($B129) = 3,LEN($G129)+2,LEN($G129))</f>
        <v>4</v>
      </c>
      <c r="I129">
        <f t="shared" si="4"/>
        <v>0</v>
      </c>
      <c r="J129">
        <f t="shared" si="6"/>
        <v>185</v>
      </c>
      <c r="K129">
        <f t="shared" si="7"/>
        <v>0</v>
      </c>
    </row>
    <row r="130" spans="1:11" x14ac:dyDescent="0.25">
      <c r="A130">
        <v>129</v>
      </c>
      <c r="B130" s="1">
        <v>1133</v>
      </c>
      <c r="C130">
        <f>C129+E129-H129</f>
        <v>1023</v>
      </c>
      <c r="D130">
        <f>D129+F129</f>
        <v>1024</v>
      </c>
      <c r="E130">
        <v>11</v>
      </c>
      <c r="F130">
        <v>8</v>
      </c>
      <c r="G130">
        <f t="shared" si="5"/>
        <v>1032</v>
      </c>
      <c r="H130">
        <f>IF(DAY($B130) = 3,LEN($G130)+2,LEN($G130))</f>
        <v>4</v>
      </c>
      <c r="I130">
        <f t="shared" si="4"/>
        <v>1</v>
      </c>
      <c r="J130">
        <f t="shared" si="6"/>
        <v>189</v>
      </c>
      <c r="K130">
        <f t="shared" si="7"/>
        <v>0</v>
      </c>
    </row>
    <row r="131" spans="1:11" x14ac:dyDescent="0.25">
      <c r="A131">
        <v>130</v>
      </c>
      <c r="B131" s="1">
        <v>1134</v>
      </c>
      <c r="C131">
        <f>C130+E130-H130</f>
        <v>1030</v>
      </c>
      <c r="D131">
        <f>D130+F130</f>
        <v>1032</v>
      </c>
      <c r="E131">
        <v>11</v>
      </c>
      <c r="F131">
        <v>8</v>
      </c>
      <c r="G131">
        <f t="shared" si="5"/>
        <v>1040</v>
      </c>
      <c r="H131">
        <f>IF(DAY($B131) = 3,LEN($G131)+2,LEN($G131))</f>
        <v>4</v>
      </c>
      <c r="I131">
        <f t="shared" ref="I131:I150" si="8">ABS(C131-D131)</f>
        <v>2</v>
      </c>
      <c r="J131">
        <f t="shared" si="6"/>
        <v>193</v>
      </c>
      <c r="K131">
        <f t="shared" si="7"/>
        <v>19</v>
      </c>
    </row>
    <row r="132" spans="1:11" x14ac:dyDescent="0.25">
      <c r="A132">
        <v>131</v>
      </c>
      <c r="B132" s="1">
        <v>1135</v>
      </c>
      <c r="C132">
        <f>C131+E131-H131</f>
        <v>1037</v>
      </c>
      <c r="D132">
        <f>D131+F131</f>
        <v>1040</v>
      </c>
      <c r="E132">
        <v>11</v>
      </c>
      <c r="F132">
        <v>8</v>
      </c>
      <c r="G132">
        <f t="shared" ref="G132:G152" si="9">G131+F132</f>
        <v>1048</v>
      </c>
      <c r="H132">
        <f>IF(DAY($B132) = 3,LEN($G132)+2,LEN($G132))</f>
        <v>4</v>
      </c>
      <c r="I132">
        <f t="shared" si="8"/>
        <v>3</v>
      </c>
      <c r="J132">
        <f t="shared" ref="J132:J152" si="10">J131+H132-K131</f>
        <v>178</v>
      </c>
      <c r="K132">
        <f t="shared" ref="K132:K152" si="11">IF(WEEKDAY(B132,2)=6,ROUNDDOWN(J132*0.1,0),0)</f>
        <v>0</v>
      </c>
    </row>
    <row r="133" spans="1:11" x14ac:dyDescent="0.25">
      <c r="A133">
        <v>132</v>
      </c>
      <c r="B133" s="1">
        <v>1136</v>
      </c>
      <c r="C133">
        <f>C132+E132-H132</f>
        <v>1044</v>
      </c>
      <c r="D133">
        <f>D132+F132</f>
        <v>1048</v>
      </c>
      <c r="E133">
        <v>11</v>
      </c>
      <c r="F133">
        <v>8</v>
      </c>
      <c r="G133">
        <f t="shared" si="9"/>
        <v>1056</v>
      </c>
      <c r="H133">
        <f>IF(DAY($B133) = 3,LEN($G133)+2,LEN($G133))</f>
        <v>4</v>
      </c>
      <c r="I133">
        <f t="shared" si="8"/>
        <v>4</v>
      </c>
      <c r="J133">
        <f t="shared" si="10"/>
        <v>182</v>
      </c>
      <c r="K133">
        <f t="shared" si="11"/>
        <v>0</v>
      </c>
    </row>
    <row r="134" spans="1:11" x14ac:dyDescent="0.25">
      <c r="A134">
        <v>133</v>
      </c>
      <c r="B134" s="1">
        <v>1137</v>
      </c>
      <c r="C134">
        <f>C133+E133-H133</f>
        <v>1051</v>
      </c>
      <c r="D134">
        <f>D133+F133</f>
        <v>1056</v>
      </c>
      <c r="E134">
        <v>11</v>
      </c>
      <c r="F134">
        <v>8</v>
      </c>
      <c r="G134">
        <f t="shared" si="9"/>
        <v>1064</v>
      </c>
      <c r="H134">
        <f>IF(DAY($B134) = 3,LEN($G134)+2,LEN($G134))</f>
        <v>4</v>
      </c>
      <c r="I134">
        <f t="shared" si="8"/>
        <v>5</v>
      </c>
      <c r="J134">
        <f t="shared" si="10"/>
        <v>186</v>
      </c>
      <c r="K134">
        <f t="shared" si="11"/>
        <v>0</v>
      </c>
    </row>
    <row r="135" spans="1:11" x14ac:dyDescent="0.25">
      <c r="A135">
        <v>134</v>
      </c>
      <c r="B135" s="1">
        <v>1138</v>
      </c>
      <c r="C135">
        <f>C134+E134-H134</f>
        <v>1058</v>
      </c>
      <c r="D135">
        <f>D134+F134</f>
        <v>1064</v>
      </c>
      <c r="E135">
        <v>11</v>
      </c>
      <c r="F135">
        <v>8</v>
      </c>
      <c r="G135">
        <f t="shared" si="9"/>
        <v>1072</v>
      </c>
      <c r="H135">
        <f>IF(DAY($B135) = 3,LEN($G135)+2,LEN($G135))</f>
        <v>4</v>
      </c>
      <c r="I135">
        <f t="shared" si="8"/>
        <v>6</v>
      </c>
      <c r="J135">
        <f t="shared" si="10"/>
        <v>190</v>
      </c>
      <c r="K135">
        <f t="shared" si="11"/>
        <v>0</v>
      </c>
    </row>
    <row r="136" spans="1:11" x14ac:dyDescent="0.25">
      <c r="A136">
        <v>135</v>
      </c>
      <c r="B136" s="1">
        <v>1139</v>
      </c>
      <c r="C136">
        <f>C135+E135-H135</f>
        <v>1065</v>
      </c>
      <c r="D136">
        <f>D135+F135</f>
        <v>1072</v>
      </c>
      <c r="E136">
        <v>11</v>
      </c>
      <c r="F136">
        <v>8</v>
      </c>
      <c r="G136">
        <f t="shared" si="9"/>
        <v>1080</v>
      </c>
      <c r="H136">
        <f>IF(DAY($B136) = 3,LEN($G136)+2,LEN($G136))</f>
        <v>4</v>
      </c>
      <c r="I136">
        <f t="shared" si="8"/>
        <v>7</v>
      </c>
      <c r="J136">
        <f t="shared" si="10"/>
        <v>194</v>
      </c>
      <c r="K136">
        <f t="shared" si="11"/>
        <v>0</v>
      </c>
    </row>
    <row r="137" spans="1:11" x14ac:dyDescent="0.25">
      <c r="A137">
        <v>136</v>
      </c>
      <c r="B137" s="1">
        <v>1140</v>
      </c>
      <c r="C137">
        <f>C136+E136-H136</f>
        <v>1072</v>
      </c>
      <c r="D137">
        <f>D136+F136</f>
        <v>1080</v>
      </c>
      <c r="E137">
        <v>11</v>
      </c>
      <c r="F137">
        <v>8</v>
      </c>
      <c r="G137">
        <f t="shared" si="9"/>
        <v>1088</v>
      </c>
      <c r="H137">
        <f>IF(DAY($B137) = 3,LEN($G137)+2,LEN($G137))</f>
        <v>4</v>
      </c>
      <c r="I137">
        <f t="shared" si="8"/>
        <v>8</v>
      </c>
      <c r="J137">
        <f t="shared" si="10"/>
        <v>198</v>
      </c>
      <c r="K137">
        <f t="shared" si="11"/>
        <v>0</v>
      </c>
    </row>
    <row r="138" spans="1:11" x14ac:dyDescent="0.25">
      <c r="A138">
        <v>137</v>
      </c>
      <c r="B138" s="1">
        <v>1141</v>
      </c>
      <c r="C138">
        <f>C137+E137-H137</f>
        <v>1079</v>
      </c>
      <c r="D138">
        <f>D137+F137</f>
        <v>1088</v>
      </c>
      <c r="E138">
        <v>11</v>
      </c>
      <c r="F138">
        <v>8</v>
      </c>
      <c r="G138">
        <f t="shared" si="9"/>
        <v>1096</v>
      </c>
      <c r="H138">
        <f>IF(DAY($B138) = 3,LEN($G138)+2,LEN($G138))</f>
        <v>4</v>
      </c>
      <c r="I138">
        <f t="shared" si="8"/>
        <v>9</v>
      </c>
      <c r="J138">
        <f t="shared" si="10"/>
        <v>202</v>
      </c>
      <c r="K138">
        <f t="shared" si="11"/>
        <v>20</v>
      </c>
    </row>
    <row r="139" spans="1:11" x14ac:dyDescent="0.25">
      <c r="A139">
        <v>138</v>
      </c>
      <c r="B139" s="1">
        <v>1142</v>
      </c>
      <c r="C139">
        <f>C138+E138-H138</f>
        <v>1086</v>
      </c>
      <c r="D139">
        <f>D138+F138</f>
        <v>1096</v>
      </c>
      <c r="E139">
        <v>11</v>
      </c>
      <c r="F139">
        <v>8</v>
      </c>
      <c r="G139">
        <f t="shared" si="9"/>
        <v>1104</v>
      </c>
      <c r="H139">
        <f>IF(DAY($B139) = 3,LEN($G139)+2,LEN($G139))</f>
        <v>4</v>
      </c>
      <c r="I139">
        <f t="shared" si="8"/>
        <v>10</v>
      </c>
      <c r="J139">
        <f t="shared" si="10"/>
        <v>186</v>
      </c>
      <c r="K139">
        <f t="shared" si="11"/>
        <v>0</v>
      </c>
    </row>
    <row r="140" spans="1:11" x14ac:dyDescent="0.25">
      <c r="A140">
        <v>139</v>
      </c>
      <c r="B140" s="1">
        <v>1143</v>
      </c>
      <c r="C140">
        <f>C139+E139-H139</f>
        <v>1093</v>
      </c>
      <c r="D140">
        <f>D139+F139</f>
        <v>1104</v>
      </c>
      <c r="E140">
        <v>11</v>
      </c>
      <c r="F140">
        <v>8</v>
      </c>
      <c r="G140">
        <f t="shared" si="9"/>
        <v>1112</v>
      </c>
      <c r="H140">
        <f>IF(DAY($B140) = 3,LEN($G140)+2,LEN($G140))</f>
        <v>4</v>
      </c>
      <c r="I140">
        <f t="shared" si="8"/>
        <v>11</v>
      </c>
      <c r="J140">
        <f t="shared" si="10"/>
        <v>190</v>
      </c>
      <c r="K140">
        <f t="shared" si="11"/>
        <v>0</v>
      </c>
    </row>
    <row r="141" spans="1:11" x14ac:dyDescent="0.25">
      <c r="A141">
        <v>140</v>
      </c>
      <c r="B141" s="1">
        <v>1144</v>
      </c>
      <c r="C141">
        <f>C140+E140-H140</f>
        <v>1100</v>
      </c>
      <c r="D141">
        <f>D140+F140</f>
        <v>1112</v>
      </c>
      <c r="E141">
        <v>11</v>
      </c>
      <c r="F141">
        <v>8</v>
      </c>
      <c r="G141">
        <f t="shared" si="9"/>
        <v>1120</v>
      </c>
      <c r="H141">
        <f>IF(DAY($B141) = 3,LEN($G141)+2,LEN($G141))</f>
        <v>4</v>
      </c>
      <c r="I141">
        <f t="shared" si="8"/>
        <v>12</v>
      </c>
      <c r="J141">
        <f t="shared" si="10"/>
        <v>194</v>
      </c>
      <c r="K141">
        <f t="shared" si="11"/>
        <v>0</v>
      </c>
    </row>
    <row r="142" spans="1:11" x14ac:dyDescent="0.25">
      <c r="A142">
        <v>141</v>
      </c>
      <c r="B142" s="1">
        <v>1145</v>
      </c>
      <c r="C142">
        <f>C141+E141-H141</f>
        <v>1107</v>
      </c>
      <c r="D142">
        <f>D141+F141</f>
        <v>1120</v>
      </c>
      <c r="E142">
        <v>11</v>
      </c>
      <c r="F142">
        <v>8</v>
      </c>
      <c r="G142">
        <f t="shared" si="9"/>
        <v>1128</v>
      </c>
      <c r="H142">
        <f>IF(DAY($B142) = 3,LEN($G142)+2,LEN($G142))</f>
        <v>4</v>
      </c>
      <c r="I142">
        <f t="shared" si="8"/>
        <v>13</v>
      </c>
      <c r="J142">
        <f t="shared" si="10"/>
        <v>198</v>
      </c>
      <c r="K142">
        <f t="shared" si="11"/>
        <v>0</v>
      </c>
    </row>
    <row r="143" spans="1:11" x14ac:dyDescent="0.25">
      <c r="A143">
        <v>142</v>
      </c>
      <c r="B143" s="1">
        <v>1146</v>
      </c>
      <c r="C143">
        <f>C142+E142-H142</f>
        <v>1114</v>
      </c>
      <c r="D143">
        <f>D142+F142</f>
        <v>1128</v>
      </c>
      <c r="E143">
        <v>11</v>
      </c>
      <c r="F143">
        <v>8</v>
      </c>
      <c r="G143">
        <f t="shared" si="9"/>
        <v>1136</v>
      </c>
      <c r="H143">
        <f>IF(DAY($B143) = 3,LEN($G143)+2,LEN($G143))</f>
        <v>4</v>
      </c>
      <c r="I143">
        <f t="shared" si="8"/>
        <v>14</v>
      </c>
      <c r="J143">
        <f t="shared" si="10"/>
        <v>202</v>
      </c>
      <c r="K143">
        <f t="shared" si="11"/>
        <v>0</v>
      </c>
    </row>
    <row r="144" spans="1:11" x14ac:dyDescent="0.25">
      <c r="A144">
        <v>143</v>
      </c>
      <c r="B144" s="1">
        <v>1147</v>
      </c>
      <c r="C144">
        <f>C143+E143-H143</f>
        <v>1121</v>
      </c>
      <c r="D144">
        <f>D143+F143</f>
        <v>1136</v>
      </c>
      <c r="E144">
        <v>11</v>
      </c>
      <c r="F144">
        <v>8</v>
      </c>
      <c r="G144">
        <f t="shared" si="9"/>
        <v>1144</v>
      </c>
      <c r="H144">
        <f>IF(DAY($B144) = 3,LEN($G144)+2,LEN($G144))</f>
        <v>4</v>
      </c>
      <c r="I144">
        <f t="shared" si="8"/>
        <v>15</v>
      </c>
      <c r="J144">
        <f t="shared" si="10"/>
        <v>206</v>
      </c>
      <c r="K144">
        <f t="shared" si="11"/>
        <v>0</v>
      </c>
    </row>
    <row r="145" spans="1:11" x14ac:dyDescent="0.25">
      <c r="A145">
        <v>144</v>
      </c>
      <c r="B145" s="1">
        <v>1148</v>
      </c>
      <c r="C145">
        <f>C144+E144-H144</f>
        <v>1128</v>
      </c>
      <c r="D145">
        <f>D144+F144</f>
        <v>1144</v>
      </c>
      <c r="E145">
        <v>11</v>
      </c>
      <c r="F145">
        <v>8</v>
      </c>
      <c r="G145">
        <f t="shared" si="9"/>
        <v>1152</v>
      </c>
      <c r="H145">
        <f>IF(DAY($B145) = 3,LEN($G145)+2,LEN($G145))</f>
        <v>4</v>
      </c>
      <c r="I145">
        <f t="shared" si="8"/>
        <v>16</v>
      </c>
      <c r="J145">
        <f t="shared" si="10"/>
        <v>210</v>
      </c>
      <c r="K145">
        <f t="shared" si="11"/>
        <v>21</v>
      </c>
    </row>
    <row r="146" spans="1:11" x14ac:dyDescent="0.25">
      <c r="A146">
        <v>145</v>
      </c>
      <c r="B146" s="1">
        <v>1149</v>
      </c>
      <c r="C146">
        <f>C145+E145-H145</f>
        <v>1135</v>
      </c>
      <c r="D146">
        <f>D145+F145</f>
        <v>1152</v>
      </c>
      <c r="E146">
        <v>11</v>
      </c>
      <c r="F146">
        <v>8</v>
      </c>
      <c r="G146">
        <f t="shared" si="9"/>
        <v>1160</v>
      </c>
      <c r="H146">
        <f>IF(DAY($B146) = 3,LEN($G146)+2,LEN($G146))</f>
        <v>4</v>
      </c>
      <c r="I146">
        <f t="shared" si="8"/>
        <v>17</v>
      </c>
      <c r="J146">
        <f t="shared" si="10"/>
        <v>193</v>
      </c>
      <c r="K146">
        <f t="shared" si="11"/>
        <v>0</v>
      </c>
    </row>
    <row r="147" spans="1:11" x14ac:dyDescent="0.25">
      <c r="A147">
        <v>146</v>
      </c>
      <c r="B147" s="1">
        <v>1150</v>
      </c>
      <c r="C147">
        <f>C146+E146-H146</f>
        <v>1142</v>
      </c>
      <c r="D147">
        <f>D146+F146</f>
        <v>1160</v>
      </c>
      <c r="E147">
        <v>11</v>
      </c>
      <c r="F147">
        <v>8</v>
      </c>
      <c r="G147">
        <f t="shared" si="9"/>
        <v>1168</v>
      </c>
      <c r="H147">
        <f>IF(DAY($B147) = 3,LEN($G147)+2,LEN($G147))</f>
        <v>4</v>
      </c>
      <c r="I147">
        <f t="shared" si="8"/>
        <v>18</v>
      </c>
      <c r="J147">
        <f t="shared" si="10"/>
        <v>197</v>
      </c>
      <c r="K147">
        <f t="shared" si="11"/>
        <v>0</v>
      </c>
    </row>
    <row r="148" spans="1:11" x14ac:dyDescent="0.25">
      <c r="A148">
        <v>147</v>
      </c>
      <c r="B148" s="1">
        <v>1151</v>
      </c>
      <c r="C148">
        <f>C147+E147-H147</f>
        <v>1149</v>
      </c>
      <c r="D148">
        <f>D147+F147</f>
        <v>1168</v>
      </c>
      <c r="E148">
        <v>11</v>
      </c>
      <c r="F148">
        <v>8</v>
      </c>
      <c r="G148">
        <f t="shared" si="9"/>
        <v>1176</v>
      </c>
      <c r="H148">
        <f>IF(DAY($B148) = 3,LEN($G148)+2,LEN($G148))</f>
        <v>4</v>
      </c>
      <c r="I148">
        <f t="shared" si="8"/>
        <v>19</v>
      </c>
      <c r="J148">
        <f t="shared" si="10"/>
        <v>201</v>
      </c>
      <c r="K148">
        <f t="shared" si="11"/>
        <v>0</v>
      </c>
    </row>
    <row r="149" spans="1:11" x14ac:dyDescent="0.25">
      <c r="A149">
        <v>148</v>
      </c>
      <c r="B149" s="1">
        <v>1152</v>
      </c>
      <c r="C149">
        <f>C148+E148-H148</f>
        <v>1156</v>
      </c>
      <c r="D149">
        <f>D148+F148</f>
        <v>1176</v>
      </c>
      <c r="E149">
        <v>11</v>
      </c>
      <c r="F149">
        <v>8</v>
      </c>
      <c r="G149">
        <f t="shared" si="9"/>
        <v>1184</v>
      </c>
      <c r="H149">
        <f>IF(DAY($B149) = 3,LEN($G149)+2,LEN($G149))</f>
        <v>4</v>
      </c>
      <c r="I149">
        <f t="shared" si="8"/>
        <v>20</v>
      </c>
      <c r="J149">
        <f t="shared" si="10"/>
        <v>205</v>
      </c>
      <c r="K149">
        <f t="shared" si="11"/>
        <v>0</v>
      </c>
    </row>
    <row r="150" spans="1:11" x14ac:dyDescent="0.25">
      <c r="A150">
        <v>149</v>
      </c>
      <c r="B150" s="1">
        <v>1153</v>
      </c>
      <c r="C150">
        <f>C149+E149-H149</f>
        <v>1163</v>
      </c>
      <c r="D150">
        <f>D149+F149</f>
        <v>1184</v>
      </c>
      <c r="E150">
        <v>11</v>
      </c>
      <c r="F150">
        <v>8</v>
      </c>
      <c r="G150">
        <f t="shared" si="9"/>
        <v>1192</v>
      </c>
      <c r="H150">
        <f>IF(DAY($B150) = 3,LEN($G150)+2,LEN($G150))</f>
        <v>4</v>
      </c>
      <c r="I150">
        <f t="shared" si="8"/>
        <v>21</v>
      </c>
      <c r="J150">
        <f t="shared" si="10"/>
        <v>209</v>
      </c>
      <c r="K150">
        <f t="shared" si="11"/>
        <v>0</v>
      </c>
    </row>
    <row r="151" spans="1:11" x14ac:dyDescent="0.25">
      <c r="A151">
        <v>150</v>
      </c>
      <c r="B151" s="1">
        <v>1154</v>
      </c>
      <c r="C151">
        <f>C150+E150-H150</f>
        <v>1170</v>
      </c>
      <c r="D151">
        <f>D150+F150</f>
        <v>1192</v>
      </c>
      <c r="E151">
        <v>11</v>
      </c>
      <c r="F151">
        <v>8</v>
      </c>
      <c r="G151">
        <f t="shared" si="9"/>
        <v>1200</v>
      </c>
      <c r="H151">
        <f>IF(DAY($B151) = 3,LEN($G151)+2,LEN($G151))</f>
        <v>4</v>
      </c>
      <c r="I151">
        <f>ABS(C151-D151)</f>
        <v>22</v>
      </c>
      <c r="J151">
        <f t="shared" si="10"/>
        <v>213</v>
      </c>
      <c r="K151">
        <f t="shared" si="11"/>
        <v>0</v>
      </c>
    </row>
    <row r="152" spans="1:11" x14ac:dyDescent="0.25">
      <c r="A152">
        <v>151</v>
      </c>
      <c r="B152" s="1">
        <v>1155</v>
      </c>
      <c r="C152">
        <f>C151+E151-H151</f>
        <v>1177</v>
      </c>
      <c r="D152">
        <f>D151+F151</f>
        <v>1200</v>
      </c>
      <c r="E152">
        <v>11</v>
      </c>
      <c r="F152">
        <v>8</v>
      </c>
      <c r="G152">
        <f t="shared" si="9"/>
        <v>1208</v>
      </c>
      <c r="H152">
        <f>IF(DAY($B152) = 3,LEN($G152)+2,LEN($G152))</f>
        <v>4</v>
      </c>
      <c r="I152">
        <f>ABS(C152-D152)</f>
        <v>23</v>
      </c>
      <c r="J152">
        <f t="shared" si="10"/>
        <v>217</v>
      </c>
    </row>
    <row r="153" spans="1:11" x14ac:dyDescent="0.25">
      <c r="B153" s="1"/>
    </row>
    <row r="154" spans="1:11" x14ac:dyDescent="0.25">
      <c r="B154" s="1"/>
    </row>
    <row r="155" spans="1:11" x14ac:dyDescent="0.25">
      <c r="B155" s="1"/>
    </row>
    <row r="156" spans="1:11" x14ac:dyDescent="0.25">
      <c r="B156" s="1"/>
    </row>
    <row r="157" spans="1:11" x14ac:dyDescent="0.25">
      <c r="B157" s="1"/>
    </row>
    <row r="158" spans="1:11" x14ac:dyDescent="0.25">
      <c r="B158" s="1"/>
    </row>
    <row r="159" spans="1:11" x14ac:dyDescent="0.25">
      <c r="B159" s="1"/>
    </row>
    <row r="160" spans="1:11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</sheetData>
  <pageMargins left="0.7" right="0.7" top="0.75" bottom="0.75" header="0.3" footer="0.3"/>
  <ignoredErrors>
    <ignoredError sqref="H25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1, 2</vt:lpstr>
      <vt:lpstr>3, 4 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2020-02-10T16:45:37Z</dcterms:modified>
</cp:coreProperties>
</file>