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D:\Moje\Programowanie\Zadani na ferie\zestaw_na_ferie (1)\zestaw_na_ferie\Informatura_16\Zadanie 5\"/>
    </mc:Choice>
  </mc:AlternateContent>
  <xr:revisionPtr revIDLastSave="0" documentId="13_ncr:1_{F86F1010-2BF1-48EA-B349-8C7EC0BA1DA0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Stare" sheetId="4" r:id="rId1"/>
    <sheet name="5_1" sheetId="5" r:id="rId2"/>
    <sheet name="Regon" sheetId="3" r:id="rId3"/>
    <sheet name="Arkusz5" sheetId="6" r:id="rId4"/>
    <sheet name="Nowe" sheetId="2" r:id="rId5"/>
  </sheets>
  <definedNames>
    <definedName name="DaneZewnętrzne_1" localSheetId="3" hidden="1">Arkusz5!$A$1:$D$748</definedName>
    <definedName name="DaneZewnętrzne_1" localSheetId="2" hidden="1">'Regon'!$A$1:$D$748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6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H24" i="6" s="1"/>
  <c r="E25" i="6"/>
  <c r="H25" i="6" s="1"/>
  <c r="E26" i="6"/>
  <c r="E27" i="6"/>
  <c r="E28" i="6"/>
  <c r="H28" i="6" s="1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H225" i="6" s="1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H248" i="6" s="1"/>
  <c r="E249" i="6"/>
  <c r="E250" i="6"/>
  <c r="E251" i="6"/>
  <c r="E252" i="6"/>
  <c r="H252" i="6" s="1"/>
  <c r="E253" i="6"/>
  <c r="H253" i="6" s="1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H391" i="6" s="1"/>
  <c r="E392" i="6"/>
  <c r="E393" i="6"/>
  <c r="E394" i="6"/>
  <c r="H394" i="6" s="1"/>
  <c r="E395" i="6"/>
  <c r="H395" i="6" s="1"/>
  <c r="E396" i="6"/>
  <c r="E397" i="6"/>
  <c r="E398" i="6"/>
  <c r="H398" i="6" s="1"/>
  <c r="E399" i="6"/>
  <c r="H399" i="6" s="1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H723" i="6" s="1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H250" i="6" l="1"/>
  <c r="H226" i="6"/>
  <c r="H222" i="6"/>
  <c r="H30" i="6"/>
  <c r="H26" i="6"/>
  <c r="H22" i="6"/>
  <c r="H393" i="6"/>
  <c r="H249" i="6"/>
  <c r="H29" i="6"/>
  <c r="H390" i="6"/>
  <c r="H397" i="6"/>
  <c r="H396" i="6"/>
  <c r="H392" i="6"/>
  <c r="H224" i="6"/>
  <c r="H251" i="6"/>
  <c r="H247" i="6"/>
  <c r="H227" i="6"/>
  <c r="H223" i="6"/>
  <c r="H27" i="6"/>
  <c r="H2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3B8D6F-A2CF-404C-A0CD-F2F2B508E219}" keepAlive="1" name="Zapytanie — nowe" description="Połączenie z zapytaniem „nowe” w skoroszycie." type="5" refreshedVersion="6" background="1">
    <dbPr connection="Provider=Microsoft.Mashup.OleDb.1;Data Source=$Workbook$;Location=nowe;Extended Properties=&quot;&quot;" command="SELECT * FROM [nowe]"/>
  </connection>
  <connection id="2" xr16:uid="{078C5BFF-8A97-4C66-88E7-F7C6DBC0CEE9}" keepAlive="1" name="Zapytanie — nowe (2)" description="Połączenie z zapytaniem „nowe (2)” w skoroszycie." type="5" refreshedVersion="6" background="1" saveData="1">
    <dbPr connection="Provider=Microsoft.Mashup.OleDb.1;Data Source=$Workbook$;Location=&quot;nowe (2)&quot;;Extended Properties=&quot;&quot;" command="SELECT * FROM [nowe (2)]"/>
  </connection>
  <connection id="3" xr16:uid="{94A784E0-7041-4EFF-B9D9-C55599AC8F26}" keepAlive="1" name="Zapytanie — nowe (3)" description="Połączenie z zapytaniem „nowe (3)” w skoroszycie." type="5" refreshedVersion="6" background="1" saveData="1">
    <dbPr connection="Provider=Microsoft.Mashup.OleDb.1;Data Source=$Workbook$;Location=&quot;nowe (3)&quot;;Extended Properties=&quot;&quot;" command="SELECT * FROM [nowe (3)]"/>
  </connection>
  <connection id="4" xr16:uid="{ACA76ECC-C953-4BCC-B26A-54B1CB6D71D9}" keepAlive="1" name="Zapytanie — regon" description="Połączenie z zapytaniem „regon” w skoroszycie." type="5" refreshedVersion="6" background="1" saveData="1">
    <dbPr connection="Provider=Microsoft.Mashup.OleDb.1;Data Source=$Workbook$;Location=regon;Extended Properties=&quot;&quot;" command="SELECT * FROM [regon]"/>
  </connection>
  <connection id="5" xr16:uid="{2C1E4CCE-7077-45DA-AA90-A075A784716F}" keepAlive="1" name="Zapytanie — regon (2)" description="Połączenie z zapytaniem „regon (2)” w skoroszycie." type="5" refreshedVersion="6" background="1" saveData="1">
    <dbPr connection="Provider=Microsoft.Mashup.OleDb.1;Data Source=$Workbook$;Location=&quot;regon (2)&quot;;Extended Properties=&quot;&quot;" command="SELECT * FROM [regon (2)]"/>
  </connection>
</connections>
</file>

<file path=xl/sharedStrings.xml><?xml version="1.0" encoding="utf-8"?>
<sst xmlns="http://schemas.openxmlformats.org/spreadsheetml/2006/main" count="4567" uniqueCount="972">
  <si>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</si>
  <si>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</si>
  <si>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</si>
  <si>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</si>
  <si>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</si>
  <si>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</si>
  <si>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</si>
  <si>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</si>
  <si>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</si>
  <si>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</si>
  <si>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</si>
  <si>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</si>
  <si>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</si>
  <si>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</si>
  <si>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</si>
  <si>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</si>
  <si>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Przedsiębiorstwo</t>
  </si>
  <si>
    <t>Regon</t>
  </si>
  <si>
    <t>Typ</t>
  </si>
  <si>
    <t>Data usunięcia z systemu</t>
  </si>
  <si>
    <t>CRYSTEL GRZEGORZ MULARCZYK</t>
  </si>
  <si>
    <t>F</t>
  </si>
  <si>
    <t>-</t>
  </si>
  <si>
    <t>HANDEL ARTYKUŁAMI PRZEMYSŁOWYMI GRZEGORZ MUSIAŁ</t>
  </si>
  <si>
    <t>2013-01-07</t>
  </si>
  <si>
    <t xml:space="preserve"> INSIDE  - JOANNA MULARCZYK</t>
  </si>
  <si>
    <t>2011-01-24</t>
  </si>
  <si>
    <t>SSMACZNY SŁAWOMIR RATAJSKI</t>
  </si>
  <si>
    <t>2016-07-06</t>
  </si>
  <si>
    <t>Beata Stefanko</t>
  </si>
  <si>
    <t>2014-05-13</t>
  </si>
  <si>
    <t>MARCIN MEDYCKI CLUB VEGA</t>
  </si>
  <si>
    <t>Firma Usługowo-Handlowa Karolina Krajewska</t>
  </si>
  <si>
    <t>2016-07-13</t>
  </si>
  <si>
    <t>MORYC BEATA P.H. "JOKO" S.C.</t>
  </si>
  <si>
    <t>2016-09-28</t>
  </si>
  <si>
    <t>PRZEDSIĘBIORSTWO USŁUGOWE "KASTA" STANISŁAW STANKIEWICZ</t>
  </si>
  <si>
    <t>2009-02-10</t>
  </si>
  <si>
    <t>M-C 10 RENATA KRAJEWSKA</t>
  </si>
  <si>
    <t>2010-03-02</t>
  </si>
  <si>
    <t>PRZEDSIĘBIORSTWO HANDLOWO USŁUGOWO PRODUKCYJNE /PHUP/ DARIUSZ SAS</t>
  </si>
  <si>
    <t>2010-06-29</t>
  </si>
  <si>
    <t>ANNA SAS ROZWIĄZANIA HANDLOWE</t>
  </si>
  <si>
    <t>2009-05-21</t>
  </si>
  <si>
    <t>CLUB VEGA S.C.</t>
  </si>
  <si>
    <t>P</t>
  </si>
  <si>
    <t>P.H."JOKO" S.C. BEATA MORYC, KAMILA GADZIŃSKA</t>
  </si>
  <si>
    <t>PRZEDSIĘBIORSTWO PRODUKCYJNO-USŁUGOWO-HANDLOWE "ELEKTROS" SPÓŁKA Z OGRANICZONĄ ODPOWIEDZIALNOŚCIĄ</t>
  </si>
  <si>
    <t>KRAJOWE STOWARZYSZENIE ORGANIZACJI PROMOCJI PRZEDSIĘBIORSTW I FIRM "KONSORCJUM HANDLOWE - ODRA PAK" W LIKWIDACJI</t>
  </si>
  <si>
    <t>2013-12-16</t>
  </si>
  <si>
    <t>Przedsiębiorstwo Handlowo Usługowe ERGO Marcin Hasiuk</t>
  </si>
  <si>
    <t>LF</t>
  </si>
  <si>
    <t>2015-02-03</t>
  </si>
  <si>
    <t>Centrum Handlowe ,,LIDER" Grzegorz Król</t>
  </si>
  <si>
    <t>2016-11-03</t>
  </si>
  <si>
    <t>KAMILA GADZIŃSKA</t>
  </si>
  <si>
    <t>2016-09-29</t>
  </si>
  <si>
    <t>Salon Optyczny "VISUS" ANETA BARTCZAK</t>
  </si>
  <si>
    <t>ARTYKUŁY PRZEMYSŁOWE ANDRZEJ BUCIAK</t>
  </si>
  <si>
    <t>1. Kantor Wymiany Walut Agnieszka Czarniecka 2. Kantor Wymiany Walut s.c.</t>
  </si>
  <si>
    <t>EXNER PIOTR GREENEX</t>
  </si>
  <si>
    <t>CZYŻEWSKI PAWEŁ</t>
  </si>
  <si>
    <t>KAROŃSKI MARIUSZ 1. Firma Usług Finansowo-Bankowych 2. Agencja Ubezpieczeniowa "ASSISTANCE"</t>
  </si>
  <si>
    <t>Komplus Bogdan Dujicz</t>
  </si>
  <si>
    <t>HANDEL DETALICZNY Mateusz Skrzypczak</t>
  </si>
  <si>
    <t>2015-01-05</t>
  </si>
  <si>
    <t>CENTRUM GSM MACIEJ ADAM ŁUKASZEWICZ</t>
  </si>
  <si>
    <t>2016-09-21</t>
  </si>
  <si>
    <t>MARSI MARCIN SIWIEC</t>
  </si>
  <si>
    <t>2015-02-20</t>
  </si>
  <si>
    <t>MECHANIKA MASZYN USŁUGI ANDRZEJ BURY</t>
  </si>
  <si>
    <t>2001-05-02</t>
  </si>
  <si>
    <t>GOSPODARSTWO ROLNE MARIAN FRYSZKE</t>
  </si>
  <si>
    <t>2011-03-21</t>
  </si>
  <si>
    <t>MAŁA GASTRONOMIA PIJALNIA PIWA KUCZKOWSKI TADEUSZ</t>
  </si>
  <si>
    <t>2008-02-18</t>
  </si>
  <si>
    <t>DANUTA CICHERSKA "KAMA" PRODUKCJA KRZESEŁ I STOŁÓW</t>
  </si>
  <si>
    <t>ELEKTROMECHANIKA POJAZDOWA MAREK BRZEZIŃSKI</t>
  </si>
  <si>
    <t>MARIOLA SKIBA PRZEDSIĘBIORSTWO PRODUKCYJNO-HANDLOWE "SOLGARMA"</t>
  </si>
  <si>
    <t>2009-08-21</t>
  </si>
  <si>
    <t>TAXI MAREK NOWAK</t>
  </si>
  <si>
    <t>2011-01-28</t>
  </si>
  <si>
    <t>ZAKŁAD STOLARSKI "JAWOR" ANDRZEJ ZARĘBA</t>
  </si>
  <si>
    <t>JERZY FOLTAK</t>
  </si>
  <si>
    <t>2002-03-12</t>
  </si>
  <si>
    <t>ZARZYCKA KAROLINA</t>
  </si>
  <si>
    <t>MANUFAKTURA 1887 ANDRZEJ TKACZ</t>
  </si>
  <si>
    <t>PRZEDSIĘBIORSTWO HANDLOWO-USŁUGOWE "PREMIUM" WALDEMAR ŁASZEWSKI</t>
  </si>
  <si>
    <t>2006-08-02</t>
  </si>
  <si>
    <t>ALICJA BURA</t>
  </si>
  <si>
    <t>1998-12-14</t>
  </si>
  <si>
    <t>SZEWCZYK JAN FIRMA "DEK-BUD"</t>
  </si>
  <si>
    <t>PRODUKCJA-HANDEL MIROSŁAWA BARBARA DAWID</t>
  </si>
  <si>
    <t>JAN NAJZER PRZEDSIĘBIORSTWO WIELOBRANŻOWE "JANDREW"</t>
  </si>
  <si>
    <t>GOSPODARSTWO ROLNE ANDRZEJ CICHOWICZ</t>
  </si>
  <si>
    <t>GOSPODARSTWO ROLNE</t>
  </si>
  <si>
    <t>2001-05-15</t>
  </si>
  <si>
    <t>P.P.H.U. JANDEX S.C. Hanna Półtorak, Andrzej Niewiadomski, Zbigniew Niewiadomski</t>
  </si>
  <si>
    <t>2013-04-18</t>
  </si>
  <si>
    <t>GOSPODARSTWO ROLNE RYSZARD CHOJNACKI</t>
  </si>
  <si>
    <t>GOSPODARSTWO ROLNE SEBASTIAN FRYSZKE</t>
  </si>
  <si>
    <t>KUZNIEWSKA EWA</t>
  </si>
  <si>
    <t>Gospodarstwo Rolne Dariusz Chojnacki</t>
  </si>
  <si>
    <t>SOLNET Arkadiusz Mezer</t>
  </si>
  <si>
    <t>GABINET WETERYNARYJNY LEK. WET. JOANNA FRISCHKE-KRAJEWSKA</t>
  </si>
  <si>
    <t>BODEX BOGUMIŁA ŻUBKOWSKA</t>
  </si>
  <si>
    <t>DARIUSZ FOLTAK TAKSÓWKA OSOBOWA</t>
  </si>
  <si>
    <t>CIEŚLEWICZ JACEK PRZEDSIĘBIORSTWO HANDLOWO-USŁUGOWE "INMAN"</t>
  </si>
  <si>
    <t>GOSPODARSTWO ROLNE BARBARA FRYSZKE</t>
  </si>
  <si>
    <t>ZĄBEK JERZY</t>
  </si>
  <si>
    <t>ZEM-TECH ZAKŁAD PRODUKCYJNO-HANDLOWO-USŁUGOWY PAJOR EDWARD</t>
  </si>
  <si>
    <t>2014-12-03</t>
  </si>
  <si>
    <t>REMAR CHROMIŃSKI MARCIN</t>
  </si>
  <si>
    <t>GABI GABRIELA RADO-PAJOR</t>
  </si>
  <si>
    <t>INDYWIDUALNA PRAKTYKA LEKARSKA MARCIN WALUKIEWICZ</t>
  </si>
  <si>
    <t xml:space="preserve"> ROGASZEWSKI  SŁAWOMIR ROGASZEWSKI</t>
  </si>
  <si>
    <t>FIRMA BUDOWLANO-MONTAŻOWA GABI PAWEŁ PAJOR</t>
  </si>
  <si>
    <t>2016-05-17</t>
  </si>
  <si>
    <t>Gospodarstwo Rolne Daniel Chojnacki</t>
  </si>
  <si>
    <t>P.H.U.-HETMAN ADAM JANISZEWSKI</t>
  </si>
  <si>
    <t>SPEED WIESŁAW KWASIK</t>
  </si>
  <si>
    <t>RATEMA TERESA CHOJNACKA</t>
  </si>
  <si>
    <t>2014-10-20</t>
  </si>
  <si>
    <t>IMAGIT Małgorzata Rogacewicz</t>
  </si>
  <si>
    <t>WIKTOR SAGANOWSKI</t>
  </si>
  <si>
    <t>2015-04-30</t>
  </si>
  <si>
    <t>ZAKŁAD ŚLUSARSKO-TOKARSKI KRZYSZTOF WIŚNIEWSKI</t>
  </si>
  <si>
    <t>IN FACTUM MONIKA MEZER-ŻUBKOWSKA</t>
  </si>
  <si>
    <t>AGRO-ZIELEŃ RADOSŁAW CHOJNACKI</t>
  </si>
  <si>
    <t>GRASKOLI MICHAŁ GRABSKI</t>
  </si>
  <si>
    <t>Kancelaria Radcy Prawnego Aleksandra Dziedzic</t>
  </si>
  <si>
    <t>YASHAR ASAN</t>
  </si>
  <si>
    <t>PRZEDSIĘBIORSTWO PROD.-USŁUG.-HANDL."SOLTRABUD" SPOŁKA Z O.O.W UPADŁOŚCI</t>
  </si>
  <si>
    <t>PW "TYLPOL" ZBIGNIEW TYLICKI, MAREK TYLICKI SPÓŁKA JAWNA</t>
  </si>
  <si>
    <t>VETDIAGNOSTICA SPÓŁKA Z OGRANICZONĄ ODPOWIEDZIALNOŚCIĄ</t>
  </si>
  <si>
    <t>GABI STOLARKA BUDOWLANA SPÓŁKA Z OGRANICZONĄ ODPOWIEDZIALNOŚCIĄ</t>
  </si>
  <si>
    <t>ALBUD LECH ALEKSANDROWICZ</t>
  </si>
  <si>
    <t>GABINET WETERYNARYJNY LEK.WET. JOANNA FRISCHKE-KRAJEWSKA</t>
  </si>
  <si>
    <t>GRAFCO ROKSANA ZDRADA</t>
  </si>
  <si>
    <t>P &amp; P PRACE WYSOKOŚCIOWE OGÓLNOBUDOWLANE,TADEUSZ KUDELSKI</t>
  </si>
  <si>
    <t>DRINK - BAR,HENRYKA KALISZ</t>
  </si>
  <si>
    <t>2011-09-07</t>
  </si>
  <si>
    <t>PRZEDSIĘBIORSTWO PROD.RÓŻNEJ HANDLU I USŁUG "GOTEX",BOŻYDAR BIBROWICZ</t>
  </si>
  <si>
    <t>2008-10-28</t>
  </si>
  <si>
    <t>COCKTAIL BAR CUKIERNIA" ŚNIEŻKA" JAN FRANK</t>
  </si>
  <si>
    <t>KĘSKA RAFAŁ</t>
  </si>
  <si>
    <t>PRZEDSIĘBIORSTWO HANDLOWO USŁUGOWE ALEX NORBERT TROCIŃSKI</t>
  </si>
  <si>
    <t>STUDIO29 ANNA KASPERSKA</t>
  </si>
  <si>
    <t>2006-05-29</t>
  </si>
  <si>
    <t>KEWI ELŻBIETA SIWEK- WSPÓLNIK SPÓŁKI CYWILNEJ</t>
  </si>
  <si>
    <t>TŁUMACZENIA PRZYSIĘGŁE I NAUKA JĘZYKA ANGIELSKIEGO AGNIESZKA KACZMAREK</t>
  </si>
  <si>
    <t>SEBASTIAN POŹNIAK</t>
  </si>
  <si>
    <t>REDLAN WŁODARCZAK JACEK MARIAN</t>
  </si>
  <si>
    <t>2011-03-08</t>
  </si>
  <si>
    <t>PARKING STRZEŻONY WIOLETA NAJDER</t>
  </si>
  <si>
    <t>2011-06-16</t>
  </si>
  <si>
    <t>ZAKŁAD USŁUGOWY "TOLEX" MARLENA KRUK</t>
  </si>
  <si>
    <t>2014-06-24</t>
  </si>
  <si>
    <t>M.O. MAGDALENA OZIMIŃSKA</t>
  </si>
  <si>
    <t>PRZEDSIĘBIORSTWO HANDLOWO USŁUGOWE PRETTY ADRIAN SŁOWIŃSKI 66-400 GORZÓW WLKP. UL. 9 MAJA 6D ADRIAN SŁOWIŃSKI</t>
  </si>
  <si>
    <t xml:space="preserve"> PATRYNIU BEATA BINERT</t>
  </si>
  <si>
    <t>2016-01-19</t>
  </si>
  <si>
    <t>RAFFAELLA RAFAELA KAMILA KĘDRA</t>
  </si>
  <si>
    <t>WIK-MAR MAREK MOTYL</t>
  </si>
  <si>
    <t>PRACOWNIA PROJEKTOWANIA I SZYCIA ODZIEŻY "IVA" IWONA CZECHOWICZ</t>
  </si>
  <si>
    <t>2011-02-16</t>
  </si>
  <si>
    <t>PRZEDSIĘBIORSTWO USŁUGOWO HANDLOWE GABEST MARIUSZ CICHY</t>
  </si>
  <si>
    <t>EURO-BRUK JACEK KUŚ</t>
  </si>
  <si>
    <t>2009-08-14</t>
  </si>
  <si>
    <t>MAGDALENA ŁOPATA "MAGDA"</t>
  </si>
  <si>
    <t>2009-02-06</t>
  </si>
  <si>
    <t>FIRMA USŁUGOWA "EWA" EWA GRUSE</t>
  </si>
  <si>
    <t>2009-03-05</t>
  </si>
  <si>
    <t>PRAKTYKA LEKARSKA MAGDALENA CZARKOWSKA</t>
  </si>
  <si>
    <t>KIOSK WIELOBRANŻOWY CECYLIA KAŁUŻNA</t>
  </si>
  <si>
    <t>2003-07-23</t>
  </si>
  <si>
    <t>FERMA LISÓW T.I R.PRZYBYŁA</t>
  </si>
  <si>
    <t>2004-05-28</t>
  </si>
  <si>
    <t>BORO PRZEMYSŁAW BORODZIEJ</t>
  </si>
  <si>
    <t>BRONISŁAWA BOGUSZ</t>
  </si>
  <si>
    <t>2006-12-15</t>
  </si>
  <si>
    <t>BOMBAŁA MAGDALENA FUTURE FILM</t>
  </si>
  <si>
    <t>2010-04-20</t>
  </si>
  <si>
    <t>EWA KUBISZEWSKA HAPPINESS OŚRODEK ANTYSTRESOWY EWY KUBISZEWSKIEJ</t>
  </si>
  <si>
    <t>2016-08-17</t>
  </si>
  <si>
    <t>Firma Handlowo Usługowa Jacek Gajda</t>
  </si>
  <si>
    <t>2015-02-27</t>
  </si>
  <si>
    <t>WIESŁAW MARMUL</t>
  </si>
  <si>
    <t>2015-01-14</t>
  </si>
  <si>
    <t>SKLEP WARZYWNO-SPOŻYWCZY "OSIEDLOWY" TUMIŃSKA BOŻENA</t>
  </si>
  <si>
    <t>2015-02-06</t>
  </si>
  <si>
    <t>TRANSpol MARIUSZ GRYCUK</t>
  </si>
  <si>
    <t>KWIATKOWSKA JADWIGA</t>
  </si>
  <si>
    <t>2008-12-15</t>
  </si>
  <si>
    <t>WORKCENTER24 DANIEL BANASZKIEWICZ</t>
  </si>
  <si>
    <t>2015-04-07</t>
  </si>
  <si>
    <t>FIRMA USŁUGOWA "DEK"URBAŃSKI KRZYSZTOF PAWEŁ</t>
  </si>
  <si>
    <t>1)SKLEP MIĘSNY "AGA" 2)HANDEL DETALICZNY "AGA" GAJEWSKA AGNIESZKA</t>
  </si>
  <si>
    <t>2009-06-22</t>
  </si>
  <si>
    <t>MARCIN WIERZCHOWSKI REAL-TRANSPORT</t>
  </si>
  <si>
    <t>PHU RASTA KLIMA PUZIAK MONIKA</t>
  </si>
  <si>
    <t>KRZYSZTOF SZCZECINA USŁUGI BUDOWLANE</t>
  </si>
  <si>
    <t>SEBASTIAN SZCZĘCH</t>
  </si>
  <si>
    <t>DARIUSZ KRZEMIŃSKI</t>
  </si>
  <si>
    <t>2013-07-15</t>
  </si>
  <si>
    <t>KACZMAREK PAWEŁ</t>
  </si>
  <si>
    <t>2010-05-12</t>
  </si>
  <si>
    <t>JACEK DZIUBAŁKA "MAXMAR-BIS"</t>
  </si>
  <si>
    <t>JAN-BUD JANUSZ KACZMAREK</t>
  </si>
  <si>
    <t>OLEKSIAK JADWIGA</t>
  </si>
  <si>
    <t>2010-10-07</t>
  </si>
  <si>
    <t>BOMBAŁA GRAŻYNA</t>
  </si>
  <si>
    <t>2010-02-22</t>
  </si>
  <si>
    <t>BUD-MAG GRYCUK MACIEJ</t>
  </si>
  <si>
    <t>MULTI-SOFT EWA I RYSZARD NENYCZ S. C.EWA NENYCZ</t>
  </si>
  <si>
    <t>FIRMA USŁUGOWA JAN RUDZKI</t>
  </si>
  <si>
    <t>FIRMA -HANDLOWO USŁUGOWA ELWIRA BOCHEŃSKA</t>
  </si>
  <si>
    <t>ELPLAN PRZEDSIĘBIORSTWO PROJEKTOWE JERZY KLIMCZAK</t>
  </si>
  <si>
    <t>JOLANTA BIERNACKA</t>
  </si>
  <si>
    <t>2006-09-05</t>
  </si>
  <si>
    <t>OKSAR SKOWROŃSKA MONIKA</t>
  </si>
  <si>
    <t>2006-09-20</t>
  </si>
  <si>
    <t>A&amp;D CONSULTING DĄBROWSKI ARTUR</t>
  </si>
  <si>
    <t>KANCELARIA ADWOKACKA ŁUKASZ MARKIEWICZ</t>
  </si>
  <si>
    <t>STAR PROPERTIES EDWARDS MARK SYDNEY</t>
  </si>
  <si>
    <t>2009-11-06</t>
  </si>
  <si>
    <t>QUICK STUDY KAROLINA JĘDRZEJCZAK</t>
  </si>
  <si>
    <t>USŁUGI AKWIZYCYJNE I UBEZPIECZENIOWE MUCHOWSKA IWONA</t>
  </si>
  <si>
    <t>LECH RYBARCZYK INSTALATORSTWO ELEKTRYCZNE</t>
  </si>
  <si>
    <t>2013-05-02</t>
  </si>
  <si>
    <t>INSTALATORSTWO ELEKTRYCZNE RYSZARD JANKOWSKI</t>
  </si>
  <si>
    <t>Medwediuk Olga - Wycena Nieruchomości</t>
  </si>
  <si>
    <t>TRANSPORT MIĘDZYNARODOWY PAWEŁ MIZERAK</t>
  </si>
  <si>
    <t>MIECZYSŁAW GAJDELIS PRZEDSIĘBIORSTWO PRZEMYSŁOWO-HANDLOWE "GAJAKOS"</t>
  </si>
  <si>
    <t>2014-06-25</t>
  </si>
  <si>
    <t>DAVIDE DELLI GUANTI</t>
  </si>
  <si>
    <t>Renthome Hubert Szarata</t>
  </si>
  <si>
    <t>LOKALE Agnieszka Spalony</t>
  </si>
  <si>
    <t>El-France Elżbieta Fougere</t>
  </si>
  <si>
    <t>2016-04-04</t>
  </si>
  <si>
    <t>KANCELARIA ADWOKACKA KAROLINA PROKOPOWICZ</t>
  </si>
  <si>
    <t>BIURO RACHUNKOWE E - BUCHALTERIA ANETA GABARA-BARAN</t>
  </si>
  <si>
    <t>BEVERLY HILLS MARIA BOCHEŃSKA</t>
  </si>
  <si>
    <t>2015-12-11</t>
  </si>
  <si>
    <t>BOGDAN BOCHEŃSKI GOSPODARSTWO ROLNE W BRÓDKACH</t>
  </si>
  <si>
    <t>HAFIZ KANCELARIA PRAWNA CEZARY DOMAGALSKI</t>
  </si>
  <si>
    <t>JOANNA RUDZKA GABINET STOMATOLOGICZY</t>
  </si>
  <si>
    <t>JAN MYCEK Zajazd Pod Różą</t>
  </si>
  <si>
    <t>2015-09-03</t>
  </si>
  <si>
    <t>SKLEP Z ODZIEŻĄ UŻYWANĄ "RICARDO" RYSZARD KOPER</t>
  </si>
  <si>
    <t>2009-09-15</t>
  </si>
  <si>
    <t>KRZYSZTOF ŁOZIŃSKI PHU ŁOZIŃSKI</t>
  </si>
  <si>
    <t>2015-09-28</t>
  </si>
  <si>
    <t>CAP STANISŁAW PRZEDSIĘBIORSTWO PROJEKTOWANIA I USŁUG INWESTYCYJNO-BUDOWLANYCH "PROEKOB"</t>
  </si>
  <si>
    <t>IWONA JANUSZEWSKA-MYCEK</t>
  </si>
  <si>
    <t>MAŁGORZATA JESIONOWSKA INDYWIDUALNA PRAKTYKA PIELĘGNIARSKA</t>
  </si>
  <si>
    <t>HENRYK MASTERNAK BIURO KONSULTINGOWO-PROJEKTOWE "GEOMASTER"</t>
  </si>
  <si>
    <t>STUDIO URODY ARISA KAVATSYUK MAGDALENA</t>
  </si>
  <si>
    <t>MULTI-SOFT EWA I RYSZARD NENYCZ S. C.RYSZARD NENYCZ</t>
  </si>
  <si>
    <t>DOM-BUD PIOTR WIŚNIEWSKI</t>
  </si>
  <si>
    <t>PRZEDSIĘBIORSTWO HANDLOWO USŁUGOWE "ŁOZIŃSKI" VIOLETTA ŁOZIŃSKA</t>
  </si>
  <si>
    <t>2006-02-03</t>
  </si>
  <si>
    <t>PRZEDSIĘBIORSTWO PRZEMYSŁOWO-HANDLOWE "GAJAKOS" S.C.MIECZYSŁAW GAJDELIS,ANDRZEJ JADZIAK</t>
  </si>
  <si>
    <t>2014-05-08</t>
  </si>
  <si>
    <t>POLSKIE STOWARZYSZENIE MEDIACJI GOSPODARCZEJ W LIKWIDACJI</t>
  </si>
  <si>
    <t>EOP SPÓŁKA Z OGRANICZONĄ ODPOWIEDZIALNOŚCIĄ</t>
  </si>
  <si>
    <t>MULTI-SOFT EWA I RYSZARD NENYCZ SPÓŁKA CYWILNA EWA NENYCZ, RYSZARD NENYCZ</t>
  </si>
  <si>
    <t>KANCELARIA ADWOKATÓW I RADCÓW PRAWNYCH BACZAŃSKA, SZARATA SPÓŁKA PARTNERSKA</t>
  </si>
  <si>
    <t>AMP - SPÓŁKA Z OGRANICZONĄ ODPOWIEDZIALNOŚCIĄ</t>
  </si>
  <si>
    <t>AMP - SPÓŁKA Z OGRANICZONĄ ODPOWIEDZIALNOŚCIĄ I WSPÓLNICY SPÓŁKA KOMANDYTOWA</t>
  </si>
  <si>
    <t>WSPÓLNOTA MIESZKANIOWA UL.ALEJA KONSTYTUCJI 3-GO MAJA 5</t>
  </si>
  <si>
    <t>PGO POLSKA GRUPA ODSZKODOWAWCZA SPÓŁKA AKCYJNA</t>
  </si>
  <si>
    <t>WSPÓLNOTA MIESZKANIOWA UL.ALEJA KONSTYTUCJI 3-GO MAJA 11</t>
  </si>
  <si>
    <t>WSPÓLNOTA MIESZKANIOWA UL.ALEJA KONSTYTUCJI 3-GO MAJA 3</t>
  </si>
  <si>
    <t>BS BACZAŃSKA, SZARATA SPÓŁKA JAWNA</t>
  </si>
  <si>
    <t>TERMOTECH SPÓŁKA Z OGRANICZONĄ ODPOWIEDZIALNOŚCIĄ</t>
  </si>
  <si>
    <t>FUNDACJA GREEN STAR</t>
  </si>
  <si>
    <t>CORET SPÓŁKA Z OGRANICZONĄ ODPOWIEDZIALNOŚCIĄ</t>
  </si>
  <si>
    <t>LUBUSKIE STOWARZYSZENIE RZECZOZNAWCÓW MAJĄTKOWYCH</t>
  </si>
  <si>
    <t>INSTALATORSTWO ELEKTRYCZNE SPÓŁKA CYWILNA RYSZARD JANKOWSKI, LECH RYBARCZYK</t>
  </si>
  <si>
    <t>2013-04-30</t>
  </si>
  <si>
    <t>KONZBUT-HOLDINGSPÓŁKA AKCYJNA W LIKWIDACJI</t>
  </si>
  <si>
    <t>UNIBET SPÓŁKA Z OGRANICZONĄ ODPOWIEDZIALNOŚCIĄ</t>
  </si>
  <si>
    <t>GAMP SPÓŁKA Z OGRANICZONĄ ODPOWIEDZIALNOŚCIĄ</t>
  </si>
  <si>
    <t>VILLA NIERUCHOMOŚCI - JULITA SZYMAŃSKA</t>
  </si>
  <si>
    <t>INKASSO MAGDALENA KUCHARSKA</t>
  </si>
  <si>
    <t>AJ TERMOTECH Andrzej Jadziak</t>
  </si>
  <si>
    <t>2016-01-08</t>
  </si>
  <si>
    <t>Firma Handlowa Łukasz Sciebura</t>
  </si>
  <si>
    <t>Urszula Migalska IRYDIUM</t>
  </si>
  <si>
    <t>SALON "MAGNUS" MARIA NISZTUK</t>
  </si>
  <si>
    <t>SALON KOSMETYCZNY JOANNA NISZTUK</t>
  </si>
  <si>
    <t>ZAKŁAD USŁUG WIELOBRANŻOWYCH MIECZYSŁAW LUCINKIEWICZ</t>
  </si>
  <si>
    <t>BROKER UBEZPIECZENIOWY WOJCIECH KRZYKWA</t>
  </si>
  <si>
    <t>AZYL GABINET KOSMETYCZNY</t>
  </si>
  <si>
    <t>SAPRO Robert Sciebura</t>
  </si>
  <si>
    <t>PLUS BANK SPÓŁKA AKCYJNA ODDZIAŁ W ZIELONEJ GÓRZE</t>
  </si>
  <si>
    <t>LP</t>
  </si>
  <si>
    <t>HDI ASEKURACJA TOWARZYSTWO UBEZPIECZEŃ S.A. ODDZIAŁ W ZIELONEJ GÓRZE</t>
  </si>
  <si>
    <t>AQUA HOBBY Grzegorz Kamiński</t>
  </si>
  <si>
    <t>'WIRBEL ALFONS INSTALATORSTWO ELEKTRYCZNE '</t>
  </si>
  <si>
    <t>TŁUMACZ PRZYSIĘGŁY JĘZYKA FRANCUSKIEGO TOMASZ STOCZCZAK</t>
  </si>
  <si>
    <t>Bogdan Prawicki</t>
  </si>
  <si>
    <t>Rafał Klimkowski</t>
  </si>
  <si>
    <t>STREFA URODY Zuzanna Bilewicz</t>
  </si>
  <si>
    <t>Indywidualna Praktyka Lekarska Małgorzata Grobelna</t>
  </si>
  <si>
    <t>'KOWALSKI MIROSŁAW 1.ZAKŁAD USŁUG KSIĘGOWYCH 2."PLUS"'</t>
  </si>
  <si>
    <t>ARKADIUSZ RUKS RUKS PACKAGING</t>
  </si>
  <si>
    <t>KLUPŚ JOLANTA PRYWATNY GABINET LEKARSKI</t>
  </si>
  <si>
    <t>PORADNIA DIETETYCZNA SMAKI NA ZDROWIE MAŁGORZATA WEIGT</t>
  </si>
  <si>
    <t>GALERIA FRYZUR HANNA RUKS</t>
  </si>
  <si>
    <t>BARCZYŃSKI RAFAŁ DORADCA PROMOTOR AGENT</t>
  </si>
  <si>
    <t>SATORI KARATE CLUB, LESZNO</t>
  </si>
  <si>
    <t>SPÓŁKA CYWILNA PLUS MIROSŁAW KOWALSKI RAFAŁ KLIMKOWSKI</t>
  </si>
  <si>
    <t>GYNMEDSPÓŁKA Z OGRANICZONĄ ODPOWIEDZIALNOŚCIĄ,LESZNO</t>
  </si>
  <si>
    <t>VIERHAUS-GRUPPE POLSKASPÓŁKA Z OGRANICZONĄ ODPOWIEDZIALNOŚCIĄ,LESZNO</t>
  </si>
  <si>
    <t>KAZAŁO TOMASZ INDYWIDUALNA SPECJALISTYCZNA PRAKTYKA LEKARSKA</t>
  </si>
  <si>
    <t>IDEA IMPORT-EXPORT AGATA DYMKKIEWICZ</t>
  </si>
  <si>
    <t>MARCIN MAŃCZAK SKLEP SPOŻYWCZO-PRZEMYSŁOWY</t>
  </si>
  <si>
    <t>2016-11-07</t>
  </si>
  <si>
    <t>'KĘDZIORA KRYSTYNA PRZEDSIĘBIORSTWO HANDLOWO USŁUGOWE '</t>
  </si>
  <si>
    <t>PRZEDSIĘBIORSTWO USŁUGOWO HANDLOWE - MARIUSZ KASPERSKI</t>
  </si>
  <si>
    <t>OWOCOWY RAJ Sylwia Rakoczy</t>
  </si>
  <si>
    <t>ZESPÓŁ POŁOŻNICZO-GINEKOLOGICZNY PRZYCHODNI SPECJALISTYCZNYCH"GYNMED",LESZNO</t>
  </si>
  <si>
    <t>HANDEL OKRĘŻNY-WARZYWA,OWOCE,KWIATY POCH.ZAGRAN.-MAREK WOJTASZEK</t>
  </si>
  <si>
    <t>2011-06-30</t>
  </si>
  <si>
    <t>EKSPORT-IMPORT,HANDEL HURTOWY I DETALICZNY,JERZY MOLSKI</t>
  </si>
  <si>
    <t>HANDEL DETALICZNY-ART.SPOŻ.,WĘDLINY,CHEMICZNE-BOŻENA OLEJNICZAK</t>
  </si>
  <si>
    <t>2011-09-23</t>
  </si>
  <si>
    <t>ZAKŁAD DZIEWIARSKI-IRENA WIECZOREK</t>
  </si>
  <si>
    <t>2011-08-29</t>
  </si>
  <si>
    <t>RENATA ADAMIAK</t>
  </si>
  <si>
    <t>2011-07-01</t>
  </si>
  <si>
    <t>JERZY ZIN</t>
  </si>
  <si>
    <t>2008-09-15</t>
  </si>
  <si>
    <t>SKLEP-ART.PRZEMYSŁOWE,IMPORT-EKSPORT,LISIECKI ZDZISŁAW</t>
  </si>
  <si>
    <t>2009-05-27</t>
  </si>
  <si>
    <t>BIELIŹNIARSTWO I KRAWIECTWO LEKKIE-TERESA FETTER</t>
  </si>
  <si>
    <t>2001-03-14</t>
  </si>
  <si>
    <t>PHU "TRANSPASZ" SPRZEDAŻ PASZ I USŁUGI TRANSPORTOWE BOGUSŁAW KULAWINEK</t>
  </si>
  <si>
    <t>JANOWIECKI KRZYSZTOF</t>
  </si>
  <si>
    <t>2015-05-12</t>
  </si>
  <si>
    <t>USŁUGI TRANSPORTOWE CIĘŻAROWE-KRAJOWE,LESZEK MROZIŃSKI</t>
  </si>
  <si>
    <t>2000-02-18</t>
  </si>
  <si>
    <t>PRZEDSIĘBIORSTWO WIELOBRANŻOWE "ANEX-POL" ANNA ANDRZEJCZAK-STASIAK</t>
  </si>
  <si>
    <t>2000-01-25</t>
  </si>
  <si>
    <t>HANDEL OKRĘŻNY ART.PRZEM.I ROLNO-SPOŻ.POCH.KRAJ.I ZAGR.-CZESŁAW NOWAK</t>
  </si>
  <si>
    <t>BLACHARSTWO-JAN WISTEHUBE</t>
  </si>
  <si>
    <t>2011-07-26</t>
  </si>
  <si>
    <t>SPECJALISTYCZNY GABINET LEKARSKI POŁOŻNICZO-GINEKOLOGICZNY ANDRZEJ JESION</t>
  </si>
  <si>
    <t>HANDEL OKRĘŻNY ART.ROLNO-SPOŻ.I PRZEM.POCH.KRAJ.I ZAGR.,JAN JARENTOWSKI</t>
  </si>
  <si>
    <t>2012-01-20</t>
  </si>
  <si>
    <t>PROJEKTY,TŁUMACZENIA DANUTA ŁUCZAK</t>
  </si>
  <si>
    <t>KAZIMIERZ MARCINIAK</t>
  </si>
  <si>
    <t>ZAKŁAD STOLARSKI-EDWARD ŁUCZAK</t>
  </si>
  <si>
    <t>2000-05-31</t>
  </si>
  <si>
    <t>BARBARA CHLĄD SKLEP ODZIEŻOWY "BONA"</t>
  </si>
  <si>
    <t>2015-06-02</t>
  </si>
  <si>
    <t>SKLEP PRZEMYSŁOWY-JAROSŁAW MINIECKI</t>
  </si>
  <si>
    <t>2005-10-03</t>
  </si>
  <si>
    <t>PUNKT NAPRAWY ROWERÓW JÓZEF KRZEMIŃSKI</t>
  </si>
  <si>
    <t>2011-10-20</t>
  </si>
  <si>
    <t>F.H.U. EX-EL POGOTOWIE ELEKTRYCZNE PIOTR ANTONIEWICZ</t>
  </si>
  <si>
    <t>2015-09-07</t>
  </si>
  <si>
    <t>ZAKŁAD FRYZJERSKI-KATARZYNA PIĄTKOWSKA-PINCZEWSKA</t>
  </si>
  <si>
    <t>2000-05-09</t>
  </si>
  <si>
    <t>PRAKTYKA LEKARSKA "HALMED" HALINA BANASZKIEWICZ LEKARZ CHORÓB DZIECIĘCYCH</t>
  </si>
  <si>
    <t>A) RAKIJA WOJCIECH PEŁKA B)RAKIJA S.C. WOJCIECH PEŁKA WSPÓLNIK SPÓŁKI CYWILNEJ</t>
  </si>
  <si>
    <t>ELŻBIETA ANNA KŁODKOWSKA-FARNER GABINET LEKARSKI</t>
  </si>
  <si>
    <t>Łukasz KORECKI KORECKI.PL</t>
  </si>
  <si>
    <t>MAGDALENA KOSTRZEWA Kostrzewa Consulting Group</t>
  </si>
  <si>
    <t>WARSAW AVENUE - TOMASZ WOJDYŁA</t>
  </si>
  <si>
    <t>2013-11-29</t>
  </si>
  <si>
    <t>BS MAX Jakub Samołówka</t>
  </si>
  <si>
    <t>NEW PUBLIC AGNIESZKA BIAŁOBRZEWSKA</t>
  </si>
  <si>
    <t>INTERPROM MICHAŁ PAPIS.</t>
  </si>
  <si>
    <t>ZOFIA SZCZECHOWSKA WIESŁAWA</t>
  </si>
  <si>
    <t>JAN DETHLOFF "Jan Dethloff"</t>
  </si>
  <si>
    <t>2016-06-23</t>
  </si>
  <si>
    <t>WIETESKA MEDIA Elżbieta Wieteska</t>
  </si>
  <si>
    <t>Eddie Swinnen Pure Consultant</t>
  </si>
  <si>
    <t>2013-06-24</t>
  </si>
  <si>
    <t>ROBERT RYCAK NIERUCHOMOŚCI</t>
  </si>
  <si>
    <t>2015-11-03</t>
  </si>
  <si>
    <t>Elizabeth Belk Foundation Management Consulting</t>
  </si>
  <si>
    <t>Amidala Maria Dąbrowska</t>
  </si>
  <si>
    <t>wa.ht, Tomasz Dubrownik</t>
  </si>
  <si>
    <t>SEWERYN STĘPIEŃ KANCELARIA RADCY PRAWNEGO</t>
  </si>
  <si>
    <t>KANCELARIA PRAWNA DALWATI JOMAA</t>
  </si>
  <si>
    <t>2014-11-21</t>
  </si>
  <si>
    <t>KANCELARIA ADWOKACKA MAŁGORZATA BIELECKA</t>
  </si>
  <si>
    <t>MW Consulting Mirosław Wijas</t>
  </si>
  <si>
    <t>FENUS Biuro Rachunkowe Dorota Klonowska</t>
  </si>
  <si>
    <t>James Archbold Consultancy</t>
  </si>
  <si>
    <t>Kancelaria Adwokacka i Doradztwa Podatkowego dr Artur Oleś</t>
  </si>
  <si>
    <t>Justyna Kowalczyk Kancelaria Adwokacka</t>
  </si>
  <si>
    <t>DE KEIZER DIANA ADAMCZUK</t>
  </si>
  <si>
    <t>USŁUGI TRANSPORTU MARIUSZ GÓRECKI</t>
  </si>
  <si>
    <t>2012-04-16</t>
  </si>
  <si>
    <t>BIURO PODRÓŻY SHISHA TRAVEL MILEWSKA MARIOLA</t>
  </si>
  <si>
    <t>ZIANDARSKI MARIUSZ DYGRESJA</t>
  </si>
  <si>
    <t>2012-03-14</t>
  </si>
  <si>
    <t>Kancelaria Radcy Prawnego Ilona Mosakowska</t>
  </si>
  <si>
    <t>LIDIA PRZYBYLIŃSKA "NIGHT BARMAN"</t>
  </si>
  <si>
    <t>2009-10-30</t>
  </si>
  <si>
    <t>Michał Ziandarski "Transport drogowy taksówką"</t>
  </si>
  <si>
    <t>GRACZYK KINGA MARCO</t>
  </si>
  <si>
    <t>2010-11-26</t>
  </si>
  <si>
    <t>F.H.U. MARIUSZ GŁOWACKI</t>
  </si>
  <si>
    <t>GABINET PODOLOGICZNY KLINIKA ZDROWYCH STÓP ANNA ŻÓRAWSKA</t>
  </si>
  <si>
    <t>ADAMKOWSKA ŻANETA LAJT BARMAN</t>
  </si>
  <si>
    <t>2011-01-04</t>
  </si>
  <si>
    <t>BAMKO KAROLINA OZIMEK</t>
  </si>
  <si>
    <t>FIRMA HANDLOWO-USŁUGOWA ŁUKASZ MIESZKOWSKI</t>
  </si>
  <si>
    <t>2012-10-03</t>
  </si>
  <si>
    <t>DUDKIEWICZ ELŻBIETA USŁUGI TRANSPORTOWE</t>
  </si>
  <si>
    <t>2012-01-09</t>
  </si>
  <si>
    <t>PRZEDSIĘBIORSTWO PRODUKCYJNO USŁUGOWE MARGER MAREK MOSSAKOWSKI</t>
  </si>
  <si>
    <t>BIURO RACHUNKOWE wspólnik spółki cywilnej Katarzyna Sieracka</t>
  </si>
  <si>
    <t>MARIA OPULSKA</t>
  </si>
  <si>
    <t>Klaudia Katarzyna Tylman ZAKŁAD PRODUKCYJNO - HANDLOWO - USŁUGOWY TYLMAN STYL</t>
  </si>
  <si>
    <t>2010-01-27</t>
  </si>
  <si>
    <t>BIUROKREACJA JOANNA DOJNIAK</t>
  </si>
  <si>
    <t>FIRMA HANDLOWO USŁUGOWA PRZEMYSŁAW PSZCZÓŁKOWSKI</t>
  </si>
  <si>
    <t>7 Damian Piotrowski</t>
  </si>
  <si>
    <t>MAŁGORZATA ZNAMIECKA</t>
  </si>
  <si>
    <t>PRZEDSIĘBIORSTWO WIELOBRANŻOWE"EL-CAR"EXPORT-IMPORT GOŁĘBIEWSKI PIOTR</t>
  </si>
  <si>
    <t>2009-06-10</t>
  </si>
  <si>
    <t>ZAKŁAD USŁUG ELEKTRYCZNYCH ZIELIŃSKI GRZEGORZ</t>
  </si>
  <si>
    <t>PODLAŚ ANDRZEJ BIURO HANDLOWO-RACHUNKOWE EXPORT-IMPORT</t>
  </si>
  <si>
    <t>2007-11-12</t>
  </si>
  <si>
    <t>PRYWATNY GABINET LEKARSKI GINEKOLOGICZNY PAWIŃSKI RYSZARD</t>
  </si>
  <si>
    <t>2004-03-04</t>
  </si>
  <si>
    <t>AMWAYDYSTRYBUTOR SMARDZEWSKI JÓZEF</t>
  </si>
  <si>
    <t>ZAKŁ.USŁ."ROLEX"ŻALUZ.ROL.USŁ.WYKOŃ.WNĘT.OGÓLNOBUD.HANDEL ZNAMIECKI W.</t>
  </si>
  <si>
    <t>2004-12-31</t>
  </si>
  <si>
    <t>Jagielski Andrzej Przedsiębiorstwo Produkcyjno - Handlowe ARTLEX Grażyna i Andrzej Jagielscy</t>
  </si>
  <si>
    <t>ROBOTY WYKOŃCZENIOWE-ZDZISŁAW MOSAKOWSKI</t>
  </si>
  <si>
    <t>MILEWSKI MAREK</t>
  </si>
  <si>
    <t>2011-11-30</t>
  </si>
  <si>
    <t>USŁUGI MURARSKIE MIKOŁAJEWSKI WOJCIECH</t>
  </si>
  <si>
    <t>PRZEDSIĘBIORSTWO HANDLOWO-USŁUGOWE"IREX"POKROPSKI IRENEUSZ</t>
  </si>
  <si>
    <t>2005-05-19</t>
  </si>
  <si>
    <t>PRZYBYLIŃSKI ANDRZEJ WIP-POL</t>
  </si>
  <si>
    <t>2011-12-19</t>
  </si>
  <si>
    <t>TAKSÓWKA OSOBOWA NR BOCZNY 782 KOZŁOWSKI KRZYSZTOF</t>
  </si>
  <si>
    <t>2010-01-28</t>
  </si>
  <si>
    <t>Usługi budowlane Danuta Patora</t>
  </si>
  <si>
    <t>JABŁKOWSKA HANNA</t>
  </si>
  <si>
    <t>2005-04-01</t>
  </si>
  <si>
    <t>SEVEN MAZUREK LUCYNA</t>
  </si>
  <si>
    <t>2000-11-23</t>
  </si>
  <si>
    <t>USŁUGI BLACHARSKIE HANDEL ZEMBRZYCKI ADAM</t>
  </si>
  <si>
    <t>1998-12-01</t>
  </si>
  <si>
    <t>KUPCZYK MAREK</t>
  </si>
  <si>
    <t>2007-01-09</t>
  </si>
  <si>
    <t>DOMAŃSKI TADEUSZ</t>
  </si>
  <si>
    <t>WYPOŻYCZALNIA KASET VIDEO KWASIBORSKI BOGDAN</t>
  </si>
  <si>
    <t>ZILIŃSKA WIESŁAWA</t>
  </si>
  <si>
    <t>2007-09-13</t>
  </si>
  <si>
    <t>PRYWATNY GABINET GINEKOLOGICZNY PRACOWNIA USG BIAŁECKI PIOTR</t>
  </si>
  <si>
    <t>KRZECHOWSKA HALINA TERESA</t>
  </si>
  <si>
    <t>2009-06-19</t>
  </si>
  <si>
    <t>USŁUGI TRANSPORTOWE KOZŁOWSKI KAZIMIERZ</t>
  </si>
  <si>
    <t>2001-11-20</t>
  </si>
  <si>
    <t>HANDEL OBWOŹNY DĄBROWSKI DYONIZY</t>
  </si>
  <si>
    <t>2001-06-25</t>
  </si>
  <si>
    <t>MERCATOR WIESŁAW GMURCZYK</t>
  </si>
  <si>
    <t>2008-06-17</t>
  </si>
  <si>
    <t>POŚREDNICTWO UBEZPIECZENIOWE RÓZIECKA MAŁGORZATA</t>
  </si>
  <si>
    <t>OWCZAREK BARBARA</t>
  </si>
  <si>
    <t>2002-01-03</t>
  </si>
  <si>
    <t>KICAK PŁOCKIE CENTRUM ROZWOJU SPORTU BOGDAN ZAJĄCZKOWSKI</t>
  </si>
  <si>
    <t>2009-01-02</t>
  </si>
  <si>
    <t>ZAKŁAD INSTALACJI SANITARNEJ I C.O.OSICA WACŁAW</t>
  </si>
  <si>
    <t>2002-12-12</t>
  </si>
  <si>
    <t>USŁUGI KRAWIECKIE KOPER MAŁGORZATA</t>
  </si>
  <si>
    <t>1998-10-30</t>
  </si>
  <si>
    <t>USŁUGI SPAWALNICZE KURPIAS RYSZARD</t>
  </si>
  <si>
    <t>2010-07-16</t>
  </si>
  <si>
    <t>KOZŁOWSKA MONIKA TAXI OSOBOWA</t>
  </si>
  <si>
    <t>2012-10-01</t>
  </si>
  <si>
    <t>BIURO RACHUNKOWE - wspólnik spółki cywilnej Dorota Kowalik</t>
  </si>
  <si>
    <t>KOMPUTERY-USŁUGI INFORMATYCZNE RÓZIECKA HANNA</t>
  </si>
  <si>
    <t>1999-12-09</t>
  </si>
  <si>
    <t>POSADZKARSTWOUKŁADANIE GLAZURY,PARKIETÓW,CYKLINOWANIE DAŁEK KONRAD</t>
  </si>
  <si>
    <t>2007-10-08</t>
  </si>
  <si>
    <t>PRZEDSIĘBIORSTWO USŁUGOWO HANDLOWE WALDEMAR LEWANDOWSKI</t>
  </si>
  <si>
    <t>RÓZIECKI ROBERT</t>
  </si>
  <si>
    <t>2007-01-02</t>
  </si>
  <si>
    <t>USŁUGI TRANSPORTOWE TRZETRZEWSKI BOGDAN</t>
  </si>
  <si>
    <t>POŚREDNICTWO UBEZPIECZENIOWE KOŁODZIEJSKA BOGUMIŁA</t>
  </si>
  <si>
    <t>2000-08-23</t>
  </si>
  <si>
    <t>POŚREDNICTWO UBEZPIECZENIOWE ZIELIŃSKI SEBASTIAN</t>
  </si>
  <si>
    <t>ZAKŁAD USŁUGOWY "WIKTORIA" MARZENA NAPOROWSKA</t>
  </si>
  <si>
    <t>POŚREDNICTWO UBEZPIECZENIOWE ZALEWSKA-OSICA EWA</t>
  </si>
  <si>
    <t>2009-09-16</t>
  </si>
  <si>
    <t>2014-04-24</t>
  </si>
  <si>
    <t>2002-09-15</t>
  </si>
  <si>
    <t>INSTALATORSTWO ELEKTRYCZNE NOWAKOWSKI ADAM</t>
  </si>
  <si>
    <t>2004-06-15</t>
  </si>
  <si>
    <t>AN-BUD-REMONTY-UKŁADANIE GLAZURY TERAKOTY DAŁEK ANNA</t>
  </si>
  <si>
    <t>2004-03-31</t>
  </si>
  <si>
    <t>SKLEP SPOŻYWCZO-PRZEMYSŁOWY NOWACKA IZABELA</t>
  </si>
  <si>
    <t>2003-09-22</t>
  </si>
  <si>
    <t>AGENT RYDZEWSKA EDYTA</t>
  </si>
  <si>
    <t>2002-12-16</t>
  </si>
  <si>
    <t>WAP 2 DEMBKIEWICZ WANDA</t>
  </si>
  <si>
    <t>NATEMA BĘDZIŃSKI MICHAŁ</t>
  </si>
  <si>
    <t>2011-04-04</t>
  </si>
  <si>
    <t>ANTONI SAMORAJ TAXI OSOBOWE</t>
  </si>
  <si>
    <t>LOKOMOTYWA SPÓŁKA CYWILNA</t>
  </si>
  <si>
    <t>2014-06-03</t>
  </si>
  <si>
    <t>AUTO-LABOR WIESŁAWA GOŁĘBIEWSKA, PIOTR GOŁĘBIEWSKI SPÓŁKA JAWNA</t>
  </si>
  <si>
    <t>PRZEDSIĘBIORSTWO HANDL.-USŁ."POLITON"SP.C.EXP.IMP.KACPRZAK ALFRED I S-KA</t>
  </si>
  <si>
    <t>KAN-MET FIRMA HANDLOWO-USŁUGOWA S.C.CHĄDZYŃSKI JAN I S-KA</t>
  </si>
  <si>
    <t>2000-05-08</t>
  </si>
  <si>
    <t>WEPO SPÓŁKA Z OGRANICZONĄ ODPOWIEDZIALNOŚCIĄ</t>
  </si>
  <si>
    <t>EMAR MARIUSZ KIEŁBASA</t>
  </si>
  <si>
    <t>KRAWCZYK-PIPIŃSKA JOLANTA INDYWIDUALNA SPECJALISTYCZNA PRAKTYKA LEKARSKA</t>
  </si>
  <si>
    <t>Zakład Piekarniczo-Cukierniczy "MOCHOWO" Mirosława Borkowska</t>
  </si>
  <si>
    <t>Gabinet Ruchowej Rehabilitacji Mateusz Rybicki</t>
  </si>
  <si>
    <t>TAXI OSOBOWE NR BOCZNY 954 SMARDZEWSKI JÓZEF</t>
  </si>
  <si>
    <t>GOSPODARSTWO ROLNE ANDRZEJ JAGIELSKI</t>
  </si>
  <si>
    <t>Prywatny Gabinet Lekarski Ginekologiczno - Położniczy i USG Arkadiusz Biniewicz</t>
  </si>
  <si>
    <t>P.P.H. "KIM" DZIERŻAWSKA KATARZYNA</t>
  </si>
  <si>
    <t>PAWEŁ PIĄTKOWSKI USŁUGI OGÓLNOBUDOWLANE</t>
  </si>
  <si>
    <t>2016-07-18</t>
  </si>
  <si>
    <t>VOICE KRAFT LESZEK POTOCKI</t>
  </si>
  <si>
    <t>GOSPODARSTWO ROLNE ADAM KRZACZKOWSKI</t>
  </si>
  <si>
    <t>PAWEŁ MYDŁOWSKI</t>
  </si>
  <si>
    <t>Fix&amp;Print Artur Jankowski, Fix&amp;Print s.c Artur Jankowski</t>
  </si>
  <si>
    <t>ANDRZEJ KISZKO "VCC - PROJEKT"</t>
  </si>
  <si>
    <t>2015-07-08</t>
  </si>
  <si>
    <t>Maciej K. Król</t>
  </si>
  <si>
    <t>AGENT UBEZPIECZENIOWY, ORZECHOWSKA BOŻENA</t>
  </si>
  <si>
    <t>URBAŃSKA URSZULA</t>
  </si>
  <si>
    <t>DARIUSZ LASECKI</t>
  </si>
  <si>
    <t>AGENT UBEZPIECZENIOWY,BAJERA PAWEŁ EUGENIUSZ</t>
  </si>
  <si>
    <t>AGENT UBEZPIECZENIOWY</t>
  </si>
  <si>
    <t>GOSPODARSTWO ROLNE PIOTRM KOLANOWSKI</t>
  </si>
  <si>
    <t>TERESA JASTRZĘBSKA USŁUGI KOSMETYCZNE</t>
  </si>
  <si>
    <t>JOANNA GROMEK "ABAKUS" Joanna Gromek</t>
  </si>
  <si>
    <t>Kacperek ANDRZEJ KASPRZYCKI</t>
  </si>
  <si>
    <t>WALDEMAR STANKIEWICZ "UNISAN"</t>
  </si>
  <si>
    <t>ACHATES Piotr Śniosek</t>
  </si>
  <si>
    <t>ARTUR GORZELAK STUDIO SZKIC</t>
  </si>
  <si>
    <t>MAREK BROWARSKI</t>
  </si>
  <si>
    <t>2014-01-29</t>
  </si>
  <si>
    <t>SYNERGY MEDIA - PIOTR SARNOCIŃSKI - wspólnik spółki cywilnej</t>
  </si>
  <si>
    <t>GRZEGORZ RYNKA DATELNET</t>
  </si>
  <si>
    <t>Centrum Certyfikacji Firm Katarzyna Karolak</t>
  </si>
  <si>
    <t>2016-08-19</t>
  </si>
  <si>
    <t>ALBIN WESOŁOWSKI Usługi Porządkowe " Alan"</t>
  </si>
  <si>
    <t>JAROSŁAW FRANCISZEK PTASZEK USŁUGI J.F.PTASZKA</t>
  </si>
  <si>
    <t>Usługi Gastronomiczne Anna Cichoń</t>
  </si>
  <si>
    <t>Firma Usługowo-Doradcza "VENTUS" Anna Liszewska</t>
  </si>
  <si>
    <t>B&amp;F AGNIESZKA KOCH</t>
  </si>
  <si>
    <t>SYNERGY MEDIA Magdalena Bursiak wspólnik spółki cywilnej</t>
  </si>
  <si>
    <t>SYNERGY MEDIA - Martyna Wróblewska wspólnik spółki cywilnej</t>
  </si>
  <si>
    <t>EMILIA BYCZKOWSKA</t>
  </si>
  <si>
    <t>PIOTR PAWLAK KROK DO PRZODU</t>
  </si>
  <si>
    <t>2016-01-11</t>
  </si>
  <si>
    <t>EWELINA SAMORAJ</t>
  </si>
  <si>
    <t>2015-08-26</t>
  </si>
  <si>
    <t>Aliaksandr Ladyha</t>
  </si>
  <si>
    <t>KATARZYNA FROM 4 GREEN DESIGN</t>
  </si>
  <si>
    <t>ELMIRA MARUKYAN ARMENIA I GRUZJA</t>
  </si>
  <si>
    <t>MIBIS SŁAWOMIR MICHEJ</t>
  </si>
  <si>
    <t>ZIELONE MIASTO Przedsiębiorstwo usługowo-produkcyjne dr inż. Aleksander Kazem-Bek</t>
  </si>
  <si>
    <t>P.H.U. Maneo Patrycja Rotuska</t>
  </si>
  <si>
    <t>Gromas Rafał Gromek</t>
  </si>
  <si>
    <t>CORTE Katarzyna Loretz-Potocka</t>
  </si>
  <si>
    <t>Jan Zając</t>
  </si>
  <si>
    <t>Usługi budowlano remontowe Maciej Piątkowski</t>
  </si>
  <si>
    <t>INPLUS Karol Nurzyński</t>
  </si>
  <si>
    <t>Marta Dębowska</t>
  </si>
  <si>
    <t>2016-05-06</t>
  </si>
  <si>
    <t>Topo-Projekt Justyna Ponichtera</t>
  </si>
  <si>
    <t>JACEK GADAJ PRACOWNIA PROJEKTOWA</t>
  </si>
  <si>
    <t>BOGDAN STOPA</t>
  </si>
  <si>
    <t>INTENSIVELY Mateusz Opaliński</t>
  </si>
  <si>
    <t>Abba 1 Sławomir Kamola</t>
  </si>
  <si>
    <t>AGNIESZKA POPIELSKA-BYCZKOWSKA "AKUKU"</t>
  </si>
  <si>
    <t>ROBERT ŚNIASZEK OPEN AiR</t>
  </si>
  <si>
    <t>2015-05-06</t>
  </si>
  <si>
    <t>HUNTSPÓŁKA Z O.O.</t>
  </si>
  <si>
    <t>HASIMEXSP.Z O.O.</t>
  </si>
  <si>
    <t>CASEL SYSTEMY KOMPUTEROWESELIGA WALDEMAR,CAL ZYGMUNT,</t>
  </si>
  <si>
    <t>KLIMANSP.C.,KLIMASZEWSKI G.,PODWÓJSKI G.</t>
  </si>
  <si>
    <t>BEYPOLSPÓŁKA Z O.O.</t>
  </si>
  <si>
    <t>PRZEDSIĘBIORSTWO HANDLOWO-USŁUGOWE"KALMAR"SPÓŁKA CYWILNA,PIOTROWSKI P.</t>
  </si>
  <si>
    <t>KRYSMARSPÓŁKA Z O.O.</t>
  </si>
  <si>
    <t>SPÓŁKA CYWILNA"WABO",SZTAFA W.,SZTAFA B.</t>
  </si>
  <si>
    <t>POL-BETON SPÓŁKA Z OGRANICZONĄ ODPOWIEDZIALNOŚCIĄ</t>
  </si>
  <si>
    <t>PRZED.HANDLOWO-USŁUGOWE"MAKO"S.C.MACIĄG P.,ALEKSANDROWSKI A.,KRÓL K.</t>
  </si>
  <si>
    <t>EKORENSPÓŁKA Z O.O.</t>
  </si>
  <si>
    <t>M.P.SPÓŁKA Z O.O.</t>
  </si>
  <si>
    <t>AUTO RALLY SERWISS.C.SELIGA MONIKA,ORLIKOWSKI ARTUR</t>
  </si>
  <si>
    <t>NETBIZ.COM.PL S.C.</t>
  </si>
  <si>
    <t>ALFA-POLSPÓŁKA Z O.O.</t>
  </si>
  <si>
    <t>S.C.SKLEP SPOŻYWCZO-WĘDLINIARSKI,MANOWSKA MONIKA,SZCZYGIEŁ JACEK</t>
  </si>
  <si>
    <t>MINI-MAX SKLEP SPOŻYWCZO-PRZEMYSŁOWY-SPÓŁKA CYWILNA</t>
  </si>
  <si>
    <t>KRÓL NIERUCHOMOŚCI SPÓŁKA Z OGRANICZONĄ ODPOWIEDZIALNOŚCIĄ</t>
  </si>
  <si>
    <t>BIURO-ABC S.C.</t>
  </si>
  <si>
    <t>AKUKU spółka cywilna</t>
  </si>
  <si>
    <t>SYNERGY MEDIA S.C.</t>
  </si>
  <si>
    <t>IN GREEN.OGRODY Z KLASĄ! SPÓŁKA Z OGRANICZONĄ ODPOWIEDZIALNOŚCIĄ</t>
  </si>
  <si>
    <t>Coco Jambo Warszawa</t>
  </si>
  <si>
    <t>OKSER HR SPÓŁKA Z OGRANICZONĄ ODPOWIEDZIALNOŚCIĄ</t>
  </si>
  <si>
    <t>TAPETOWANIE,MALOWANIE,USŁUGI REKLAMOWE,AKWIZYCJA,MURAWSKI ANDRZEJ</t>
  </si>
  <si>
    <t>PRZEDSIĘBIORSTWO HANDLOWO USŁUGOWE Agata Olszak</t>
  </si>
  <si>
    <t>ELIZABETH S.C. NIDZIŃSKA KAZIMIERA NIDZIŃSKI TADEUSZ</t>
  </si>
  <si>
    <t>MAGDALENA GRANDA</t>
  </si>
  <si>
    <t>Zakład Wulkanizacyjny i sprzedaz opon Grażyna Leśniewska</t>
  </si>
  <si>
    <t>PARQ MAŁGORZATA STRABEL</t>
  </si>
  <si>
    <t>2014-12-08</t>
  </si>
  <si>
    <t>HANDEL IWONA FURMANEK</t>
  </si>
  <si>
    <t>AMETYST - FIRMA HANDLOWO USŁUGOWA BEATA PASZKIEWICZ</t>
  </si>
  <si>
    <t>2015-07-16</t>
  </si>
  <si>
    <t>EDWARD WANKOWSKI "EDA"</t>
  </si>
  <si>
    <t>EFEKT MACIEJ STASZ</t>
  </si>
  <si>
    <t>2015-06-03</t>
  </si>
  <si>
    <t>JANKOWSKA MAGDALENA</t>
  </si>
  <si>
    <t>2014-01-20</t>
  </si>
  <si>
    <t>ZARZĄDZANIE NIERUCHOMOŚCIAMI PIOMA MARCIN ŚWITALSKI</t>
  </si>
  <si>
    <t>2015-01-08</t>
  </si>
  <si>
    <t>FHU PAWEŁ WŁODARCZYK</t>
  </si>
  <si>
    <t>NETCAR MACIEJ SZULC</t>
  </si>
  <si>
    <t>Łukasz Kowalski Info QR, QiK RIDE</t>
  </si>
  <si>
    <t>2015-01-12</t>
  </si>
  <si>
    <t>LIDIA KRYSKA</t>
  </si>
  <si>
    <t>2016-07-25</t>
  </si>
  <si>
    <t>RUDA PAPUGA FASHION Joanna Krzewińska</t>
  </si>
  <si>
    <t>KARDAMON TOMASZ OLEK</t>
  </si>
  <si>
    <t>2016-07-29</t>
  </si>
  <si>
    <t>Kancelaria Adwokacka Dorota Sosnowska</t>
  </si>
  <si>
    <t>2016-08-08</t>
  </si>
  <si>
    <t>ARMIT ARTUR ROSZYK</t>
  </si>
  <si>
    <t>2016-08-02</t>
  </si>
  <si>
    <t>AJ Szczukowscy POLISZCZUKI Krystyna Szczukowska wspólnik s.c.</t>
  </si>
  <si>
    <t>2016-01-26</t>
  </si>
  <si>
    <t>IMS Consulting Marta Stasik</t>
  </si>
  <si>
    <t>MICHAŁ WOJCIESZAK</t>
  </si>
  <si>
    <t>MAŁGORZATA ŁUKOWIAK FIRMA "MENEDŻER"</t>
  </si>
  <si>
    <t>ANDRZEJ KÓSKA</t>
  </si>
  <si>
    <t>2016-05-04</t>
  </si>
  <si>
    <t>STEFAN F WŁOCH "ZAKŁAD USŁUGOWO-HANDLOWY - REMONTY KOMPLEKSOWE"</t>
  </si>
  <si>
    <t>2016-05-09</t>
  </si>
  <si>
    <t>ARTUR JUDKOWIAK CLJ CENTRUM LOGISTYCZNE BST LOGISTYKA</t>
  </si>
  <si>
    <t>2015-08-07</t>
  </si>
  <si>
    <t>ROBERT PODHORECKI "LIDER PROPERTY"</t>
  </si>
  <si>
    <t>RAFAŁ SZYMASZEK "KIOSK- ART.PRZEMYSŁOWE I RÓŻNE SZYMASZEK RAFAŁ"</t>
  </si>
  <si>
    <t>EKO Konsulting i Doradztwo mgr in. Jerzy Puch KonsultEKO Jerzy Puch, Ewa Hoffmann spółka cywilna</t>
  </si>
  <si>
    <t>2015-04-17</t>
  </si>
  <si>
    <t>KSERO NOVUM MAREK SOBAŃSKI</t>
  </si>
  <si>
    <t>KINGA FLAK "WNĘTRZA KINGI"</t>
  </si>
  <si>
    <t>2015-01-02</t>
  </si>
  <si>
    <t>WAMAR SPÓŁKA Z OGRANICZONĄ ODPOWIEDZIALNOŚCIĄ</t>
  </si>
  <si>
    <t>COOPERATIVA SPÓŁKA Z OGRANICZONĄ ODPOWIEDZIALNOŚCIĄ</t>
  </si>
  <si>
    <t>EMERALD SPÓŁKA Z OGRANICZONĄ ODPOWIEDZIALNOŚCIĄ</t>
  </si>
  <si>
    <t>BIURO KONCERTOWE I FESTIWALOWE WROCKFEST.PL SPÓŁKA Z OGRANICZONĄ ODPOWIEDZIALNOŚCIĄ</t>
  </si>
  <si>
    <t>AB PROJEKT SPÓŁKA Z OGRANICZONĄ ODPOWIEDZIALNOŚCIĄ</t>
  </si>
  <si>
    <t>PLC SPÓŁKA Z OGRANICZONĄ ODPOWIEDZIALNOŚCIĄ</t>
  </si>
  <si>
    <t>HARBAT SPÓŁKA Z OGRANICZONĄ ODPOWIEDZIALNOŚCIĄ</t>
  </si>
  <si>
    <t>KONCEPT GROUP SPÓŁKA Z OGRANICZONĄ ODPOWIEDZIALNOŚCIĄ</t>
  </si>
  <si>
    <t>GRUPA GET REST SPÓŁKA Z OGRANICZONĄ ODPOWIEDZIALNOŚCIĄ</t>
  </si>
  <si>
    <t>TANK TRADE SPÓŁKA Z OGRANICZONĄ ODPOWIEDZIALNOŚCIĄ</t>
  </si>
  <si>
    <t>FIRRO SPÓŁKA Z OGRANICZONĄ ODPOWIEDZIALNOŚCIĄ</t>
  </si>
  <si>
    <t>TALENTI SPÓŁKA Z OGRANICZONĄ ODPOWIEDZIALNOŚCIĄ</t>
  </si>
  <si>
    <t>OBSŁUGA DYSTRYBUCJI I BAZY DANYCH "ODBD" SPÓŁKA Z OGRANICZONĄ ODPOWIEDZIALNOŚCIĄ</t>
  </si>
  <si>
    <t>AERO 16 SPÓŁKA Z OGRANICZONĄ ODPOWIEDZIALNOŚCIĄ W LIKWIDACJI</t>
  </si>
  <si>
    <t>FORTE DATA SPÓŁKA Z OGRANICZONĄ ODPOWIEDZIALNOŚCIĄ SPÓŁKA KOMANDYTOWA SPÓŁKA KOMANDYTOWA</t>
  </si>
  <si>
    <t>LP INVESTMENT SPÓŁKA Z OGRANICZONĄ ODPOWIEDZIALNOŚCIĄ</t>
  </si>
  <si>
    <t>KMO SPÓŁKA Z OGRANICZONĄ ODPOWIEDZIALNOŚCIĄ</t>
  </si>
  <si>
    <t>DEGOR ENTERPRISE SPÓŁKA Z OGRANICZONĄ ODPOWIEDZIALNOŚCIĄ</t>
  </si>
  <si>
    <t>RAISA SPÓŁKA Z OGRANICZONĄ ODPOWIEDZIALNOŚCIĄ</t>
  </si>
  <si>
    <t>AGRO-MIX SPÓŁKA Z OGRANICZONĄ ODPOWIEDZIALNOŚCIĄ</t>
  </si>
  <si>
    <t>LAUREL SPÓŁKA Z OGRANICZONĄ ODPOWIEDZIALNOŚCIĄ</t>
  </si>
  <si>
    <t>MAROIL SPÓŁKA Z OGRANICZONĄ ODPOWIEDZIALNOŚCIĄ</t>
  </si>
  <si>
    <t>PRAPOL SPÓŁKA Z OGRANICZONĄ ODPOWIEDZIALNOŚCIĄ</t>
  </si>
  <si>
    <t>FENIX SPÓŁKA Z OGRANICZONĄ ODPOWIEDZIALNOŚCIĄ</t>
  </si>
  <si>
    <t>TM2L SPÓŁKA Z OGRANICZONĄ ODPOWIEDZIALNOŚCIĄ W LIKWIDACJI</t>
  </si>
  <si>
    <t>BUDSAR SPÓŁKA Z OGRANICZONĄ ODPOWIEDZIALNOŚCIĄ</t>
  </si>
  <si>
    <t>T &amp; K INSTALACJE SPÓŁKA Z OGRANICZONĄ ODPOWIEDZIALNOŚCIĄ</t>
  </si>
  <si>
    <t>ESIM SPÓŁKA Z OGRANICZONĄ ODPOWIEDZIALNOŚCIĄ</t>
  </si>
  <si>
    <t>HARRY POLAND GROUP SPÓŁKA Z OGRANICZONĄ ODPOWIEDZIALNOŚCIĄ</t>
  </si>
  <si>
    <t>IBERICO SPÓŁKA Z OGRANICZONĄ ODPOWIEDZIALNOŚCIĄ</t>
  </si>
  <si>
    <t>MMT CONSULTING SPÓŁKA Z OGRANICZONĄ ODPOWIEDZIALNOŚCIĄ</t>
  </si>
  <si>
    <t>CORELLA POLSKA SPÓŁKA Z OGRANICZONĄ ODPOWIEDZIALNOŚCIĄ</t>
  </si>
  <si>
    <t>KTM IMMOBILIEN KOPARAL, TSCHIRPIG, MEYER POLSKA SPÓŁKA JAWNA</t>
  </si>
  <si>
    <t>HARRY POLAND GROUP SP. Z O.O. SPÓŁKA KOMANDYTOWA</t>
  </si>
  <si>
    <t>EUROFISS SPÓŁKA Z OGRANICZONĄ ODPOWIEDZIALNOŚCIĄ</t>
  </si>
  <si>
    <t>EVOLUTION HOUSE BUILDING SPÓŁKA Z OGRANICZONĄ ODPOWIEDZIALNOŚCIĄ</t>
  </si>
  <si>
    <t>DRAGO METAL SPÓŁKA Z OGRANICZONĄ ODPOWIEDZIALNOŚCIĄ</t>
  </si>
  <si>
    <t>RS ENERGIA SPÓŁKA Z OGRANICZONĄ ODPOWIEDZIALNOŚCIĄ</t>
  </si>
  <si>
    <t>ENERGETICA POLSKA SPÓŁKA Z OGRANICZONĄ ODPOWIEDZIALNOŚCIĄ</t>
  </si>
  <si>
    <t>JACKART SPÓŁKA Z OGRANICZONĄ ODPOWIEDZIALNOŚCIĄ</t>
  </si>
  <si>
    <t>E&amp;A SPÓŁKA Z OGRANICZONĄ ODPOWIEDZIALNOŚCIĄ</t>
  </si>
  <si>
    <t>POJK LOGISTIC SPÓŁKA Z OGRANICZONĄ ODPOWIEDZIALNOŚCIĄ</t>
  </si>
  <si>
    <t>NERVE SPÓŁKA Z OGRANICZONĄ ODPOWIEDZIALNOŚCIĄ</t>
  </si>
  <si>
    <t>KT MARKETING SPÓŁKA Z OGRANICZONĄ ODPOWIEDZIALNOŚCIĄ</t>
  </si>
  <si>
    <t>FIDES SPÓŁKA Z OGRANICZONĄ ODPOWIEDZIALNOŚCIĄ</t>
  </si>
  <si>
    <t>BAU PARTNER SPÓŁKA Z OGRANICZONĄ ODPOWIEDZIALNOŚCIĄ</t>
  </si>
  <si>
    <t>ALMON SPÓŁKA Z OGRANICZONĄ ODPOWIEDZIALNOŚCIĄ</t>
  </si>
  <si>
    <t>JTB GROUP SPÓŁKA Z OGRANICZONĄ ODPOWIEDZIALNOŚCIĄ SPÓŁKA KOMANDYTOWA</t>
  </si>
  <si>
    <t>AQUA-BUD SPÓŁKA Z OGRANICZONĄ ODPOWIEDZIALNOŚCIĄ</t>
  </si>
  <si>
    <t>WASTE ENERGY SPÓŁKA Z OGRANICZONĄ ODPOWIEDZIALNOŚCIĄ</t>
  </si>
  <si>
    <t>TOMARISCO SPÓŁKA Z OGRANICZONĄ ODPOWIEDZIALNOŚCIĄ</t>
  </si>
  <si>
    <t>HOME INVESTMENTS SPÓŁKA Z OGRANICZONĄ ODPOWIEDZIALNOŚCIĄ</t>
  </si>
  <si>
    <t>GLOBTRANSPORTUS SPÓŁKA Z OGRANICZONĄ ODPOWIEDZIALNOŚCIĄ</t>
  </si>
  <si>
    <t>JUNIKUS SPÓŁKA Z OGRANICZONĄ ODPOWIEDZIALNOŚCIĄ</t>
  </si>
  <si>
    <t>GLOBTRANSPORTAS SPÓŁKA Z OGRANICZONĄ ODPOWIEDZIALNOŚCIĄ</t>
  </si>
  <si>
    <t>MAX DYSTRYBUCJA SPÓŁKA Z OGRANICZONĄ ODPOWIEDZIALNOŚCIĄ</t>
  </si>
  <si>
    <t>AD CENTRUM GROUP SPÓŁKA Z OGRANICZONĄ ODPOWIEDZIALNOŚCIĄ</t>
  </si>
  <si>
    <t>HOSTEL KOLOR SPÓŁKA Z OGRANICZONĄ ODPOWIEDZIALNOŚCIĄ</t>
  </si>
  <si>
    <t>TB BETON SPÓŁKA Z OGRANICZONĄ ODPOWIEDZIALNOŚCIĄ</t>
  </si>
  <si>
    <t>GLOBALL OFFICE GROUP SPÓŁKA Z OGRANICZONĄ ODPOWIEDZIALNOŚCIĄ</t>
  </si>
  <si>
    <t>AG PQN SPÓŁKA Z OGRANICZONĄ ODPOWIEDZIALNOŚCIĄ</t>
  </si>
  <si>
    <t>ENIGMA7 SPÓŁKA Z OGRANICZONĄ ODPOWIEDZIALNOŚCIĄ</t>
  </si>
  <si>
    <t>FUNNY HOUSE SPÓŁKA Z OGRANICZONĄ ODPOWIEDZIALNOŚCIĄ</t>
  </si>
  <si>
    <t>WATRONUS SPÓŁKA Z OGRANICZONĄ ODPOWIEDZIALNOŚCIĄ</t>
  </si>
  <si>
    <t>TREMSE SPÓŁKA Z OGRANICZONĄ ODPOWIEDZIALNOŚCIĄ</t>
  </si>
  <si>
    <t>EUROPUS POLSKA SPÓŁKA Z OGRANICZONĄ ODPOWIEDZIALNOŚCIĄ</t>
  </si>
  <si>
    <t>QUATROTUR SPÓŁKA Z OGRANICZONĄ ODPOWIEDZIALNOŚCIĄ</t>
  </si>
  <si>
    <t>BUSINESS INVESTORS GROUP SPÓŁKA Z OGRANICZONĄ ODPOWIEDZIALNOŚCIĄ</t>
  </si>
  <si>
    <t>2016-11-22</t>
  </si>
  <si>
    <t>JTB GROUP SPÓŁKA Z OGRANICZONĄ ODPOWIEDZIALNOŚCIĄ</t>
  </si>
  <si>
    <t>DF NET POLSKA" SPÓŁKA Z OGRANICZONĄ ODPOWIEDZIALNOŚCIĄ</t>
  </si>
  <si>
    <t>KS CORP. SPÓŁKA Z OGRANICZONĄ ODPOWIEDZIALNOŚCIĄ</t>
  </si>
  <si>
    <t>UNIVERSALUS SPÓŁKA Z OGRANICZONĄ ODPOWIEDZIALNOŚCIĄ</t>
  </si>
  <si>
    <t>DRACO SKLEPY SPÓŁKA Z OGRANICZONĄ ODPOWIEDZIALNOŚCIĄ</t>
  </si>
  <si>
    <t>DRACO POLSKA PLUS SPÓŁKA Z OGRANICZONĄ ODPOWIEDZIALNOŚCIĄ</t>
  </si>
  <si>
    <t>AD CENTRUM GROUP SPÓŁKA Z OGRANICZONĄ ODPOWIEDZIALNOŚCIĄ SPÓŁKA KOMANDYTOWA</t>
  </si>
  <si>
    <t>VITACAR SPÓŁKA Z OGRANICZONĄ ODPOWIEDZIALNOŚCIĄ</t>
  </si>
  <si>
    <t>PAM TRADE SPÓŁKA Z OGRANICZONĄ ODPOWIEDZIALNOŚCIĄ</t>
  </si>
  <si>
    <t>LOGOSPEDEX SPÓŁKA Z OGRANICZONĄ ODPOWIEDZIALNOŚCIĄ</t>
  </si>
  <si>
    <t>MAG-BUD SPÓŁKA Z OGRANICZONĄ ODPOWIEDZIALNOŚCIĄ</t>
  </si>
  <si>
    <t>CARGOSPEDEX SPÓŁKA Z OGRANICZONĄ ODPOWIEDZIALNOŚCIĄ</t>
  </si>
  <si>
    <t>OFFICE CARGOSPED SPÓŁKA Z OGRANICZONĄ ODPOWIEDZIALNOŚCIĄ</t>
  </si>
  <si>
    <t>GERWIL CREWING POLAND SPÓŁKA Z OGRANICZONĄ ODPOWIEDZIALNOŚCIĄ</t>
  </si>
  <si>
    <t>AS KOLBERG POLSKA SPÓŁKA Z OGRANICZONĄ ODPOWIEDZIALNOŚCIĄ</t>
  </si>
  <si>
    <t>UNIFELD SPÓŁKA Z OGRANICZONĄ ODPOWIEDZIALNOŚCIĄ</t>
  </si>
  <si>
    <t>COOPER-S TRANS SPÓŁKA Z OGRANICZONĄ ODPOWIEDZIALNOŚCIĄ</t>
  </si>
  <si>
    <t>SILVER WEST SPÓŁKA Z OGRANICZONĄ ODPOWIEDZIALNOŚCIĄ</t>
  </si>
  <si>
    <t>VIP OFFICE SPÓŁKA Z OGRANICZONĄ ODPOWIEDZIALNOŚCIĄ</t>
  </si>
  <si>
    <t>SIGMA SERVICE SPÓŁKA Z OGRANICZONĄ ODPOWIEDZIALNOŚCIĄ</t>
  </si>
  <si>
    <t>EUROFISS SPÓŁKA AKCYJNA</t>
  </si>
  <si>
    <t>FEEDERS SPÓŁKA Z OGRANICZONĄ ODPOWIEDZIALNOŚCIĄ</t>
  </si>
  <si>
    <t>ONE-2-ONE VENTURE MANAGEMENT SPÓŁKA Z OGRANICZONĄ ODPOWIEDZIALNOŚCIĄ</t>
  </si>
  <si>
    <t>ADAXA SPÓŁKA Z OGRANICZONĄ ODPOWIEDZIALNOŚCIĄ</t>
  </si>
  <si>
    <t>WINTRA SPÓŁKA Z OGRANICZONĄ ODPOWIEDZIALNOŚCIĄ</t>
  </si>
  <si>
    <t>FUNDACJA CASTELLUM</t>
  </si>
  <si>
    <t>BLOKAUD SPÓŁKA Z OGRANICZONĄ ODPOWIEDZIALNOŚCIĄ</t>
  </si>
  <si>
    <t>ECOLINE SPÓŁKA Z OGRANICZONĄ ODPOWIEDZIALNOŚCIĄ</t>
  </si>
  <si>
    <t>TRAXTER SPÓŁKA Z OGRANICZONĄ ODPOWIEDZIALNOŚCIĄ</t>
  </si>
  <si>
    <t>BARDENS SPÓŁKA Z OGRANICZONĄ ODPOWIEDZIALNOŚCIĄ</t>
  </si>
  <si>
    <t>FEDRUM SPÓŁKA Z OGRANICZONĄ ODPOWIEDZIALNOŚCIĄ</t>
  </si>
  <si>
    <t>WELLER SPÓŁKA Z OGRANICZONĄ ODPOWIEDZIALNOŚCIĄ</t>
  </si>
  <si>
    <t>HOOX SPÓŁKA Z OGRANICZONĄ ODPOWIEDZIALNOŚCIĄ</t>
  </si>
  <si>
    <t>SPEED QUALITY SPÓŁKA Z OGRANICZONĄ ODPOWIEDZIALNOŚCIĄ</t>
  </si>
  <si>
    <t>RAC GROUP SPÓŁKA Z OGRANICZONĄ ODPOWIEDZIALNOŚCIĄ</t>
  </si>
  <si>
    <t>MICHANEX SPÓŁKA Z OGRANICZONĄ ODPOWIEDZIALNOŚCIĄ</t>
  </si>
  <si>
    <t>HB - 2000 SPÓŁKA Z OGRANICZONĄ ODPOWIEDZIALNOŚCIĄ</t>
  </si>
  <si>
    <t>SM TRADE SPÓŁKA Z OGRANICZONĄ ODPOWIEDZIALNOŚCIĄ</t>
  </si>
  <si>
    <t>STM PETROL SPÓŁKA Z OGRANICZONĄ ODPOWIEDZIALNOŚCIĄ</t>
  </si>
  <si>
    <t>HOBER SPÓŁKA Z OGRANICZONĄ ODPOWIEDZIALNOŚCIĄ</t>
  </si>
  <si>
    <t>LONG-TIR SPÓŁKA Z OGRANICZONĄ ODPOWIEDZIALNOŚCIĄ</t>
  </si>
  <si>
    <t>WACOIL SPÓŁKA Z OGRANICZONĄ ODPOWIEDZIALNOŚCIĄ</t>
  </si>
  <si>
    <t>ENERE AGRO SPÓŁKA Z OGRANICZONĄ ODPOWIEDZIALNOŚCIĄ</t>
  </si>
  <si>
    <t>FAST COMMUNICATIONS SPÓŁKA Z OGRANICZONĄ ODPOWIEDZIALNOŚCIĄ</t>
  </si>
  <si>
    <t>MAXONET SPÓŁKA Z OGRANICZONĄ ODPOWIEDZIALNOŚCIĄ</t>
  </si>
  <si>
    <t>VALEOTECH GROUP SPÓŁKA Z OGRANICZONĄ ODPOWIEDZIALNOŚCIĄ</t>
  </si>
  <si>
    <t>RAF MED SPÓŁKA Z OGRANICZONĄ ODPOWIEDZIALNOŚCIĄ</t>
  </si>
  <si>
    <t>COMMUNICATION WORLD SPÓŁKA Z OGRANICZONĄ ODPOWIEDZIALNOŚCIĄ</t>
  </si>
  <si>
    <t>CENTRUM METOD INNOWACYJNYCH SPÓŁKA Z OGRANICZONĄ ODPOWIEDZIALNOŚCIĄ</t>
  </si>
  <si>
    <t>MD GROUP SPÓŁKA Z OGRANICZONĄ ODPOWIEDZIALNOŚCIĄ</t>
  </si>
  <si>
    <t>EXER SPÓŁKA Z OGRANICZONĄ ODPOWIEDZIALNOŚCIĄ</t>
  </si>
  <si>
    <t>JUKKI TRADING SPÓŁKA Z OGRANICZONĄ ODPOWIEDZIALNOŚCIĄ</t>
  </si>
  <si>
    <t>ANNTO SPÓŁKA Z OGRANICZONĄ ODPOWIEDZIALNOŚCIĄ SPÓŁKA KOMANDYTOWA</t>
  </si>
  <si>
    <t>FLAMEX SPÓŁKA Z OGRANICZONĄ ODPOWIEDZIALNOŚCIĄ</t>
  </si>
  <si>
    <t>NAFTOLAND SPÓŁKA Z OGRANICZONĄ ODPOWIEDZIALNOŚCIĄ</t>
  </si>
  <si>
    <t>PL 1000 SPÓŁKA Z OGRANICZONĄ ODPOWIEDZIALNOŚCIĄ</t>
  </si>
  <si>
    <t>WEX SPÓŁKA Z OGRANICZONĄ ODPOWIEDZIALNOŚCIĄ</t>
  </si>
  <si>
    <t>WIMPLEX SPÓŁKA Z OGRANICZONĄ ODPOWIEDZIALNOŚCIĄ</t>
  </si>
  <si>
    <t>PERITO SPÓŁKA Z OGRANICZONĄ ODPOWIEDZIALNOŚCIĄ</t>
  </si>
  <si>
    <t>MODRI SPÓŁKA Z OGRANICZONĄ ODPOWIEDZIALNOŚCIĄ</t>
  </si>
  <si>
    <t>EKOBUT EUROPA SPÓŁKA Z OGRANICZONĄ ODPOWIEDZIALNOŚCIĄ</t>
  </si>
  <si>
    <t>LIDERSPED SPÓŁKA Z OGRANICZONĄ ODPOWIEDZIALNOŚCIĄ</t>
  </si>
  <si>
    <t>TROMA SPÓŁKA Z OGRANICZONĄ ODPOWIEDZIALNOŚCIĄ</t>
  </si>
  <si>
    <t>BUDRAM SPÓŁKA Z OGRANICZONĄ ODPOWIEDZIALNOŚCIĄ</t>
  </si>
  <si>
    <t>DORAX SPÓŁKA Z OGRANICZONĄ ODPOWIEDZIALNOŚCIĄ</t>
  </si>
  <si>
    <t>MAKFOL SPÓŁKA Z OGRANICZONĄ ODPOWIEDZIALNOŚCIĄ</t>
  </si>
  <si>
    <t>HABREX SPÓŁKA Z OGRANICZONĄ ODPOWIEDZIALNOŚCIĄ</t>
  </si>
  <si>
    <t>DANLER SPÓŁKA Z OGRANICZONĄ ODPOWIEDZIALNOŚCIĄ</t>
  </si>
  <si>
    <t>LUNAX SPÓŁKA Z OGRANICZONĄ ODPOWIEDZIALNOŚCIĄ</t>
  </si>
  <si>
    <t>PC-STAR SPÓŁKA Z OGRANICZONĄ ODPOWIEDZIALNOŚCIĄ</t>
  </si>
  <si>
    <t>HOH SPÓŁKA Z OGRANICZONĄ ODPOWIEDZIALNOŚCIĄ</t>
  </si>
  <si>
    <t>H1H SPÓŁKA Z OGRANICZONĄ ODPOWIEDZIALNOŚCIĄ</t>
  </si>
  <si>
    <t>LUXURY HOUSE SPÓŁKA Z OGRANICZONĄ ODPOWIEDZIALNOŚCIĄ</t>
  </si>
  <si>
    <t>ETERNAL FLAMES SPÓŁKA Z OGRANICZONĄ ODPOWIEDZIALNOŚCIĄ</t>
  </si>
  <si>
    <t>GUT - KLA SPÓŁKA Z OGRANICZONĄ ODPOWIEDZIALNOŚCIĄ</t>
  </si>
  <si>
    <t>PLEXIA SPÓŁKA Z OGRANICZONĄ ODPOWIEDZIALNOŚCIĄ</t>
  </si>
  <si>
    <t>E - BOKS SPÓŁKA Z OGRANICZONĄ ODPOWIEDZIALNOŚCIĄ</t>
  </si>
  <si>
    <t>OPEN-FOX SPÓŁKA Z OGRANICZONĄ ODPOWIEDZIALNOŚCIĄ</t>
  </si>
  <si>
    <t>UNDERWRITING SPÓŁKA Z OGRANICZONĄ ODPOWIEDZIALNOŚCIĄ</t>
  </si>
  <si>
    <t>KATO SPÓŁKA Z OGRANICZONĄ ODPOWIEDZIALNOŚCIĄ</t>
  </si>
  <si>
    <t>NB-1000 SPÓŁKA Z OGRANICZONĄ ODPOWIEDZIALNOŚCIĄ</t>
  </si>
  <si>
    <t>2A2 SPÓŁKA Z OGRANICZONĄ ODPOWIEDZIALNOŚCIĄ</t>
  </si>
  <si>
    <t>POLONIAC SPÓŁKA Z OGRANICZONĄ ODPOWIEDZIALNOŚCIĄ</t>
  </si>
  <si>
    <t>WHITE DRAGON SPÓŁKA Z OGRANICZONĄ ODPOWIEDZIALNOŚCIĄ</t>
  </si>
  <si>
    <t>BSE TRADE SPÓŁKA Z OGRANICZONĄ ODPOWIEDZIALNOŚCIĄ</t>
  </si>
  <si>
    <t>NORTH HOLDING SPÓŁKA Z OGRANICZONĄ ODPOWIEDZIALNOŚCIĄ</t>
  </si>
  <si>
    <t>EAST HOLDING SPÓŁKA Z OGRANICZONĄ ODPOWIEDZIALNOŚCIĄ</t>
  </si>
  <si>
    <t>MORINS SPÓŁKA Z OGRANICZONĄ ODPOWIEDZIALNOŚCIĄ</t>
  </si>
  <si>
    <t>LORENA SPÓŁKA Z OGRANICZONĄ ODPOWIEDZIALNOŚCIĄ</t>
  </si>
  <si>
    <t>WERDEN SPÓŁKA Z OGRANICZONĄ ODPOWIEDZIALNOŚCIĄ</t>
  </si>
  <si>
    <t>UK-POL PARTNER SPÓŁKA Z OGRANICZONĄ ODPOWIEDZIALNOŚCIĄ</t>
  </si>
  <si>
    <t>SKP POLSKA SPÓŁKA Z OGRANICZONĄ ODPOWIEDZIALNOŚCIĄ</t>
  </si>
  <si>
    <t>AB-DATA SPÓŁKA Z OGRANICZONĄ ODPOWIEDZIALNOŚCIĄ</t>
  </si>
  <si>
    <t>FONETIA SPÓŁKA Z OGRANICZONĄ ODPOWIEDZIALNOŚCIĄ W LIKWIDACJI</t>
  </si>
  <si>
    <t>DELIKATIA SPÓŁKA Z OGRANICZONĄ ODPOWIEDZIALNOŚCIĄ W LIKWIDACJI</t>
  </si>
  <si>
    <t>NEOBOX SPÓŁKA Z OGRANICZONĄ ODPOWIEDZIALNOŚCIĄ</t>
  </si>
  <si>
    <t>NEOXEN SPÓŁKA Z OGRANICZONĄ ODPOWIEDZIALNOŚCIĄ</t>
  </si>
  <si>
    <t>PLAY INVEST SPÓŁKA Z OGRANICZONĄ ODPOWIEDZIALNOŚCIĄ</t>
  </si>
  <si>
    <t>OPEN-MEDIC SPÓŁKA Z OGRANICZONĄ ODPOWIEDZIALNOŚCIĄ</t>
  </si>
  <si>
    <t>BORAWSKI MAJCHRZAK BRANDT CONSULTING SPÓŁKA JAWNA</t>
  </si>
  <si>
    <t>OPEN-INSTAL SPÓŁKA Z OGRANICZONĄ ODPOWIEDZIALNOŚCIĄ</t>
  </si>
  <si>
    <t>NEOLEX SPÓŁKA Z OGRANICZONĄ ODPOWIEDZIALNOŚCIĄ</t>
  </si>
  <si>
    <t>GALEONEX SPÓŁKA Z OGRANICZONĄ ODPOWIEDZIALNOŚCIĄ</t>
  </si>
  <si>
    <t>ALFAX SPÓŁKA Z OGRANICZONĄ ODPOWIEDZIALNOŚCIĄ</t>
  </si>
  <si>
    <t>NITRUM SPÓŁKA Z OGRANICZONĄ ODPOWIEDZIALNOŚCIĄ</t>
  </si>
  <si>
    <t>EXONA SPÓŁKA Z OGRANICZONĄ ODPOWIEDZIALNOŚCIĄ</t>
  </si>
  <si>
    <t>ITX SPÓŁKA Z OGRANICZONĄ ODPOWIEDZIALNOŚCIĄ</t>
  </si>
  <si>
    <t>PREDOX SPÓŁKA Z OGRANICZONĄ ODPOWIEDZIALNOŚCIĄ</t>
  </si>
  <si>
    <t>PENBAL SPÓŁKA Z OGRANICZONĄ ODPOWIEDZIALNOŚCIĄ</t>
  </si>
  <si>
    <t>TRADE - LUX SPÓŁKA Z OGRANICZONĄ ODPOWIEDZIALNOŚCIĄ</t>
  </si>
  <si>
    <t>RED WEST SPÓŁKA Z OGRANICZONĄ ODPOWIEDZIALNOŚCIĄ</t>
  </si>
  <si>
    <t>SINTEL SPÓŁKA Z OGRANICZONĄ ODPOWIEDZIALNOŚCIĄ</t>
  </si>
  <si>
    <t>BANITEX SPÓŁKA Z OGRANICZONĄ ODPOWIEDZIALNOŚCIĄ</t>
  </si>
  <si>
    <t>PETRO CARD POLSKA SPÓŁKA Z OGRANICZONĄ ODPOWIEDZIALNOŚCIĄ</t>
  </si>
  <si>
    <t>TORPET SPÓŁKA Z OGRANICZONĄ ODPOWIEDZIALNOŚCIĄ</t>
  </si>
  <si>
    <t>ORIONEX SPÓŁKA Z OGRANICZONĄ ODPOWIEDZIALNOŚCIĄ</t>
  </si>
  <si>
    <t>WINTEREX SPÓŁKA Z OGRANICZONĄ ODPOWIEDZIALNOŚCIĄ</t>
  </si>
  <si>
    <t>TRANSPORTAL SPÓŁKA Z OGRANICZONĄ ODPOWIEDZIALNOŚCIĄ</t>
  </si>
  <si>
    <t>SZYM-KAR SPÓŁKA Z OGRANICZONĄ ODPOWIEDZIALNOŚCIĄ</t>
  </si>
  <si>
    <t>OFFICE TRADER SPÓŁKA Z OGRANICZONĄ ODPOWIEDZIALNOŚCIĄ</t>
  </si>
  <si>
    <t>GREEN SUN SPÓŁKA Z OGRANICZONĄ ODPOWIEDZIALNOŚCIĄ</t>
  </si>
  <si>
    <t>SANATUS SPÓŁKA Z OGRANICZONĄ ODPOWIEDZIALNOŚCIĄ</t>
  </si>
  <si>
    <t>SKALOP SPÓŁKA Z OGRANICZONĄ ODPOWIEDZIALNOŚCIĄ</t>
  </si>
  <si>
    <t>BEST TRANS IDEA SPÓŁKA Z OGRANICZONĄ ODPOWIEDZIALNOŚCIĄ</t>
  </si>
  <si>
    <t>IXON SPÓŁKA Z OGRANICZONĄ ODPOWIEDZIALNOŚCIĄ</t>
  </si>
  <si>
    <t>BLACK STOP SPÓŁKA Z OGRANICZONĄ ODPOWIEDZIALNOŚCIĄ</t>
  </si>
  <si>
    <t>STRZELECKI ANDRZEJ</t>
  </si>
  <si>
    <t>JULITA NISZCZAK. USŁUGI TERAPEUTYCZNO-PEDAGOGICZNE. PROFILAKTYKA ZDROWIA.</t>
  </si>
  <si>
    <t>GAYA MAŁGORZATA PIECHNIK</t>
  </si>
  <si>
    <t>2012-02-29</t>
  </si>
  <si>
    <t>BAR DWORCOWY PKP WE WRZEŚNI CECYLIA FILIPCZAK</t>
  </si>
  <si>
    <t>WAKHAN Małgorzata Wasielewska</t>
  </si>
  <si>
    <t>2016-07-01</t>
  </si>
  <si>
    <t>TAXI Prestiż Piotr Wojdak</t>
  </si>
  <si>
    <t>NATALIA KUJAWA</t>
  </si>
  <si>
    <t>FIRMA HANDLOWO USŁUGOWA "CHIPS" STANISŁAW OKONIEWSKI</t>
  </si>
  <si>
    <t>REMAX JÓŚCIAK CEZARY</t>
  </si>
  <si>
    <t>STRZELNICA Z WIATRÓWKI "KOLEJARZ" KRYSTYNA PACYŃSKA</t>
  </si>
  <si>
    <t>2009-08-28</t>
  </si>
  <si>
    <t>STRZELNICA Z WIATRÓWKI "KOLEJARZ" MACIEJ PACYŃSKI</t>
  </si>
  <si>
    <t>2004-05-12</t>
  </si>
  <si>
    <t>2015-03-05</t>
  </si>
  <si>
    <t>TOP DARIA JÓŚCIAK</t>
  </si>
  <si>
    <t>2013-01-23</t>
  </si>
  <si>
    <t>AGENT UBEZPIECZENIOWY ELŻBIETA JÓŚCIAK</t>
  </si>
  <si>
    <t>USŁUGI REMONTOWO-BUDOWLANE KRZYSZTOF NISZCZAK</t>
  </si>
  <si>
    <t>2014-09-09</t>
  </si>
  <si>
    <t>TRANS-ROZZAKŁAD TRANSPORT.-ROZŁADUNKOWY SP.C. ŚWIĘCH K.-MIŁOSZEWSKI J.</t>
  </si>
  <si>
    <t>EKO-MIŚ S.C. JÓŚCIAK ELŻBIETA,JÓŚCIAK CEZARY</t>
  </si>
  <si>
    <t>2009-03-23</t>
  </si>
  <si>
    <t>KORYTOWSKI BOGUSŁAW PRZEDSIĘBIORSTWO HANDLOWE GUMIX</t>
  </si>
  <si>
    <t>HANDEL OBWOŹNY AGNIESZKA DOWHUN</t>
  </si>
  <si>
    <t>PRZEDSIĘBIORSTWO WIELOBRANŻOWE LESZEK ŻEŁABOWSKI</t>
  </si>
  <si>
    <t>PRZEDSIĘBIORSTWO WYDAWNICZO-HANDLOWE ZBIGNIEW OWCZARZAK</t>
  </si>
  <si>
    <t>SKALA PRZEDSIĘBIORSTWO HANDLOWO-PRODUKCYJNE</t>
  </si>
  <si>
    <t>2003-05-06</t>
  </si>
  <si>
    <t>ZAKŁAD PRPDUKCJI SPOŻYWCZEJ "SMAK"</t>
  </si>
  <si>
    <t>2005-10-17</t>
  </si>
  <si>
    <t>P.P.H.U."MARS BIS" JERZY KOROBOW</t>
  </si>
  <si>
    <t>2006-11-28</t>
  </si>
  <si>
    <t>PRZEDSIĘBIORSTWO USŁUGOWO-HANDLOWE "INSTAL-ELECTRONIC" ZBIGNIEW SZABELSKI, HENRYK ŻEBRYK SPÓŁKA CYWILNA</t>
  </si>
  <si>
    <t>BIURO WYCENY I NADZORÓW "PRO-TECH" ZBIGNIEW PRUSZYŃSKI</t>
  </si>
  <si>
    <t>EKO-FALA S.C. ANNA HEŁMINIAK-PRUSZYŃSKA, MARIUSZ PRUSZYŃSKI</t>
  </si>
  <si>
    <t>2011-12-28</t>
  </si>
  <si>
    <t>TAKSÓWKA OSOBOWA NR 278 JAN HURYŃ</t>
  </si>
  <si>
    <t>2000-01-17</t>
  </si>
  <si>
    <t>TAKSÓWKA NR 474 MICHAŁ SZELIGA</t>
  </si>
  <si>
    <t>SPRZEDAŻ HURTOWA I DETALICZNA DROBIU "KON-MARK" MAREK WASZKIEWICZ</t>
  </si>
  <si>
    <t>TWÓJ MIX ZBIGNIEW PIETRZYKOWSKI</t>
  </si>
  <si>
    <t>2008-12-12</t>
  </si>
  <si>
    <t>JA-SO JACEK SOKALSKI</t>
  </si>
  <si>
    <t>2015-05-19</t>
  </si>
  <si>
    <t>OPTIPROJEKT DOMINIK MUCHOWSKI</t>
  </si>
  <si>
    <t>2015-09-01</t>
  </si>
  <si>
    <t>Emilia Szmigielska</t>
  </si>
  <si>
    <t>RAFTEC BOŻENA SIMON</t>
  </si>
  <si>
    <t>2014-04-29</t>
  </si>
  <si>
    <t>HURTOWNIA ELEKTRYK HUBERT DANIELCZYK</t>
  </si>
  <si>
    <t>MAX-TEL, TELEFONY KOMÓRKOWE TOMASZ BŁASZCZYK</t>
  </si>
  <si>
    <t>2010-12-22</t>
  </si>
  <si>
    <t>APIS KRYSTIAN MARKOWSKI</t>
  </si>
  <si>
    <t>ROBERT CZYŻAK</t>
  </si>
  <si>
    <t>PRZESIĘBIORSTWO HANDLOWO-USŁUGOWE "SHELLAN" ANDRZEJ SADZIK</t>
  </si>
  <si>
    <t>2007-02-12</t>
  </si>
  <si>
    <t>SKLEP Z ODZIEŻĄ UŻYWANĄ BOŻENA BURLIŃSKA</t>
  </si>
  <si>
    <t>2006-09-28</t>
  </si>
  <si>
    <t>ARTKAMI KAMILA WASZKIEWICZ</t>
  </si>
  <si>
    <t>2008-05-14</t>
  </si>
  <si>
    <t>USŁUGI PORZĄDKOWE - BARBARA JEŁKASZEW</t>
  </si>
  <si>
    <t>WARSZAWSKIE</t>
  </si>
  <si>
    <t xml:space="preserve">BIALSKOPODLASKIE </t>
  </si>
  <si>
    <t xml:space="preserve">BIAŁOSTOCKIE </t>
  </si>
  <si>
    <t xml:space="preserve">BIELSKIE </t>
  </si>
  <si>
    <t xml:space="preserve">BYDGOSKIE </t>
  </si>
  <si>
    <t xml:space="preserve">CHEŁMSKIE </t>
  </si>
  <si>
    <t xml:space="preserve">CIECHANOWSKIE </t>
  </si>
  <si>
    <t xml:space="preserve">CZĘSTOCHOWSKIE </t>
  </si>
  <si>
    <t xml:space="preserve">ELBLĄSKIE </t>
  </si>
  <si>
    <t xml:space="preserve">GDAŃSKIE </t>
  </si>
  <si>
    <t xml:space="preserve">GORZOWSKIE </t>
  </si>
  <si>
    <t xml:space="preserve">JELENIOGÓRSKIE </t>
  </si>
  <si>
    <t xml:space="preserve">KALISKIE </t>
  </si>
  <si>
    <t xml:space="preserve">KATOWICKIE </t>
  </si>
  <si>
    <t xml:space="preserve">KIELECKIE </t>
  </si>
  <si>
    <t xml:space="preserve">KONIŃSKIE </t>
  </si>
  <si>
    <t xml:space="preserve">KOSZALIŃSKIE </t>
  </si>
  <si>
    <t>KRAKOWSKIE</t>
  </si>
  <si>
    <t xml:space="preserve">KROŚNIEŃSKIE </t>
  </si>
  <si>
    <t xml:space="preserve">LEGNICKIE </t>
  </si>
  <si>
    <t xml:space="preserve">LESZCZYŃSKIE </t>
  </si>
  <si>
    <t xml:space="preserve">LUBELSKIE </t>
  </si>
  <si>
    <t xml:space="preserve">ŁOMŻYŃSKIE </t>
  </si>
  <si>
    <t xml:space="preserve">NOWOSĄDECKIE </t>
  </si>
  <si>
    <t xml:space="preserve">OLSZTYŃSKIE </t>
  </si>
  <si>
    <t xml:space="preserve">OPOLSKIE </t>
  </si>
  <si>
    <t xml:space="preserve">OSTROŁĘCKIE </t>
  </si>
  <si>
    <t xml:space="preserve">PILSKIE </t>
  </si>
  <si>
    <t xml:space="preserve">PIOTRKOWSKIE </t>
  </si>
  <si>
    <t xml:space="preserve">PŁOCKIE </t>
  </si>
  <si>
    <t xml:space="preserve">POZNAŃSKIE </t>
  </si>
  <si>
    <t xml:space="preserve">PRZEMYSKIE </t>
  </si>
  <si>
    <t xml:space="preserve">RADOMSKIE </t>
  </si>
  <si>
    <t xml:space="preserve">RZESZOWSKIE </t>
  </si>
  <si>
    <t xml:space="preserve">SIEDLECKIE </t>
  </si>
  <si>
    <t xml:space="preserve">SIERADZKIE </t>
  </si>
  <si>
    <t xml:space="preserve">SKIERNIEWICKIE </t>
  </si>
  <si>
    <t xml:space="preserve">SŁUPSKIE </t>
  </si>
  <si>
    <t xml:space="preserve">SUWALSKIE </t>
  </si>
  <si>
    <t xml:space="preserve">SZCZECIŃSKIE </t>
  </si>
  <si>
    <t xml:space="preserve">TARNOBRZESKIE </t>
  </si>
  <si>
    <t xml:space="preserve">TARNOWSKIE </t>
  </si>
  <si>
    <t xml:space="preserve">TORUŃSKIE </t>
  </si>
  <si>
    <t xml:space="preserve">WAŁBRZYSKIE </t>
  </si>
  <si>
    <t xml:space="preserve">WŁOCŁAWSKIE </t>
  </si>
  <si>
    <t xml:space="preserve">WROCŁAWSKIE </t>
  </si>
  <si>
    <t xml:space="preserve">ZAMOJSKIE </t>
  </si>
  <si>
    <t xml:space="preserve">ZIELONOGÓRSKIE </t>
  </si>
  <si>
    <t>Etykiety wierszy</t>
  </si>
  <si>
    <t>Suma końcowa</t>
  </si>
  <si>
    <t>Liczba z Przedsiębiorstwo</t>
  </si>
  <si>
    <t>Cyfra kontrolna 1</t>
  </si>
  <si>
    <t>Cyfra kontrolna 2</t>
  </si>
  <si>
    <t>Full_Regon</t>
  </si>
  <si>
    <t>20554160007</t>
  </si>
  <si>
    <t>regon_1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</si>
</sst>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0" borderId="0" xfId="0" applyBorder="1"/>
    <xf numFmtId="0" fontId="0" fillId="0" borderId="0" xfId="0" applyNumberFormat="1" applyBorder="1"/>
    <xf numFmtId="0" fontId="1" fillId="3" borderId="2" xfId="0" applyNumberFormat="1" applyFont="1" applyFill="1" applyBorder="1"/>
    <xf numFmtId="0" fontId="1" fillId="4" borderId="2" xfId="0" applyNumberFormat="1" applyFont="1" applyFill="1" applyBorder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</cellXfs>
  <cellStyles count="1">
    <cellStyle name="Normalny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right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Jaruszewski" refreshedDate="43868.674871759256" createdVersion="6" refreshedVersion="6" minRefreshableVersion="3" recordCount="747" xr:uid="{3867F9EE-D9A2-4B55-9F50-5CED11316E8B}">
  <cacheSource type="worksheet">
    <worksheetSource name="regon"/>
  </cacheSource>
  <cacheFields count="4">
    <cacheField name="Przedsiębiorstwo" numFmtId="0">
      <sharedItems count="705">
        <s v="CRYSTEL GRZEGORZ MULARCZYK"/>
        <s v="HANDEL ARTYKUŁAMI PRZEMYSŁOWYMI GRZEGORZ MUSIAŁ"/>
        <s v=" INSIDE  - JOANNA MULARCZYK"/>
        <s v="SSMACZNY SŁAWOMIR RATAJSKI"/>
        <s v="Beata Stefanko"/>
        <s v="MARCIN MEDYCKI CLUB VEGA"/>
        <s v="Firma Usługowo-Handlowa Karolina Krajewska"/>
        <s v="MORYC BEATA P.H. &quot;JOKO&quot; S.C."/>
        <s v="PRZEDSIĘBIORSTWO USŁUGOWE &quot;KASTA&quot; STANISŁAW STANKIEWICZ"/>
        <s v="M-C 10 RENATA KRAJEWSKA"/>
        <s v="PRZEDSIĘBIORSTWO HANDLOWO USŁUGOWO PRODUKCYJNE /PHUP/ DARIUSZ SAS"/>
        <s v="ANNA SAS ROZWIĄZANIA HANDLOWE"/>
        <s v="CLUB VEGA S.C."/>
        <s v="P.H.&quot;JOKO&quot; S.C. BEATA MORYC, KAMILA GADZIŃSKA"/>
        <s v="PRZEDSIĘBIORSTWO PRODUKCYJNO-USŁUGOWO-HANDLOWE &quot;ELEKTROS&quot; SPÓŁKA Z OGRANICZONĄ ODPOWIEDZIALNOŚCIĄ"/>
        <s v="KRAJOWE STOWARZYSZENIE ORGANIZACJI PROMOCJI PRZEDSIĘBIORSTW I FIRM &quot;KONSORCJUM HANDLOWE - ODRA PAK&quot; W LIKWIDACJI"/>
        <s v="Przedsiębiorstwo Handlowo Usługowe ERGO Marcin Hasiuk"/>
        <s v="Centrum Handlowe ,,LIDER&quot; Grzegorz Król"/>
        <s v="KAMILA GADZIŃSKA"/>
        <s v="Salon Optyczny &quot;VISUS&quot; ANETA BARTCZAK"/>
        <s v="ARTYKUŁY PRZEMYSŁOWE ANDRZEJ BUCIAK"/>
        <s v="1. Kantor Wymiany Walut Agnieszka Czarniecka 2. Kantor Wymiany Walut s.c."/>
        <s v="EXNER PIOTR GREENEX"/>
        <s v="CZYŻEWSKI PAWEŁ"/>
        <s v="KAROŃSKI MARIUSZ 1. Firma Usług Finansowo-Bankowych 2. Agencja Ubezpieczeniowa &quot;ASSISTANCE&quot;"/>
        <s v="Komplus Bogdan Dujicz"/>
        <s v="HANDEL DETALICZNY Mateusz Skrzypczak"/>
        <s v="CENTRUM GSM MACIEJ ADAM ŁUKASZEWICZ"/>
        <s v="MARSI MARCIN SIWIEC"/>
        <s v="MECHANIKA MASZYN USŁUGI ANDRZEJ BURY"/>
        <s v="GOSPODARSTWO ROLNE MARIAN FRYSZKE"/>
        <s v="MAŁA GASTRONOMIA PIJALNIA PIWA KUCZKOWSKI TADEUSZ"/>
        <s v="DANUTA CICHERSKA &quot;KAMA&quot; PRODUKCJA KRZESEŁ I STOŁÓW"/>
        <s v="ELEKTROMECHANIKA POJAZDOWA MAREK BRZEZIŃSKI"/>
        <s v="MARIOLA SKIBA PRZEDSIĘBIORSTWO PRODUKCYJNO-HANDLOWE &quot;SOLGARMA&quot;"/>
        <s v="TAXI MAREK NOWAK"/>
        <s v="ZAKŁAD STOLARSKI &quot;JAWOR&quot; ANDRZEJ ZARĘBA"/>
        <s v="JERZY FOLTAK"/>
        <s v="ZARZYCKA KAROLINA"/>
        <s v="MANUFAKTURA 1887 ANDRZEJ TKACZ"/>
        <s v="PRZEDSIĘBIORSTWO HANDLOWO-USŁUGOWE &quot;PREMIUM&quot; WALDEMAR ŁASZEWSKI"/>
        <s v="ALICJA BURA"/>
        <s v="SZEWCZYK JAN FIRMA &quot;DEK-BUD&quot;"/>
        <s v="PRODUKCJA-HANDEL MIROSŁAWA BARBARA DAWID"/>
        <s v="JAN NAJZER PRZEDSIĘBIORSTWO WIELOBRANŻOWE &quot;JANDREW&quot;"/>
        <s v="GOSPODARSTWO ROLNE ANDRZEJ CICHOWICZ"/>
        <s v="GOSPODARSTWO ROLNE"/>
        <s v="P.P.H.U. JANDEX S.C. Hanna Półtorak, Andrzej Niewiadomski, Zbigniew Niewiadomski"/>
        <s v="GOSPODARSTWO ROLNE RYSZARD CHOJNACKI"/>
        <s v="GOSPODARSTWO ROLNE SEBASTIAN FRYSZKE"/>
        <s v="KUZNIEWSKA EWA"/>
        <s v="Gospodarstwo Rolne Dariusz Chojnacki"/>
        <s v="SOLNET Arkadiusz Mezer"/>
        <s v="GABINET WETERYNARYJNY LEK. WET. JOANNA FRISCHKE-KRAJEWSKA"/>
        <s v="BODEX BOGUMIŁA ŻUBKOWSKA"/>
        <s v="DARIUSZ FOLTAK TAKSÓWKA OSOBOWA"/>
        <s v="CIEŚLEWICZ JACEK PRZEDSIĘBIORSTWO HANDLOWO-USŁUGOWE &quot;INMAN&quot;"/>
        <s v="GOSPODARSTWO ROLNE BARBARA FRYSZKE"/>
        <s v="ZĄBEK JERZY"/>
        <s v="ZEM-TECH ZAKŁAD PRODUKCYJNO-HANDLOWO-USŁUGOWY PAJOR EDWARD"/>
        <s v="REMAR CHROMIŃSKI MARCIN"/>
        <s v="GABI GABRIELA RADO-PAJOR"/>
        <s v="INDYWIDUALNA PRAKTYKA LEKARSKA MARCIN WALUKIEWICZ"/>
        <s v=" ROGASZEWSKI  SŁAWOMIR ROGASZEWSKI"/>
        <s v="FIRMA BUDOWLANO-MONTAŻOWA GABI PAWEŁ PAJOR"/>
        <s v="Gospodarstwo Rolne Daniel Chojnacki"/>
        <s v="P.H.U.-HETMAN ADAM JANISZEWSKI"/>
        <s v="SPEED WIESŁAW KWASIK"/>
        <s v="RATEMA TERESA CHOJNACKA"/>
        <s v="IMAGIT Małgorzata Rogacewicz"/>
        <s v="WIKTOR SAGANOWSKI"/>
        <s v="ZAKŁAD ŚLUSARSKO-TOKARSKI KRZYSZTOF WIŚNIEWSKI"/>
        <s v="IN FACTUM MONIKA MEZER-ŻUBKOWSKA"/>
        <s v="AGRO-ZIELEŃ RADOSŁAW CHOJNACKI"/>
        <s v="GRASKOLI MICHAŁ GRABSKI"/>
        <s v="Kancelaria Radcy Prawnego Aleksandra Dziedzic"/>
        <s v="YASHAR ASAN"/>
        <s v="PRZEDSIĘBIORSTWO PROD.-USŁUG.-HANDL.&quot;SOLTRABUD&quot; SPOŁKA Z O.O.W UPADŁOŚCI"/>
        <s v="PW &quot;TYLPOL&quot; ZBIGNIEW TYLICKI, MAREK TYLICKI SPÓŁKA JAWNA"/>
        <s v="VETDIAGNOSTICA SPÓŁKA Z OGRANICZONĄ ODPOWIEDZIALNOŚCIĄ"/>
        <s v="GABI STOLARKA BUDOWLANA SPÓŁKA Z OGRANICZONĄ ODPOWIEDZIALNOŚCIĄ"/>
        <s v="ALBUD LECH ALEKSANDROWICZ"/>
        <s v="GABINET WETERYNARYJNY LEK.WET. JOANNA FRISCHKE-KRAJEWSKA"/>
        <s v="GRAFCO ROKSANA ZDRADA"/>
        <s v="P &amp; P PRACE WYSOKOŚCIOWE OGÓLNOBUDOWLANE,TADEUSZ KUDELSKI"/>
        <s v="DRINK - BAR,HENRYKA KALISZ"/>
        <s v="PRZEDSIĘBIORSTWO PROD.RÓŻNEJ HANDLU I USŁUG &quot;GOTEX&quot;,BOŻYDAR BIBROWICZ"/>
        <s v="COCKTAIL BAR CUKIERNIA&quot; ŚNIEŻKA&quot; JAN FRANK"/>
        <s v="KĘSKA RAFAŁ"/>
        <s v="PRZEDSIĘBIORSTWO HANDLOWO USŁUGOWE ALEX NORBERT TROCIŃSKI"/>
        <s v="STUDIO29 ANNA KASPERSKA"/>
        <s v="KEWI ELŻBIETA SIWEK- WSPÓLNIK SPÓŁKI CYWILNEJ"/>
        <s v="TŁUMACZENIA PRZYSIĘGŁE I NAUKA JĘZYKA ANGIELSKIEGO AGNIESZKA KACZMAREK"/>
        <s v="SEBASTIAN POŹNIAK"/>
        <s v="REDLAN WŁODARCZAK JACEK MARIAN"/>
        <s v="PARKING STRZEŻONY WIOLETA NAJDER"/>
        <s v="ZAKŁAD USŁUGOWY &quot;TOLEX&quot; MARLENA KRUK"/>
        <s v="M.O. MAGDALENA OZIMIŃSKA"/>
        <s v="PRZEDSIĘBIORSTWO HANDLOWO USŁUGOWE PRETTY ADRIAN SŁOWIŃSKI 66-400 GORZÓW WLKP. UL. 9 MAJA 6D ADRIAN SŁOWIŃSKI"/>
        <s v=" PATRYNIU BEATA BINERT"/>
        <s v="RAFFAELLA RAFAELA KAMILA KĘDRA"/>
        <s v="WIK-MAR MAREK MOTYL"/>
        <s v="PRACOWNIA PROJEKTOWANIA I SZYCIA ODZIEŻY &quot;IVA&quot; IWONA CZECHOWICZ"/>
        <s v="PRZEDSIĘBIORSTWO USŁUGOWO HANDLOWE GABEST MARIUSZ CICHY"/>
        <s v="EURO-BRUK JACEK KUŚ"/>
        <s v="MAGDALENA ŁOPATA &quot;MAGDA&quot;"/>
        <s v="FIRMA USŁUGOWA &quot;EWA&quot; EWA GRUSE"/>
        <s v="PRAKTYKA LEKARSKA MAGDALENA CZARKOWSKA"/>
        <s v="KIOSK WIELOBRANŻOWY CECYLIA KAŁUŻNA"/>
        <s v="FERMA LISÓW T.I R.PRZYBYŁA"/>
        <s v="BORO PRZEMYSŁAW BORODZIEJ"/>
        <s v="BRONISŁAWA BOGUSZ"/>
        <s v="BOMBAŁA MAGDALENA FUTURE FILM"/>
        <s v="EWA KUBISZEWSKA HAPPINESS OŚRODEK ANTYSTRESOWY EWY KUBISZEWSKIEJ"/>
        <s v="Firma Handlowo Usługowa Jacek Gajda"/>
        <s v="WIESŁAW MARMUL"/>
        <s v="SKLEP WARZYWNO-SPOŻYWCZY &quot;OSIEDLOWY&quot; TUMIŃSKA BOŻENA"/>
        <s v="TRANSpol MARIUSZ GRYCUK"/>
        <s v="KWIATKOWSKA JADWIGA"/>
        <s v="WORKCENTER24 DANIEL BANASZKIEWICZ"/>
        <s v="FIRMA USŁUGOWA &quot;DEK&quot;URBAŃSKI KRZYSZTOF PAWEŁ"/>
        <s v="1)SKLEP MIĘSNY &quot;AGA&quot; 2)HANDEL DETALICZNY &quot;AGA&quot; GAJEWSKA AGNIESZKA"/>
        <s v="MARCIN WIERZCHOWSKI REAL-TRANSPORT"/>
        <s v="PHU RASTA KLIMA PUZIAK MONIKA"/>
        <s v="KRZYSZTOF SZCZECINA USŁUGI BUDOWLANE"/>
        <s v="SEBASTIAN SZCZĘCH"/>
        <s v="DARIUSZ KRZEMIŃSKI"/>
        <s v="KACZMAREK PAWEŁ"/>
        <s v="JACEK DZIUBAŁKA &quot;MAXMAR-BIS&quot;"/>
        <s v="JAN-BUD JANUSZ KACZMAREK"/>
        <s v="OLEKSIAK JADWIGA"/>
        <s v="BOMBAŁA GRAŻYNA"/>
        <s v="BUD-MAG GRYCUK MACIEJ"/>
        <s v="MULTI-SOFT EWA I RYSZARD NENYCZ S. C.EWA NENYCZ"/>
        <s v="FIRMA USŁUGOWA JAN RUDZKI"/>
        <s v="FIRMA -HANDLOWO USŁUGOWA ELWIRA BOCHEŃSKA"/>
        <s v="ELPLAN PRZEDSIĘBIORSTWO PROJEKTOWE JERZY KLIMCZAK"/>
        <s v="JOLANTA BIERNACKA"/>
        <s v="OKSAR SKOWROŃSKA MONIKA"/>
        <s v="A&amp;D CONSULTING DĄBROWSKI ARTUR"/>
        <s v="KANCELARIA ADWOKACKA ŁUKASZ MARKIEWICZ"/>
        <s v="STAR PROPERTIES EDWARDS MARK SYDNEY"/>
        <s v="QUICK STUDY KAROLINA JĘDRZEJCZAK"/>
        <s v="USŁUGI AKWIZYCYJNE I UBEZPIECZENIOWE MUCHOWSKA IWONA"/>
        <s v="LECH RYBARCZYK INSTALATORSTWO ELEKTRYCZNE"/>
        <s v="INSTALATORSTWO ELEKTRYCZNE RYSZARD JANKOWSKI"/>
        <s v="Medwediuk Olga - Wycena Nieruchomości"/>
        <s v="TRANSPORT MIĘDZYNARODOWY PAWEŁ MIZERAK"/>
        <s v="MIECZYSŁAW GAJDELIS PRZEDSIĘBIORSTWO PRZEMYSŁOWO-HANDLOWE &quot;GAJAKOS&quot;"/>
        <s v="DAVIDE DELLI GUANTI"/>
        <s v="Renthome Hubert Szarata"/>
        <s v="LOKALE Agnieszka Spalony"/>
        <s v="El-France Elżbieta Fougere"/>
        <s v="KANCELARIA ADWOKACKA KAROLINA PROKOPOWICZ"/>
        <s v="BIURO RACHUNKOWE E - BUCHALTERIA ANETA GABARA-BARAN"/>
        <s v="BEVERLY HILLS MARIA BOCHEŃSKA"/>
        <s v="BOGDAN BOCHEŃSKI GOSPODARSTWO ROLNE W BRÓDKACH"/>
        <s v="HAFIZ KANCELARIA PRAWNA CEZARY DOMAGALSKI"/>
        <s v="JOANNA RUDZKA GABINET STOMATOLOGICZY"/>
        <s v="JAN MYCEK Zajazd Pod Różą"/>
        <s v="SKLEP Z ODZIEŻĄ UŻYWANĄ &quot;RICARDO&quot; RYSZARD KOPER"/>
        <s v="KRZYSZTOF ŁOZIŃSKI PHU ŁOZIŃSKI"/>
        <s v="CAP STANISŁAW PRZEDSIĘBIORSTWO PROJEKTOWANIA I USŁUG INWESTYCYJNO-BUDOWLANYCH &quot;PROEKOB&quot;"/>
        <s v="IWONA JANUSZEWSKA-MYCEK"/>
        <s v="MAŁGORZATA JESIONOWSKA INDYWIDUALNA PRAKTYKA PIELĘGNIARSKA"/>
        <s v="HENRYK MASTERNAK BIURO KONSULTINGOWO-PROJEKTOWE &quot;GEOMASTER&quot;"/>
        <s v="STUDIO URODY ARISA KAVATSYUK MAGDALENA"/>
        <s v="MULTI-SOFT EWA I RYSZARD NENYCZ S. C.RYSZARD NENYCZ"/>
        <s v="DOM-BUD PIOTR WIŚNIEWSKI"/>
        <s v="PRZEDSIĘBIORSTWO HANDLOWO USŁUGOWE &quot;ŁOZIŃSKI&quot; VIOLETTA ŁOZIŃSKA"/>
        <s v="PRZEDSIĘBIORSTWO PRZEMYSŁOWO-HANDLOWE &quot;GAJAKOS&quot; S.C.MIECZYSŁAW GAJDELIS,ANDRZEJ JADZIAK"/>
        <s v="POLSKIE STOWARZYSZENIE MEDIACJI GOSPODARCZEJ W LIKWIDACJI"/>
        <s v="EOP SPÓŁKA Z OGRANICZONĄ ODPOWIEDZIALNOŚCIĄ"/>
        <s v="MULTI-SOFT EWA I RYSZARD NENYCZ SPÓŁKA CYWILNA EWA NENYCZ, RYSZARD NENYCZ"/>
        <s v="KANCELARIA ADWOKATÓW I RADCÓW PRAWNYCH BACZAŃSKA, SZARATA SPÓŁKA PARTNERSKA"/>
        <s v="AMP - SPÓŁKA Z OGRANICZONĄ ODPOWIEDZIALNOŚCIĄ"/>
        <s v="AMP - SPÓŁKA Z OGRANICZONĄ ODPOWIEDZIALNOŚCIĄ I WSPÓLNICY SPÓŁKA KOMANDYTOWA"/>
        <s v="WSPÓLNOTA MIESZKANIOWA UL.ALEJA KONSTYTUCJI 3-GO MAJA 5"/>
        <s v="PGO POLSKA GRUPA ODSZKODOWAWCZA SPÓŁKA AKCYJNA"/>
        <s v="WSPÓLNOTA MIESZKANIOWA UL.ALEJA KONSTYTUCJI 3-GO MAJA 11"/>
        <s v="WSPÓLNOTA MIESZKANIOWA UL.ALEJA KONSTYTUCJI 3-GO MAJA 3"/>
        <s v="BS BACZAŃSKA, SZARATA SPÓŁKA JAWNA"/>
        <s v="TERMOTECH SPÓŁKA Z OGRANICZONĄ ODPOWIEDZIALNOŚCIĄ"/>
        <s v="FUNDACJA GREEN STAR"/>
        <s v="CORET SPÓŁKA Z OGRANICZONĄ ODPOWIEDZIALNOŚCIĄ"/>
        <s v="LUBUSKIE STOWARZYSZENIE RZECZOZNAWCÓW MAJĄTKOWYCH"/>
        <s v="INSTALATORSTWO ELEKTRYCZNE SPÓŁKA CYWILNA RYSZARD JANKOWSKI, LECH RYBARCZYK"/>
        <s v="KONZBUT-HOLDINGSPÓŁKA AKCYJNA W LIKWIDACJI"/>
        <s v="UNIBET SPÓŁKA Z OGRANICZONĄ ODPOWIEDZIALNOŚCIĄ"/>
        <s v="GAMP SPÓŁKA Z OGRANICZONĄ ODPOWIEDZIALNOŚCIĄ"/>
        <s v="VILLA NIERUCHOMOŚCI - JULITA SZYMAŃSKA"/>
        <s v="INKASSO MAGDALENA KUCHARSKA"/>
        <s v="AJ TERMOTECH Andrzej Jadziak"/>
        <s v="Firma Handlowa Łukasz Sciebura"/>
        <s v="Urszula Migalska IRYDIUM"/>
        <s v="SALON &quot;MAGNUS&quot; MARIA NISZTUK"/>
        <s v="SALON KOSMETYCZNY JOANNA NISZTUK"/>
        <s v="ZAKŁAD USŁUG WIELOBRANŻOWYCH MIECZYSŁAW LUCINKIEWICZ"/>
        <s v="BROKER UBEZPIECZENIOWY WOJCIECH KRZYKWA"/>
        <s v="AZYL GABINET KOSMETYCZNY"/>
        <s v="SAPRO Robert Sciebura"/>
        <s v="PLUS BANK SPÓŁKA AKCYJNA ODDZIAŁ W ZIELONEJ GÓRZE"/>
        <s v="HDI ASEKURACJA TOWARZYSTWO UBEZPIECZEŃ S.A. ODDZIAŁ W ZIELONEJ GÓRZE"/>
        <s v="AQUA HOBBY Grzegorz Kamiński"/>
        <s v="'WIRBEL ALFONS INSTALATORSTWO ELEKTRYCZNE '"/>
        <s v="TŁUMACZ PRZYSIĘGŁY JĘZYKA FRANCUSKIEGO TOMASZ STOCZCZAK"/>
        <s v="Bogdan Prawicki"/>
        <s v="Rafał Klimkowski"/>
        <s v="STREFA URODY Zuzanna Bilewicz"/>
        <s v="Indywidualna Praktyka Lekarska Małgorzata Grobelna"/>
        <s v="'KOWALSKI MIROSŁAW 1.ZAKŁAD USŁUG KSIĘGOWYCH 2.&quot;PLUS&quot;'"/>
        <s v="ARKADIUSZ RUKS RUKS PACKAGING"/>
        <s v="KLUPŚ JOLANTA PRYWATNY GABINET LEKARSKI"/>
        <s v="PORADNIA DIETETYCZNA SMAKI NA ZDROWIE MAŁGORZATA WEIGT"/>
        <s v="GALERIA FRYZUR HANNA RUKS"/>
        <s v="BARCZYŃSKI RAFAŁ DORADCA PROMOTOR AGENT"/>
        <s v="SATORI KARATE CLUB, LESZNO"/>
        <s v="SPÓŁKA CYWILNA PLUS MIROSŁAW KOWALSKI RAFAŁ KLIMKOWSKI"/>
        <s v="GYNMEDSPÓŁKA Z OGRANICZONĄ ODPOWIEDZIALNOŚCIĄ,LESZNO"/>
        <s v="VIERHAUS-GRUPPE POLSKASPÓŁKA Z OGRANICZONĄ ODPOWIEDZIALNOŚCIĄ,LESZNO"/>
        <s v="KAZAŁO TOMASZ INDYWIDUALNA SPECJALISTYCZNA PRAKTYKA LEKARSKA"/>
        <s v="IDEA IMPORT-EXPORT AGATA DYMKKIEWICZ"/>
        <s v="MARCIN MAŃCZAK SKLEP SPOŻYWCZO-PRZEMYSŁOWY"/>
        <s v="'KĘDZIORA KRYSTYNA PRZEDSIĘBIORSTWO HANDLOWO USŁUGOWE '"/>
        <s v="PRZEDSIĘBIORSTWO USŁUGOWO HANDLOWE - MARIUSZ KASPERSKI"/>
        <s v="OWOCOWY RAJ Sylwia Rakoczy"/>
        <s v="ZESPÓŁ POŁOŻNICZO-GINEKOLOGICZNY PRZYCHODNI SPECJALISTYCZNYCH&quot;GYNMED&quot;,LESZNO"/>
        <s v="HANDEL OKRĘŻNY-WARZYWA,OWOCE,KWIATY POCH.ZAGRAN.-MAREK WOJTASZEK"/>
        <s v="EKSPORT-IMPORT,HANDEL HURTOWY I DETALICZNY,JERZY MOLSKI"/>
        <s v="HANDEL DETALICZNY-ART.SPOŻ.,WĘDLINY,CHEMICZNE-BOŻENA OLEJNICZAK"/>
        <s v="ZAKŁAD DZIEWIARSKI-IRENA WIECZOREK"/>
        <s v="RENATA ADAMIAK"/>
        <s v="JERZY ZIN"/>
        <s v="SKLEP-ART.PRZEMYSŁOWE,IMPORT-EKSPORT,LISIECKI ZDZISŁAW"/>
        <s v="BIELIŹNIARSTWO I KRAWIECTWO LEKKIE-TERESA FETTER"/>
        <s v="PHU &quot;TRANSPASZ&quot; SPRZEDAŻ PASZ I USŁUGI TRANSPORTOWE BOGUSŁAW KULAWINEK"/>
        <s v="JANOWIECKI KRZYSZTOF"/>
        <s v="USŁUGI TRANSPORTOWE CIĘŻAROWE-KRAJOWE,LESZEK MROZIŃSKI"/>
        <s v="PRZEDSIĘBIORSTWO WIELOBRANŻOWE &quot;ANEX-POL&quot; ANNA ANDRZEJCZAK-STASIAK"/>
        <s v="HANDEL OKRĘŻNY ART.PRZEM.I ROLNO-SPOŻ.POCH.KRAJ.I ZAGR.-CZESŁAW NOWAK"/>
        <s v="BLACHARSTWO-JAN WISTEHUBE"/>
        <s v="SPECJALISTYCZNY GABINET LEKARSKI POŁOŻNICZO-GINEKOLOGICZNY ANDRZEJ JESION"/>
        <s v="HANDEL OKRĘŻNY ART.ROLNO-SPOŻ.I PRZEM.POCH.KRAJ.I ZAGR.,JAN JARENTOWSKI"/>
        <s v="PROJEKTY,TŁUMACZENIA DANUTA ŁUCZAK"/>
        <s v="KAZIMIERZ MARCINIAK"/>
        <s v="ZAKŁAD STOLARSKI-EDWARD ŁUCZAK"/>
        <s v="BARBARA CHLĄD SKLEP ODZIEŻOWY &quot;BONA&quot;"/>
        <s v="SKLEP PRZEMYSŁOWY-JAROSŁAW MINIECKI"/>
        <s v="PUNKT NAPRAWY ROWERÓW JÓZEF KRZEMIŃSKI"/>
        <s v="F.H.U. EX-EL POGOTOWIE ELEKTRYCZNE PIOTR ANTONIEWICZ"/>
        <s v="ZAKŁAD FRYZJERSKI-KATARZYNA PIĄTKOWSKA-PINCZEWSKA"/>
        <s v="PRAKTYKA LEKARSKA &quot;HALMED&quot; HALINA BANASZKIEWICZ LEKARZ CHORÓB DZIECIĘCYCH"/>
        <s v="A) RAKIJA WOJCIECH PEŁKA B)RAKIJA S.C. WOJCIECH PEŁKA WSPÓLNIK SPÓŁKI CYWILNEJ"/>
        <s v="ELŻBIETA ANNA KŁODKOWSKA-FARNER GABINET LEKARSKI"/>
        <s v="Łukasz KORECKI KORECKI.PL"/>
        <s v="MAGDALENA KOSTRZEWA Kostrzewa Consulting Group"/>
        <s v="WARSAW AVENUE - TOMASZ WOJDYŁA"/>
        <s v="BS MAX Jakub Samołówka"/>
        <s v="NEW PUBLIC AGNIESZKA BIAŁOBRZEWSKA"/>
        <s v="INTERPROM MICHAŁ PAPIS."/>
        <s v="ZOFIA SZCZECHOWSKA WIESŁAWA"/>
        <s v="JAN DETHLOFF &quot;Jan Dethloff&quot;"/>
        <s v="WIETESKA MEDIA Elżbieta Wieteska"/>
        <s v="Eddie Swinnen Pure Consultant"/>
        <s v="ROBERT RYCAK NIERUCHOMOŚCI"/>
        <s v="Elizabeth Belk Foundation Management Consulting"/>
        <s v="Amidala Maria Dąbrowska"/>
        <s v="wa.ht, Tomasz Dubrownik"/>
        <s v="SEWERYN STĘPIEŃ KANCELARIA RADCY PRAWNEGO"/>
        <s v="KANCELARIA PRAWNA DALWATI JOMAA"/>
        <s v="KANCELARIA ADWOKACKA MAŁGORZATA BIELECKA"/>
        <s v="MW Consulting Mirosław Wijas"/>
        <s v="FENUS Biuro Rachunkowe Dorota Klonowska"/>
        <s v="James Archbold Consultancy"/>
        <s v="Kancelaria Adwokacka i Doradztwa Podatkowego dr Artur Oleś"/>
        <s v="Justyna Kowalczyk Kancelaria Adwokacka"/>
        <s v="DE KEIZER DIANA ADAMCZUK"/>
        <s v="USŁUGI TRANSPORTU MARIUSZ GÓRECKI"/>
        <s v="BIURO PODRÓŻY SHISHA TRAVEL MILEWSKA MARIOLA"/>
        <s v="ZIANDARSKI MARIUSZ DYGRESJA"/>
        <s v="Kancelaria Radcy Prawnego Ilona Mosakowska"/>
        <s v="LIDIA PRZYBYLIŃSKA &quot;NIGHT BARMAN&quot;"/>
        <s v="Michał Ziandarski &quot;Transport drogowy taksówką&quot;"/>
        <s v="GRACZYK KINGA MARCO"/>
        <s v="F.H.U. MARIUSZ GŁOWACKI"/>
        <s v="GABINET PODOLOGICZNY KLINIKA ZDROWYCH STÓP ANNA ŻÓRAWSKA"/>
        <s v="ADAMKOWSKA ŻANETA LAJT BARMAN"/>
        <s v="BAMKO KAROLINA OZIMEK"/>
        <s v="FIRMA HANDLOWO-USŁUGOWA ŁUKASZ MIESZKOWSKI"/>
        <s v="DUDKIEWICZ ELŻBIETA USŁUGI TRANSPORTOWE"/>
        <s v="PRZEDSIĘBIORSTWO PRODUKCYJNO USŁUGOWE MARGER MAREK MOSSAKOWSKI"/>
        <s v="BIURO RACHUNKOWE wspólnik spółki cywilnej Katarzyna Sieracka"/>
        <s v="MARIA OPULSKA"/>
        <s v="Klaudia Katarzyna Tylman ZAKŁAD PRODUKCYJNO - HANDLOWO - USŁUGOWY TYLMAN STYL"/>
        <s v="BIUROKREACJA JOANNA DOJNIAK"/>
        <s v="FIRMA HANDLOWO USŁUGOWA PRZEMYSŁAW PSZCZÓŁKOWSKI"/>
        <s v="7 Damian Piotrowski"/>
        <s v="MAŁGORZATA ZNAMIECKA"/>
        <s v="PRZEDSIĘBIORSTWO WIELOBRANŻOWE&quot;EL-CAR&quot;EXPORT-IMPORT GOŁĘBIEWSKI PIOTR"/>
        <s v="ZAKŁAD USŁUG ELEKTRYCZNYCH ZIELIŃSKI GRZEGORZ"/>
        <s v="PODLAŚ ANDRZEJ BIURO HANDLOWO-RACHUNKOWE EXPORT-IMPORT"/>
        <s v="PRYWATNY GABINET LEKARSKI GINEKOLOGICZNY PAWIŃSKI RYSZARD"/>
        <s v="AMWAYDYSTRYBUTOR SMARDZEWSKI JÓZEF"/>
        <s v="ZAKŁ.USŁ.&quot;ROLEX&quot;ŻALUZ.ROL.USŁ.WYKOŃ.WNĘT.OGÓLNOBUD.HANDEL ZNAMIECKI W."/>
        <s v="Jagielski Andrzej Przedsiębiorstwo Produkcyjno - Handlowe ARTLEX Grażyna i Andrzej Jagielscy"/>
        <s v="ROBOTY WYKOŃCZENIOWE-ZDZISŁAW MOSAKOWSKI"/>
        <s v="MILEWSKI MAREK"/>
        <s v="USŁUGI MURARSKIE MIKOŁAJEWSKI WOJCIECH"/>
        <s v="PRZEDSIĘBIORSTWO HANDLOWO-USŁUGOWE&quot;IREX&quot;POKROPSKI IRENEUSZ"/>
        <s v="PRZYBYLIŃSKI ANDRZEJ WIP-POL"/>
        <s v="TAKSÓWKA OSOBOWA NR BOCZNY 782 KOZŁOWSKI KRZYSZTOF"/>
        <s v="Usługi budowlane Danuta Patora"/>
        <s v="JABŁKOWSKA HANNA"/>
        <s v="SEVEN MAZUREK LUCYNA"/>
        <s v="USŁUGI BLACHARSKIE HANDEL ZEMBRZYCKI ADAM"/>
        <s v="KUPCZYK MAREK"/>
        <s v="DOMAŃSKI TADEUSZ"/>
        <s v="WYPOŻYCZALNIA KASET VIDEO KWASIBORSKI BOGDAN"/>
        <s v="ZILIŃSKA WIESŁAWA"/>
        <s v="PRYWATNY GABINET GINEKOLOGICZNY PRACOWNIA USG BIAŁECKI PIOTR"/>
        <s v="KRZECHOWSKA HALINA TERESA"/>
        <s v="USŁUGI TRANSPORTOWE KOZŁOWSKI KAZIMIERZ"/>
        <s v="HANDEL OBWOŹNY DĄBROWSKI DYONIZY"/>
        <s v="MERCATOR WIESŁAW GMURCZYK"/>
        <s v="POŚREDNICTWO UBEZPIECZENIOWE RÓZIECKA MAŁGORZATA"/>
        <s v="OWCZAREK BARBARA"/>
        <s v="KICAK PŁOCKIE CENTRUM ROZWOJU SPORTU BOGDAN ZAJĄCZKOWSKI"/>
        <s v="ZAKŁAD INSTALACJI SANITARNEJ I C.O.OSICA WACŁAW"/>
        <s v="USŁUGI KRAWIECKIE KOPER MAŁGORZATA"/>
        <s v="USŁUGI SPAWALNICZE KURPIAS RYSZARD"/>
        <s v="KOZŁOWSKA MONIKA TAXI OSOBOWA"/>
        <s v="BIURO RACHUNKOWE - wspólnik spółki cywilnej Dorota Kowalik"/>
        <s v="KOMPUTERY-USŁUGI INFORMATYCZNE RÓZIECKA HANNA"/>
        <s v="POSADZKARSTWOUKŁADANIE GLAZURY,PARKIETÓW,CYKLINOWANIE DAŁEK KONRAD"/>
        <s v="PRZEDSIĘBIORSTWO USŁUGOWO HANDLOWE WALDEMAR LEWANDOWSKI"/>
        <s v="RÓZIECKI ROBERT"/>
        <s v="USŁUGI TRANSPORTOWE TRZETRZEWSKI BOGDAN"/>
        <s v="POŚREDNICTWO UBEZPIECZENIOWE KOŁODZIEJSKA BOGUMIŁA"/>
        <s v="POŚREDNICTWO UBEZPIECZENIOWE ZIELIŃSKI SEBASTIAN"/>
        <s v="ZAKŁAD USŁUGOWY &quot;WIKTORIA&quot; MARZENA NAPOROWSKA"/>
        <s v="POŚREDNICTWO UBEZPIECZENIOWE ZALEWSKA-OSICA EWA"/>
        <s v="INSTALATORSTWO ELEKTRYCZNE NOWAKOWSKI ADAM"/>
        <s v="AN-BUD-REMONTY-UKŁADANIE GLAZURY TERAKOTY DAŁEK ANNA"/>
        <s v="SKLEP SPOŻYWCZO-PRZEMYSŁOWY NOWACKA IZABELA"/>
        <s v="AGENT RYDZEWSKA EDYTA"/>
        <s v="WAP 2 DEMBKIEWICZ WANDA"/>
        <s v="NATEMA BĘDZIŃSKI MICHAŁ"/>
        <s v="ANTONI SAMORAJ TAXI OSOBOWE"/>
        <s v="LOKOMOTYWA SPÓŁKA CYWILNA"/>
        <s v="AUTO-LABOR WIESŁAWA GOŁĘBIEWSKA, PIOTR GOŁĘBIEWSKI SPÓŁKA JAWNA"/>
        <s v="PRZEDSIĘBIORSTWO HANDL.-USŁ.&quot;POLITON&quot;SP.C.EXP.IMP.KACPRZAK ALFRED I S-KA"/>
        <s v="KAN-MET FIRMA HANDLOWO-USŁUGOWA S.C.CHĄDZYŃSKI JAN I S-KA"/>
        <s v="WEPO SPÓŁKA Z OGRANICZONĄ ODPOWIEDZIALNOŚCIĄ"/>
        <s v="EMAR MARIUSZ KIEŁBASA"/>
        <s v="KRAWCZYK-PIPIŃSKA JOLANTA INDYWIDUALNA SPECJALISTYCZNA PRAKTYKA LEKARSKA"/>
        <s v="Zakład Piekarniczo-Cukierniczy &quot;MOCHOWO&quot; Mirosława Borkowska"/>
        <s v="Gabinet Ruchowej Rehabilitacji Mateusz Rybicki"/>
        <s v="TAXI OSOBOWE NR BOCZNY 954 SMARDZEWSKI JÓZEF"/>
        <s v="GOSPODARSTWO ROLNE ANDRZEJ JAGIELSKI"/>
        <s v="Prywatny Gabinet Lekarski Ginekologiczno - Położniczy i USG Arkadiusz Biniewicz"/>
        <s v="P.P.H. &quot;KIM&quot; DZIERŻAWSKA KATARZYNA"/>
        <s v="PAWEŁ PIĄTKOWSKI USŁUGI OGÓLNOBUDOWLANE"/>
        <s v="VOICE KRAFT LESZEK POTOCKI"/>
        <s v="GOSPODARSTWO ROLNE ADAM KRZACZKOWSKI"/>
        <s v="PAWEŁ MYDŁOWSKI"/>
        <s v="Fix&amp;Print Artur Jankowski, Fix&amp;Print s.c Artur Jankowski"/>
        <s v="ANDRZEJ KISZKO &quot;VCC - PROJEKT&quot;"/>
        <s v="Maciej K. Król"/>
        <s v="AGENT UBEZPIECZENIOWY, ORZECHOWSKA BOŻENA"/>
        <s v="URBAŃSKA URSZULA"/>
        <s v="DARIUSZ LASECKI"/>
        <s v="AGENT UBEZPIECZENIOWY,BAJERA PAWEŁ EUGENIUSZ"/>
        <s v="AGENT UBEZPIECZENIOWY"/>
        <s v="GOSPODARSTWO ROLNE PIOTRM KOLANOWSKI"/>
        <s v="TERESA JASTRZĘBSKA USŁUGI KOSMETYCZNE"/>
        <s v="JOANNA GROMEK &quot;ABAKUS&quot; Joanna Gromek"/>
        <s v="Kacperek ANDRZEJ KASPRZYCKI"/>
        <s v="WALDEMAR STANKIEWICZ &quot;UNISAN&quot;"/>
        <s v="ACHATES Piotr Śniosek"/>
        <s v="ARTUR GORZELAK STUDIO SZKIC"/>
        <s v="MAREK BROWARSKI"/>
        <s v="SYNERGY MEDIA - PIOTR SARNOCIŃSKI - wspólnik spółki cywilnej"/>
        <s v="GRZEGORZ RYNKA DATELNET"/>
        <s v="Centrum Certyfikacji Firm Katarzyna Karolak"/>
        <s v="ALBIN WESOŁOWSKI Usługi Porządkowe &quot; Alan&quot;"/>
        <s v="JAROSŁAW FRANCISZEK PTASZEK USŁUGI J.F.PTASZKA"/>
        <s v="Usługi Gastronomiczne Anna Cichoń"/>
        <s v="Firma Usługowo-Doradcza &quot;VENTUS&quot; Anna Liszewska"/>
        <s v="B&amp;F AGNIESZKA KOCH"/>
        <s v="SYNERGY MEDIA Magdalena Bursiak wspólnik spółki cywilnej"/>
        <s v="SYNERGY MEDIA - Martyna Wróblewska wspólnik spółki cywilnej"/>
        <s v="EMILIA BYCZKOWSKA"/>
        <s v="PIOTR PAWLAK KROK DO PRZODU"/>
        <s v="EWELINA SAMORAJ"/>
        <s v="Aliaksandr Ladyha"/>
        <s v="KATARZYNA FROM 4 GREEN DESIGN"/>
        <s v="ELMIRA MARUKYAN ARMENIA I GRUZJA"/>
        <s v="MIBIS SŁAWOMIR MICHEJ"/>
        <s v="ZIELONE MIASTO Przedsiębiorstwo usługowo-produkcyjne dr inż. Aleksander Kazem-Bek"/>
        <s v="P.H.U. Maneo Patrycja Rotuska"/>
        <s v="Gromas Rafał Gromek"/>
        <s v="CORTE Katarzyna Loretz-Potocka"/>
        <s v="Jan Zając"/>
        <s v="Usługi budowlano remontowe Maciej Piątkowski"/>
        <s v="INPLUS Karol Nurzyński"/>
        <s v="Marta Dębowska"/>
        <s v="Topo-Projekt Justyna Ponichtera"/>
        <s v="JACEK GADAJ PRACOWNIA PROJEKTOWA"/>
        <s v="BOGDAN STOPA"/>
        <s v="INTENSIVELY Mateusz Opaliński"/>
        <s v="Abba 1 Sławomir Kamola"/>
        <s v="AGNIESZKA POPIELSKA-BYCZKOWSKA &quot;AKUKU&quot;"/>
        <s v="ROBERT ŚNIASZEK OPEN AiR"/>
        <s v="HUNTSPÓŁKA Z O.O."/>
        <s v="HASIMEXSP.Z O.O."/>
        <s v="CASEL SYSTEMY KOMPUTEROWESELIGA WALDEMAR,CAL ZYGMUNT,"/>
        <s v="KLIMANSP.C.,KLIMASZEWSKI G.,PODWÓJSKI G."/>
        <s v="BEYPOLSPÓŁKA Z O.O."/>
        <s v="PRZEDSIĘBIORSTWO HANDLOWO-USŁUGOWE&quot;KALMAR&quot;SPÓŁKA CYWILNA,PIOTROWSKI P."/>
        <s v="KRYSMARSPÓŁKA Z O.O."/>
        <s v="SPÓŁKA CYWILNA&quot;WABO&quot;,SZTAFA W.,SZTAFA B."/>
        <s v="POL-BETON SPÓŁKA Z OGRANICZONĄ ODPOWIEDZIALNOŚCIĄ"/>
        <s v="PRZED.HANDLOWO-USŁUGOWE&quot;MAKO&quot;S.C.MACIĄG P.,ALEKSANDROWSKI A.,KRÓL K."/>
        <s v="EKORENSPÓŁKA Z O.O."/>
        <s v="M.P.SPÓŁKA Z O.O."/>
        <s v="AUTO RALLY SERWISS.C.SELIGA MONIKA,ORLIKOWSKI ARTUR"/>
        <s v="NETBIZ.COM.PL S.C."/>
        <s v="ALFA-POLSPÓŁKA Z O.O."/>
        <s v="S.C.SKLEP SPOŻYWCZO-WĘDLINIARSKI,MANOWSKA MONIKA,SZCZYGIEŁ JACEK"/>
        <s v="MINI-MAX SKLEP SPOŻYWCZO-PRZEMYSŁOWY-SPÓŁKA CYWILNA"/>
        <s v="KRÓL NIERUCHOMOŚCI SPÓŁKA Z OGRANICZONĄ ODPOWIEDZIALNOŚCIĄ"/>
        <s v="BIURO-ABC S.C."/>
        <s v="AKUKU spółka cywilna"/>
        <s v="SYNERGY MEDIA S.C."/>
        <s v="IN GREEN.OGRODY Z KLASĄ! SPÓŁKA Z OGRANICZONĄ ODPOWIEDZIALNOŚCIĄ"/>
        <s v="Coco Jambo Warszawa"/>
        <s v="OKSER HR SPÓŁKA Z OGRANICZONĄ ODPOWIEDZIALNOŚCIĄ"/>
        <s v="TAPETOWANIE,MALOWANIE,USŁUGI REKLAMOWE,AKWIZYCJA,MURAWSKI ANDRZEJ"/>
        <s v="PRZEDSIĘBIORSTWO HANDLOWO USŁUGOWE Agata Olszak"/>
        <s v="ELIZABETH S.C. NIDZIŃSKA KAZIMIERA NIDZIŃSKI TADEUSZ"/>
        <s v="MAGDALENA GRANDA"/>
        <s v="Zakład Wulkanizacyjny i sprzedaz opon Grażyna Leśniewska"/>
        <s v="PARQ MAŁGORZATA STRABEL"/>
        <s v="HANDEL IWONA FURMANEK"/>
        <s v="AMETYST - FIRMA HANDLOWO USŁUGOWA BEATA PASZKIEWICZ"/>
        <s v="EDWARD WANKOWSKI &quot;EDA&quot;"/>
        <s v="EFEKT MACIEJ STASZ"/>
        <s v="JANKOWSKA MAGDALENA"/>
        <s v="ZARZĄDZANIE NIERUCHOMOŚCIAMI PIOMA MARCIN ŚWITALSKI"/>
        <s v="FHU PAWEŁ WŁODARCZYK"/>
        <s v="NETCAR MACIEJ SZULC"/>
        <s v="Łukasz Kowalski Info QR, QiK RIDE"/>
        <s v="LIDIA KRYSKA"/>
        <s v="RUDA PAPUGA FASHION Joanna Krzewińska"/>
        <s v="KARDAMON TOMASZ OLEK"/>
        <s v="Kancelaria Adwokacka Dorota Sosnowska"/>
        <s v="ARMIT ARTUR ROSZYK"/>
        <s v="AJ Szczukowscy POLISZCZUKI Krystyna Szczukowska wspólnik s.c."/>
        <s v="IMS Consulting Marta Stasik"/>
        <s v="MICHAŁ WOJCIESZAK"/>
        <s v="MAŁGORZATA ŁUKOWIAK FIRMA &quot;MENEDŻER&quot;"/>
        <s v="ANDRZEJ KÓSKA"/>
        <s v="STEFAN F WŁOCH &quot;ZAKŁAD USŁUGOWO-HANDLOWY - REMONTY KOMPLEKSOWE&quot;"/>
        <s v="ARTUR JUDKOWIAK CLJ CENTRUM LOGISTYCZNE BST LOGISTYKA"/>
        <s v="ROBERT PODHORECKI &quot;LIDER PROPERTY&quot;"/>
        <s v="RAFAŁ SZYMASZEK &quot;KIOSK- ART.PRZEMYSŁOWE I RÓŻNE SZYMASZEK RAFAŁ&quot;"/>
        <s v="EKO Konsulting i Doradztwo mgr in. Jerzy Puch KonsultEKO Jerzy Puch, Ewa Hoffmann spółka cywilna"/>
        <s v="KSERO NOVUM MAREK SOBAŃSKI"/>
        <s v="KINGA FLAK &quot;WNĘTRZA KINGI&quot;"/>
        <s v="WAMAR SPÓŁKA Z OGRANICZONĄ ODPOWIEDZIALNOŚCIĄ"/>
        <s v="COOPERATIVA SPÓŁKA Z OGRANICZONĄ ODPOWIEDZIALNOŚCIĄ"/>
        <s v="EMERALD SPÓŁKA Z OGRANICZONĄ ODPOWIEDZIALNOŚCIĄ"/>
        <s v="BIURO KONCERTOWE I FESTIWALOWE WROCKFEST.PL SPÓŁKA Z OGRANICZONĄ ODPOWIEDZIALNOŚCIĄ"/>
        <s v="AB PROJEKT SPÓŁKA Z OGRANICZONĄ ODPOWIEDZIALNOŚCIĄ"/>
        <s v="PLC SPÓŁKA Z OGRANICZONĄ ODPOWIEDZIALNOŚCIĄ"/>
        <s v="HARBAT SPÓŁKA Z OGRANICZONĄ ODPOWIEDZIALNOŚCIĄ"/>
        <s v="KONCEPT GROUP SPÓŁKA Z OGRANICZONĄ ODPOWIEDZIALNOŚCIĄ"/>
        <s v="GRUPA GET REST SPÓŁKA Z OGRANICZONĄ ODPOWIEDZIALNOŚCIĄ"/>
        <s v="TANK TRADE SPÓŁKA Z OGRANICZONĄ ODPOWIEDZIALNOŚCIĄ"/>
        <s v="FIRRO SPÓŁKA Z OGRANICZONĄ ODPOWIEDZIALNOŚCIĄ"/>
        <s v="TALENTI SPÓŁKA Z OGRANICZONĄ ODPOWIEDZIALNOŚCIĄ"/>
        <s v="OBSŁUGA DYSTRYBUCJI I BAZY DANYCH &quot;ODBD&quot; SPÓŁKA Z OGRANICZONĄ ODPOWIEDZIALNOŚCIĄ"/>
        <s v="AERO 16 SPÓŁKA Z OGRANICZONĄ ODPOWIEDZIALNOŚCIĄ W LIKWIDACJI"/>
        <s v="FORTE DATA SPÓŁKA Z OGRANICZONĄ ODPOWIEDZIALNOŚCIĄ SPÓŁKA KOMANDYTOWA SPÓŁKA KOMANDYTOWA"/>
        <s v="LP INVESTMENT SPÓŁKA Z OGRANICZONĄ ODPOWIEDZIALNOŚCIĄ"/>
        <s v="KMO SPÓŁKA Z OGRANICZONĄ ODPOWIEDZIALNOŚCIĄ"/>
        <s v="DEGOR ENTERPRISE SPÓŁKA Z OGRANICZONĄ ODPOWIEDZIALNOŚCIĄ"/>
        <s v="RAISA SPÓŁKA Z OGRANICZONĄ ODPOWIEDZIALNOŚCIĄ"/>
        <s v="AGRO-MIX SPÓŁKA Z OGRANICZONĄ ODPOWIEDZIALNOŚCIĄ"/>
        <s v="LAUREL SPÓŁKA Z OGRANICZONĄ ODPOWIEDZIALNOŚCIĄ"/>
        <s v="MAROIL SPÓŁKA Z OGRANICZONĄ ODPOWIEDZIALNOŚCIĄ"/>
        <s v="PRAPOL SPÓŁKA Z OGRANICZONĄ ODPOWIEDZIALNOŚCIĄ"/>
        <s v="FENIX SPÓŁKA Z OGRANICZONĄ ODPOWIEDZIALNOŚCIĄ"/>
        <s v="TM2L SPÓŁKA Z OGRANICZONĄ ODPOWIEDZIALNOŚCIĄ W LIKWIDACJI"/>
        <s v="BUDSAR SPÓŁKA Z OGRANICZONĄ ODPOWIEDZIALNOŚCIĄ"/>
        <s v="T &amp; K INSTALACJE SPÓŁKA Z OGRANICZONĄ ODPOWIEDZIALNOŚCIĄ"/>
        <s v="ESIM SPÓŁKA Z OGRANICZONĄ ODPOWIEDZIALNOŚCIĄ"/>
        <s v="HARRY POLAND GROUP SPÓŁKA Z OGRANICZONĄ ODPOWIEDZIALNOŚCIĄ"/>
        <s v="IBERICO SPÓŁKA Z OGRANICZONĄ ODPOWIEDZIALNOŚCIĄ"/>
        <s v="MMT CONSULTING SPÓŁKA Z OGRANICZONĄ ODPOWIEDZIALNOŚCIĄ"/>
        <s v="CORELLA POLSKA SPÓŁKA Z OGRANICZONĄ ODPOWIEDZIALNOŚCIĄ"/>
        <s v="KTM IMMOBILIEN KOPARAL, TSCHIRPIG, MEYER POLSKA SPÓŁKA JAWNA"/>
        <s v="HARRY POLAND GROUP SP. Z O.O. SPÓŁKA KOMANDYTOWA"/>
        <s v="EUROFISS SPÓŁKA Z OGRANICZONĄ ODPOWIEDZIALNOŚCIĄ"/>
        <s v="EVOLUTION HOUSE BUILDING SPÓŁKA Z OGRANICZONĄ ODPOWIEDZIALNOŚCIĄ"/>
        <s v="DRAGO METAL SPÓŁKA Z OGRANICZONĄ ODPOWIEDZIALNOŚCIĄ"/>
        <s v="RS ENERGIA SPÓŁKA Z OGRANICZONĄ ODPOWIEDZIALNOŚCIĄ"/>
        <s v="ENERGETICA POLSKA SPÓŁKA Z OGRANICZONĄ ODPOWIEDZIALNOŚCIĄ"/>
        <s v="JACKART SPÓŁKA Z OGRANICZONĄ ODPOWIEDZIALNOŚCIĄ"/>
        <s v="E&amp;A SPÓŁKA Z OGRANICZONĄ ODPOWIEDZIALNOŚCIĄ"/>
        <s v="POJK LOGISTIC SPÓŁKA Z OGRANICZONĄ ODPOWIEDZIALNOŚCIĄ"/>
        <s v="NERVE SPÓŁKA Z OGRANICZONĄ ODPOWIEDZIALNOŚCIĄ"/>
        <s v="KT MARKETING SPÓŁKA Z OGRANICZONĄ ODPOWIEDZIALNOŚCIĄ"/>
        <s v="FIDES SPÓŁKA Z OGRANICZONĄ ODPOWIEDZIALNOŚCIĄ"/>
        <s v="BAU PARTNER SPÓŁKA Z OGRANICZONĄ ODPOWIEDZIALNOŚCIĄ"/>
        <s v="ALMON SPÓŁKA Z OGRANICZONĄ ODPOWIEDZIALNOŚCIĄ"/>
        <s v="JTB GROUP SPÓŁKA Z OGRANICZONĄ ODPOWIEDZIALNOŚCIĄ SPÓŁKA KOMANDYTOWA"/>
        <s v="AQUA-BUD SPÓŁKA Z OGRANICZONĄ ODPOWIEDZIALNOŚCIĄ"/>
        <s v="WASTE ENERGY SPÓŁKA Z OGRANICZONĄ ODPOWIEDZIALNOŚCIĄ"/>
        <s v="TOMARISCO SPÓŁKA Z OGRANICZONĄ ODPOWIEDZIALNOŚCIĄ"/>
        <s v="HOME INVESTMENTS SPÓŁKA Z OGRANICZONĄ ODPOWIEDZIALNOŚCIĄ"/>
        <s v="GLOBTRANSPORTUS SPÓŁKA Z OGRANICZONĄ ODPOWIEDZIALNOŚCIĄ"/>
        <s v="JUNIKUS SPÓŁKA Z OGRANICZONĄ ODPOWIEDZIALNOŚCIĄ"/>
        <s v="GLOBTRANSPORTAS SPÓŁKA Z OGRANICZONĄ ODPOWIEDZIALNOŚCIĄ"/>
        <s v="MAX DYSTRYBUCJA SPÓŁKA Z OGRANICZONĄ ODPOWIEDZIALNOŚCIĄ"/>
        <s v="AD CENTRUM GROUP SPÓŁKA Z OGRANICZONĄ ODPOWIEDZIALNOŚCIĄ"/>
        <s v="HOSTEL KOLOR SPÓŁKA Z OGRANICZONĄ ODPOWIEDZIALNOŚCIĄ"/>
        <s v="TB BETON SPÓŁKA Z OGRANICZONĄ ODPOWIEDZIALNOŚCIĄ"/>
        <s v="GLOBALL OFFICE GROUP SPÓŁKA Z OGRANICZONĄ ODPOWIEDZIALNOŚCIĄ"/>
        <s v="AG PQN SPÓŁKA Z OGRANICZONĄ ODPOWIEDZIALNOŚCIĄ"/>
        <s v="ENIGMA7 SPÓŁKA Z OGRANICZONĄ ODPOWIEDZIALNOŚCIĄ"/>
        <s v="FUNNY HOUSE SPÓŁKA Z OGRANICZONĄ ODPOWIEDZIALNOŚCIĄ"/>
        <s v="WATRONUS SPÓŁKA Z OGRANICZONĄ ODPOWIEDZIALNOŚCIĄ"/>
        <s v="TREMSE SPÓŁKA Z OGRANICZONĄ ODPOWIEDZIALNOŚCIĄ"/>
        <s v="EUROPUS POLSKA SPÓŁKA Z OGRANICZONĄ ODPOWIEDZIALNOŚCIĄ"/>
        <s v="QUATROTUR SPÓŁKA Z OGRANICZONĄ ODPOWIEDZIALNOŚCIĄ"/>
        <s v="BUSINESS INVESTORS GROUP SPÓŁKA Z OGRANICZONĄ ODPOWIEDZIALNOŚCIĄ"/>
        <s v="JTB GROUP SPÓŁKA Z OGRANICZONĄ ODPOWIEDZIALNOŚCIĄ"/>
        <s v="DF NET POLSKA&quot; SPÓŁKA Z OGRANICZONĄ ODPOWIEDZIALNOŚCIĄ"/>
        <s v="KS CORP. SPÓŁKA Z OGRANICZONĄ ODPOWIEDZIALNOŚCIĄ"/>
        <s v="UNIVERSALUS SPÓŁKA Z OGRANICZONĄ ODPOWIEDZIALNOŚCIĄ"/>
        <s v="DRACO SKLEPY SPÓŁKA Z OGRANICZONĄ ODPOWIEDZIALNOŚCIĄ"/>
        <s v="DRACO POLSKA PLUS SPÓŁKA Z OGRANICZONĄ ODPOWIEDZIALNOŚCIĄ"/>
        <s v="AD CENTRUM GROUP SPÓŁKA Z OGRANICZONĄ ODPOWIEDZIALNOŚCIĄ SPÓŁKA KOMANDYTOWA"/>
        <s v="VITACAR SPÓŁKA Z OGRANICZONĄ ODPOWIEDZIALNOŚCIĄ"/>
        <s v="PAM TRADE SPÓŁKA Z OGRANICZONĄ ODPOWIEDZIALNOŚCIĄ"/>
        <s v="LOGOSPEDEX SPÓŁKA Z OGRANICZONĄ ODPOWIEDZIALNOŚCIĄ"/>
        <s v="MAG-BUD SPÓŁKA Z OGRANICZONĄ ODPOWIEDZIALNOŚCIĄ"/>
        <s v="CARGOSPEDEX SPÓŁKA Z OGRANICZONĄ ODPOWIEDZIALNOŚCIĄ"/>
        <s v="OFFICE CARGOSPED SPÓŁKA Z OGRANICZONĄ ODPOWIEDZIALNOŚCIĄ"/>
        <s v="GERWIL CREWING POLAND SPÓŁKA Z OGRANICZONĄ ODPOWIEDZIALNOŚCIĄ"/>
        <s v="AS KOLBERG POLSKA SPÓŁKA Z OGRANICZONĄ ODPOWIEDZIALNOŚCIĄ"/>
        <s v="UNIFELD SPÓŁKA Z OGRANICZONĄ ODPOWIEDZIALNOŚCIĄ"/>
        <s v="COOPER-S TRANS SPÓŁKA Z OGRANICZONĄ ODPOWIEDZIALNOŚCIĄ"/>
        <s v="SILVER WEST SPÓŁKA Z OGRANICZONĄ ODPOWIEDZIALNOŚCIĄ"/>
        <s v="VIP OFFICE SPÓŁKA Z OGRANICZONĄ ODPOWIEDZIALNOŚCIĄ"/>
        <s v="SIGMA SERVICE SPÓŁKA Z OGRANICZONĄ ODPOWIEDZIALNOŚCIĄ"/>
        <s v="EUROFISS SPÓŁKA AKCYJNA"/>
        <s v="FEEDERS SPÓŁKA Z OGRANICZONĄ ODPOWIEDZIALNOŚCIĄ"/>
        <s v="ONE-2-ONE VENTURE MANAGEMENT SPÓŁKA Z OGRANICZONĄ ODPOWIEDZIALNOŚCIĄ"/>
        <s v="ADAXA SPÓŁKA Z OGRANICZONĄ ODPOWIEDZIALNOŚCIĄ"/>
        <s v="WINTRA SPÓŁKA Z OGRANICZONĄ ODPOWIEDZIALNOŚCIĄ"/>
        <s v="FUNDACJA CASTELLUM"/>
        <s v="BLOKAUD SPÓŁKA Z OGRANICZONĄ ODPOWIEDZIALNOŚCIĄ"/>
        <s v="ECOLINE SPÓŁKA Z OGRANICZONĄ ODPOWIEDZIALNOŚCIĄ"/>
        <s v="TRAXTER SPÓŁKA Z OGRANICZONĄ ODPOWIEDZIALNOŚCIĄ"/>
        <s v="BARDENS SPÓŁKA Z OGRANICZONĄ ODPOWIEDZIALNOŚCIĄ"/>
        <s v="FEDRUM SPÓŁKA Z OGRANICZONĄ ODPOWIEDZIALNOŚCIĄ"/>
        <s v="WELLER SPÓŁKA Z OGRANICZONĄ ODPOWIEDZIALNOŚCIĄ"/>
        <s v="HOOX SPÓŁKA Z OGRANICZONĄ ODPOWIEDZIALNOŚCIĄ"/>
        <s v="SPEED QUALITY SPÓŁKA Z OGRANICZONĄ ODPOWIEDZIALNOŚCIĄ"/>
        <s v="RAC GROUP SPÓŁKA Z OGRANICZONĄ ODPOWIEDZIALNOŚCIĄ"/>
        <s v="MICHANEX SPÓŁKA Z OGRANICZONĄ ODPOWIEDZIALNOŚCIĄ"/>
        <s v="HB - 2000 SPÓŁKA Z OGRANICZONĄ ODPOWIEDZIALNOŚCIĄ"/>
        <s v="SM TRADE SPÓŁKA Z OGRANICZONĄ ODPOWIEDZIALNOŚCIĄ"/>
        <s v="STM PETROL SPÓŁKA Z OGRANICZONĄ ODPOWIEDZIALNOŚCIĄ"/>
        <s v="HOBER SPÓŁKA Z OGRANICZONĄ ODPOWIEDZIALNOŚCIĄ"/>
        <s v="LONG-TIR SPÓŁKA Z OGRANICZONĄ ODPOWIEDZIALNOŚCIĄ"/>
        <s v="WACOIL SPÓŁKA Z OGRANICZONĄ ODPOWIEDZIALNOŚCIĄ"/>
        <s v="ENERE AGRO SPÓŁKA Z OGRANICZONĄ ODPOWIEDZIALNOŚCIĄ"/>
        <s v="FAST COMMUNICATIONS SPÓŁKA Z OGRANICZONĄ ODPOWIEDZIALNOŚCIĄ"/>
        <s v="MAXONET SPÓŁKA Z OGRANICZONĄ ODPOWIEDZIALNOŚCIĄ"/>
        <s v="VALEOTECH GROUP SPÓŁKA Z OGRANICZONĄ ODPOWIEDZIALNOŚCIĄ"/>
        <s v="RAF MED SPÓŁKA Z OGRANICZONĄ ODPOWIEDZIALNOŚCIĄ"/>
        <s v="COMMUNICATION WORLD SPÓŁKA Z OGRANICZONĄ ODPOWIEDZIALNOŚCIĄ"/>
        <s v="CENTRUM METOD INNOWACYJNYCH SPÓŁKA Z OGRANICZONĄ ODPOWIEDZIALNOŚCIĄ"/>
        <s v="MD GROUP SPÓŁKA Z OGRANICZONĄ ODPOWIEDZIALNOŚCIĄ"/>
        <s v="EXER SPÓŁKA Z OGRANICZONĄ ODPOWIEDZIALNOŚCIĄ"/>
        <s v="JUKKI TRADING SPÓŁKA Z OGRANICZONĄ ODPOWIEDZIALNOŚCIĄ"/>
        <s v="ANNTO SPÓŁKA Z OGRANICZONĄ ODPOWIEDZIALNOŚCIĄ SPÓŁKA KOMANDYTOWA"/>
        <s v="FLAMEX SPÓŁKA Z OGRANICZONĄ ODPOWIEDZIALNOŚCIĄ"/>
        <s v="NAFTOLAND SPÓŁKA Z OGRANICZONĄ ODPOWIEDZIALNOŚCIĄ"/>
        <s v="PL 1000 SPÓŁKA Z OGRANICZONĄ ODPOWIEDZIALNOŚCIĄ"/>
        <s v="WEX SPÓŁKA Z OGRANICZONĄ ODPOWIEDZIALNOŚCIĄ"/>
        <s v="WIMPLEX SPÓŁKA Z OGRANICZONĄ ODPOWIEDZIALNOŚCIĄ"/>
        <s v="PERITO SPÓŁKA Z OGRANICZONĄ ODPOWIEDZIALNOŚCIĄ"/>
        <s v="MODRI SPÓŁKA Z OGRANICZONĄ ODPOWIEDZIALNOŚCIĄ"/>
        <s v="EKOBUT EUROPA SPÓŁKA Z OGRANICZONĄ ODPOWIEDZIALNOŚCIĄ"/>
        <s v="LIDERSPED SPÓŁKA Z OGRANICZONĄ ODPOWIEDZIALNOŚCIĄ"/>
        <s v="TROMA SPÓŁKA Z OGRANICZONĄ ODPOWIEDZIALNOŚCIĄ"/>
        <s v="BUDRAM SPÓŁKA Z OGRANICZONĄ ODPOWIEDZIALNOŚCIĄ"/>
        <s v="DORAX SPÓŁKA Z OGRANICZONĄ ODPOWIEDZIALNOŚCIĄ"/>
        <s v="MAKFOL SPÓŁKA Z OGRANICZONĄ ODPOWIEDZIALNOŚCIĄ"/>
        <s v="HABREX SPÓŁKA Z OGRANICZONĄ ODPOWIEDZIALNOŚCIĄ"/>
        <s v="DANLER SPÓŁKA Z OGRANICZONĄ ODPOWIEDZIALNOŚCIĄ"/>
        <s v="LUNAX SPÓŁKA Z OGRANICZONĄ ODPOWIEDZIALNOŚCIĄ"/>
        <s v="PC-STAR SPÓŁKA Z OGRANICZONĄ ODPOWIEDZIALNOŚCIĄ"/>
        <s v="HOH SPÓŁKA Z OGRANICZONĄ ODPOWIEDZIALNOŚCIĄ"/>
        <s v="H1H SPÓŁKA Z OGRANICZONĄ ODPOWIEDZIALNOŚCIĄ"/>
        <s v="LUXURY HOUSE SPÓŁKA Z OGRANICZONĄ ODPOWIEDZIALNOŚCIĄ"/>
        <s v="ETERNAL FLAMES SPÓŁKA Z OGRANICZONĄ ODPOWIEDZIALNOŚCIĄ"/>
        <s v="GUT - KLA SPÓŁKA Z OGRANICZONĄ ODPOWIEDZIALNOŚCIĄ"/>
        <s v="PLEXIA SPÓŁKA Z OGRANICZONĄ ODPOWIEDZIALNOŚCIĄ"/>
        <s v="E - BOKS SPÓŁKA Z OGRANICZONĄ ODPOWIEDZIALNOŚCIĄ"/>
        <s v="OPEN-FOX SPÓŁKA Z OGRANICZONĄ ODPOWIEDZIALNOŚCIĄ"/>
        <s v="UNDERWRITING SPÓŁKA Z OGRANICZONĄ ODPOWIEDZIALNOŚCIĄ"/>
        <s v="KATO SPÓŁKA Z OGRANICZONĄ ODPOWIEDZIALNOŚCIĄ"/>
        <s v="NB-1000 SPÓŁKA Z OGRANICZONĄ ODPOWIEDZIALNOŚCIĄ"/>
        <s v="2A2 SPÓŁKA Z OGRANICZONĄ ODPOWIEDZIALNOŚCIĄ"/>
        <s v="POLONIAC SPÓŁKA Z OGRANICZONĄ ODPOWIEDZIALNOŚCIĄ"/>
        <s v="WHITE DRAGON SPÓŁKA Z OGRANICZONĄ ODPOWIEDZIALNOŚCIĄ"/>
        <s v="BSE TRADE SPÓŁKA Z OGRANICZONĄ ODPOWIEDZIALNOŚCIĄ"/>
        <s v="NORTH HOLDING SPÓŁKA Z OGRANICZONĄ ODPOWIEDZIALNOŚCIĄ"/>
        <s v="EAST HOLDING SPÓŁKA Z OGRANICZONĄ ODPOWIEDZIALNOŚCIĄ"/>
        <s v="MORINS SPÓŁKA Z OGRANICZONĄ ODPOWIEDZIALNOŚCIĄ"/>
        <s v="LORENA SPÓŁKA Z OGRANICZONĄ ODPOWIEDZIALNOŚCIĄ"/>
        <s v="WERDEN SPÓŁKA Z OGRANICZONĄ ODPOWIEDZIALNOŚCIĄ"/>
        <s v="UK-POL PARTNER SPÓŁKA Z OGRANICZONĄ ODPOWIEDZIALNOŚCIĄ"/>
        <s v="SKP POLSKA SPÓŁKA Z OGRANICZONĄ ODPOWIEDZIALNOŚCIĄ"/>
        <s v="AB-DATA SPÓŁKA Z OGRANICZONĄ ODPOWIEDZIALNOŚCIĄ"/>
        <s v="FONETIA SPÓŁKA Z OGRANICZONĄ ODPOWIEDZIALNOŚCIĄ W LIKWIDACJI"/>
        <s v="DELIKATIA SPÓŁKA Z OGRANICZONĄ ODPOWIEDZIALNOŚCIĄ W LIKWIDACJI"/>
        <s v="NEOBOX SPÓŁKA Z OGRANICZONĄ ODPOWIEDZIALNOŚCIĄ"/>
        <s v="NEOXEN SPÓŁKA Z OGRANICZONĄ ODPOWIEDZIALNOŚCIĄ"/>
        <s v="PLAY INVEST SPÓŁKA Z OGRANICZONĄ ODPOWIEDZIALNOŚCIĄ"/>
        <s v="OPEN-MEDIC SPÓŁKA Z OGRANICZONĄ ODPOWIEDZIALNOŚCIĄ"/>
        <s v="BORAWSKI MAJCHRZAK BRANDT CONSULTING SPÓŁKA JAWNA"/>
        <s v="OPEN-INSTAL SPÓŁKA Z OGRANICZONĄ ODPOWIEDZIALNOŚCIĄ"/>
        <s v="NEOLEX SPÓŁKA Z OGRANICZONĄ ODPOWIEDZIALNOŚCIĄ"/>
        <s v="GALEONEX SPÓŁKA Z OGRANICZONĄ ODPOWIEDZIALNOŚCIĄ"/>
        <s v="ALFAX SPÓŁKA Z OGRANICZONĄ ODPOWIEDZIALNOŚCIĄ"/>
        <s v="NITRUM SPÓŁKA Z OGRANICZONĄ ODPOWIEDZIALNOŚCIĄ"/>
        <s v="EXONA SPÓŁKA Z OGRANICZONĄ ODPOWIEDZIALNOŚCIĄ"/>
        <s v="ITX SPÓŁKA Z OGRANICZONĄ ODPOWIEDZIALNOŚCIĄ"/>
        <s v="PREDOX SPÓŁKA Z OGRANICZONĄ ODPOWIEDZIALNOŚCIĄ"/>
        <s v="PENBAL SPÓŁKA Z OGRANICZONĄ ODPOWIEDZIALNOŚCIĄ"/>
        <s v="TRADE - LUX SPÓŁKA Z OGRANICZONĄ ODPOWIEDZIALNOŚCIĄ"/>
        <s v="RED WEST SPÓŁKA Z OGRANICZONĄ ODPOWIEDZIALNOŚCIĄ"/>
        <s v="SINTEL SPÓŁKA Z OGRANICZONĄ ODPOWIEDZIALNOŚCIĄ"/>
        <s v="BANITEX SPÓŁKA Z OGRANICZONĄ ODPOWIEDZIALNOŚCIĄ"/>
        <s v="PETRO CARD POLSKA SPÓŁKA Z OGRANICZONĄ ODPOWIEDZIALNOŚCIĄ"/>
        <s v="TORPET SPÓŁKA Z OGRANICZONĄ ODPOWIEDZIALNOŚCIĄ"/>
        <s v="ORIONEX SPÓŁKA Z OGRANICZONĄ ODPOWIEDZIALNOŚCIĄ"/>
        <s v="WINTEREX SPÓŁKA Z OGRANICZONĄ ODPOWIEDZIALNOŚCIĄ"/>
        <s v="TRANSPORTAL SPÓŁKA Z OGRANICZONĄ ODPOWIEDZIALNOŚCIĄ"/>
        <s v="SZYM-KAR SPÓŁKA Z OGRANICZONĄ ODPOWIEDZIALNOŚCIĄ"/>
        <s v="OFFICE TRADER SPÓŁKA Z OGRANICZONĄ ODPOWIEDZIALNOŚCIĄ"/>
        <s v="GREEN SUN SPÓŁKA Z OGRANICZONĄ ODPOWIEDZIALNOŚCIĄ"/>
        <s v="SANATUS SPÓŁKA Z OGRANICZONĄ ODPOWIEDZIALNOŚCIĄ"/>
        <s v="SKALOP SPÓŁKA Z OGRANICZONĄ ODPOWIEDZIALNOŚCIĄ"/>
        <s v="BEST TRANS IDEA SPÓŁKA Z OGRANICZONĄ ODPOWIEDZIALNOŚCIĄ"/>
        <s v="IXON SPÓŁKA Z OGRANICZONĄ ODPOWIEDZIALNOŚCIĄ"/>
        <s v="BLACK STOP SPÓŁKA Z OGRANICZONĄ ODPOWIEDZIALNOŚCIĄ"/>
        <s v="STRZELECKI ANDRZEJ"/>
        <s v="JULITA NISZCZAK. USŁUGI TERAPEUTYCZNO-PEDAGOGICZNE. PROFILAKTYKA ZDROWIA."/>
        <s v="GAYA MAŁGORZATA PIECHNIK"/>
        <s v="BAR DWORCOWY PKP WE WRZEŚNI CECYLIA FILIPCZAK"/>
        <s v="WAKHAN Małgorzata Wasielewska"/>
        <s v="TAXI Prestiż Piotr Wojdak"/>
        <s v="NATALIA KUJAWA"/>
        <s v="FIRMA HANDLOWO USŁUGOWA &quot;CHIPS&quot; STANISŁAW OKONIEWSKI"/>
        <s v="REMAX JÓŚCIAK CEZARY"/>
        <s v="STRZELNICA Z WIATRÓWKI &quot;KOLEJARZ&quot; KRYSTYNA PACYŃSKA"/>
        <s v="STRZELNICA Z WIATRÓWKI &quot;KOLEJARZ&quot; MACIEJ PACYŃSKI"/>
        <s v="TOP DARIA JÓŚCIAK"/>
        <s v="AGENT UBEZPIECZENIOWY ELŻBIETA JÓŚCIAK"/>
        <s v="USŁUGI REMONTOWO-BUDOWLANE KRZYSZTOF NISZCZAK"/>
        <s v="TRANS-ROZZAKŁAD TRANSPORT.-ROZŁADUNKOWY SP.C. ŚWIĘCH K.-MIŁOSZEWSKI J."/>
        <s v="EKO-MIŚ S.C. JÓŚCIAK ELŻBIETA,JÓŚCIAK CEZARY"/>
        <s v="KORYTOWSKI BOGUSŁAW PRZEDSIĘBIORSTWO HANDLOWE GUMIX"/>
        <s v="HANDEL OBWOŹNY AGNIESZKA DOWHUN"/>
        <s v="PRZEDSIĘBIORSTWO WIELOBRANŻOWE LESZEK ŻEŁABOWSKI"/>
        <s v="PRZEDSIĘBIORSTWO WYDAWNICZO-HANDLOWE ZBIGNIEW OWCZARZAK"/>
        <s v="SKALA PRZEDSIĘBIORSTWO HANDLOWO-PRODUKCYJNE"/>
        <s v="ZAKŁAD PRPDUKCJI SPOŻYWCZEJ &quot;SMAK&quot;"/>
        <s v="P.P.H.U.&quot;MARS BIS&quot; JERZY KOROBOW"/>
        <s v="PRZEDSIĘBIORSTWO USŁUGOWO-HANDLOWE &quot;INSTAL-ELECTRONIC&quot; ZBIGNIEW SZABELSKI, HENRYK ŻEBRYK SPÓŁKA CYWILNA"/>
        <s v="BIURO WYCENY I NADZORÓW &quot;PRO-TECH&quot; ZBIGNIEW PRUSZYŃSKI"/>
        <s v="EKO-FALA S.C. ANNA HEŁMINIAK-PRUSZYŃSKA, MARIUSZ PRUSZYŃSKI"/>
        <s v="TAKSÓWKA OSOBOWA NR 278 JAN HURYŃ"/>
        <s v="TAKSÓWKA NR 474 MICHAŁ SZELIGA"/>
        <s v="SPRZEDAŻ HURTOWA I DETALICZNA DROBIU &quot;KON-MARK&quot; MAREK WASZKIEWICZ"/>
        <s v="TWÓJ MIX ZBIGNIEW PIETRZYKOWSKI"/>
        <s v="JA-SO JACEK SOKALSKI"/>
        <s v="OPTIPROJEKT DOMINIK MUCHOWSKI"/>
        <s v="Emilia Szmigielska"/>
        <s v="RAFTEC BOŻENA SIMON"/>
        <s v="HURTOWNIA ELEKTRYK HUBERT DANIELCZYK"/>
        <s v="MAX-TEL, TELEFONY KOMÓRKOWE TOMASZ BŁASZCZYK"/>
        <s v="APIS KRYSTIAN MARKOWSKI"/>
        <s v="ROBERT CZYŻAK"/>
        <s v="PRZESIĘBIORSTWO HANDLOWO-USŁUGOWE &quot;SHELLAN&quot; ANDRZEJ SADZIK"/>
        <s v="SKLEP Z ODZIEŻĄ UŻYWANĄ BOŻENA BURLIŃSKA"/>
        <s v="ARTKAMI KAMILA WASZKIEWICZ"/>
        <s v="USŁUGI PORZĄDKOWE - BARBARA JEŁKASZEW"/>
      </sharedItems>
    </cacheField>
    <cacheField name="Regon" numFmtId="1">
      <sharedItems containsSemiMixedTypes="0" containsString="0" containsNumber="1" containsInteger="1" minValue="203899" maxValue="978117590003"/>
    </cacheField>
    <cacheField name="Typ" numFmtId="0">
      <sharedItems count="4">
        <s v="F"/>
        <s v="P"/>
        <s v="LF"/>
        <s v="LP"/>
      </sharedItems>
    </cacheField>
    <cacheField name="Data usunięcia z systemu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7">
  <r>
    <x v="0"/>
    <n v="2008151"/>
    <x v="0"/>
    <s v="-"/>
  </r>
  <r>
    <x v="1"/>
    <n v="2019436"/>
    <x v="0"/>
    <s v="2013-01-07"/>
  </r>
  <r>
    <x v="2"/>
    <n v="2061568"/>
    <x v="0"/>
    <s v="2011-01-24"/>
  </r>
  <r>
    <x v="3"/>
    <n v="2109823"/>
    <x v="0"/>
    <s v="2016-07-06"/>
  </r>
  <r>
    <x v="4"/>
    <n v="2191168"/>
    <x v="0"/>
    <s v="2014-05-13"/>
  </r>
  <r>
    <x v="5"/>
    <n v="2201296"/>
    <x v="0"/>
    <s v="-"/>
  </r>
  <r>
    <x v="6"/>
    <n v="2203576"/>
    <x v="0"/>
    <s v="2016-07-13"/>
  </r>
  <r>
    <x v="7"/>
    <n v="2249210"/>
    <x v="0"/>
    <s v="2016-09-28"/>
  </r>
  <r>
    <x v="8"/>
    <n v="23040999"/>
    <x v="0"/>
    <s v="2009-02-10"/>
  </r>
  <r>
    <x v="9"/>
    <n v="23084392"/>
    <x v="0"/>
    <s v="2010-03-02"/>
  </r>
  <r>
    <x v="10"/>
    <n v="23108642"/>
    <x v="0"/>
    <s v="2010-06-29"/>
  </r>
  <r>
    <x v="11"/>
    <n v="53239008"/>
    <x v="0"/>
    <s v="2009-05-21"/>
  </r>
  <r>
    <x v="12"/>
    <n v="2087966"/>
    <x v="1"/>
    <s v="-"/>
  </r>
  <r>
    <x v="13"/>
    <n v="2092877"/>
    <x v="1"/>
    <s v="-"/>
  </r>
  <r>
    <x v="14"/>
    <n v="23005016"/>
    <x v="1"/>
    <s v="-"/>
  </r>
  <r>
    <x v="15"/>
    <n v="97132022"/>
    <x v="1"/>
    <s v="2013-12-16"/>
  </r>
  <r>
    <x v="16"/>
    <n v="20554160007"/>
    <x v="2"/>
    <s v="2015-02-03"/>
  </r>
  <r>
    <x v="17"/>
    <n v="21264720003"/>
    <x v="2"/>
    <s v="2016-11-03"/>
  </r>
  <r>
    <x v="18"/>
    <n v="21338890002"/>
    <x v="2"/>
    <s v="2016-09-29"/>
  </r>
  <r>
    <x v="19"/>
    <n v="21484950002"/>
    <x v="2"/>
    <s v="-"/>
  </r>
  <r>
    <x v="20"/>
    <n v="230018360003"/>
    <x v="2"/>
    <s v="-"/>
  </r>
  <r>
    <x v="21"/>
    <n v="230184330018"/>
    <x v="2"/>
    <s v="-"/>
  </r>
  <r>
    <x v="22"/>
    <n v="230456480005"/>
    <x v="2"/>
    <s v="-"/>
  </r>
  <r>
    <x v="23"/>
    <n v="230831400003"/>
    <x v="2"/>
    <s v="-"/>
  </r>
  <r>
    <x v="24"/>
    <n v="230939400006"/>
    <x v="2"/>
    <s v="-"/>
  </r>
  <r>
    <x v="25"/>
    <n v="231093660015"/>
    <x v="2"/>
    <s v="-"/>
  </r>
  <r>
    <x v="26"/>
    <n v="302857630003"/>
    <x v="2"/>
    <s v="2015-01-05"/>
  </r>
  <r>
    <x v="27"/>
    <n v="630187930013"/>
    <x v="2"/>
    <s v="2016-09-21"/>
  </r>
  <r>
    <x v="28"/>
    <n v="930921570004"/>
    <x v="2"/>
    <s v="2015-02-20"/>
  </r>
  <r>
    <x v="29"/>
    <n v="9004341"/>
    <x v="0"/>
    <s v="2001-05-02"/>
  </r>
  <r>
    <x v="30"/>
    <n v="9048196"/>
    <x v="0"/>
    <s v="2011-03-21"/>
  </r>
  <r>
    <x v="31"/>
    <n v="9049594"/>
    <x v="0"/>
    <s v="2008-02-18"/>
  </r>
  <r>
    <x v="32"/>
    <n v="9057590"/>
    <x v="0"/>
    <s v="-"/>
  </r>
  <r>
    <x v="33"/>
    <n v="9113890"/>
    <x v="0"/>
    <s v="-"/>
  </r>
  <r>
    <x v="34"/>
    <n v="9114495"/>
    <x v="0"/>
    <s v="2009-08-21"/>
  </r>
  <r>
    <x v="35"/>
    <n v="9116222"/>
    <x v="0"/>
    <s v="2011-01-28"/>
  </r>
  <r>
    <x v="36"/>
    <n v="9127321"/>
    <x v="0"/>
    <s v="-"/>
  </r>
  <r>
    <x v="37"/>
    <n v="9136892"/>
    <x v="0"/>
    <s v="2002-03-12"/>
  </r>
  <r>
    <x v="38"/>
    <n v="9140191"/>
    <x v="0"/>
    <s v="-"/>
  </r>
  <r>
    <x v="39"/>
    <n v="9141873"/>
    <x v="0"/>
    <s v="-"/>
  </r>
  <r>
    <x v="40"/>
    <n v="9155822"/>
    <x v="0"/>
    <s v="2006-08-02"/>
  </r>
  <r>
    <x v="41"/>
    <n v="9162777"/>
    <x v="0"/>
    <s v="1998-12-14"/>
  </r>
  <r>
    <x v="42"/>
    <n v="9235988"/>
    <x v="0"/>
    <s v="-"/>
  </r>
  <r>
    <x v="43"/>
    <n v="9250839"/>
    <x v="0"/>
    <s v="-"/>
  </r>
  <r>
    <x v="44"/>
    <n v="9257291"/>
    <x v="0"/>
    <s v="-"/>
  </r>
  <r>
    <x v="45"/>
    <n v="9257474"/>
    <x v="0"/>
    <s v="-"/>
  </r>
  <r>
    <x v="46"/>
    <n v="9283914"/>
    <x v="0"/>
    <s v="2001-05-15"/>
  </r>
  <r>
    <x v="47"/>
    <n v="9283915"/>
    <x v="0"/>
    <s v="-"/>
  </r>
  <r>
    <x v="46"/>
    <n v="9283916"/>
    <x v="0"/>
    <s v="-"/>
  </r>
  <r>
    <x v="46"/>
    <n v="9283917"/>
    <x v="0"/>
    <s v="-"/>
  </r>
  <r>
    <x v="46"/>
    <n v="9283918"/>
    <x v="0"/>
    <s v="-"/>
  </r>
  <r>
    <x v="46"/>
    <n v="9283919"/>
    <x v="0"/>
    <s v="-"/>
  </r>
  <r>
    <x v="46"/>
    <n v="9283921"/>
    <x v="0"/>
    <s v="2001-05-15"/>
  </r>
  <r>
    <x v="46"/>
    <n v="9283922"/>
    <x v="0"/>
    <s v="2013-04-18"/>
  </r>
  <r>
    <x v="46"/>
    <n v="9283923"/>
    <x v="0"/>
    <s v="-"/>
  </r>
  <r>
    <x v="46"/>
    <n v="9283924"/>
    <x v="0"/>
    <s v="2001-05-15"/>
  </r>
  <r>
    <x v="46"/>
    <n v="9283925"/>
    <x v="0"/>
    <s v="-"/>
  </r>
  <r>
    <x v="46"/>
    <n v="9283926"/>
    <x v="0"/>
    <s v="-"/>
  </r>
  <r>
    <x v="46"/>
    <n v="9283927"/>
    <x v="0"/>
    <s v="-"/>
  </r>
  <r>
    <x v="46"/>
    <n v="9283928"/>
    <x v="0"/>
    <s v="-"/>
  </r>
  <r>
    <x v="48"/>
    <n v="9283929"/>
    <x v="0"/>
    <s v="-"/>
  </r>
  <r>
    <x v="46"/>
    <n v="9283930"/>
    <x v="0"/>
    <s v="-"/>
  </r>
  <r>
    <x v="46"/>
    <n v="9283931"/>
    <x v="0"/>
    <s v="-"/>
  </r>
  <r>
    <x v="49"/>
    <n v="9283932"/>
    <x v="0"/>
    <s v="-"/>
  </r>
  <r>
    <x v="46"/>
    <n v="9283933"/>
    <x v="0"/>
    <s v="-"/>
  </r>
  <r>
    <x v="50"/>
    <n v="9299910"/>
    <x v="0"/>
    <s v="-"/>
  </r>
  <r>
    <x v="51"/>
    <n v="9300260"/>
    <x v="0"/>
    <s v="-"/>
  </r>
  <r>
    <x v="52"/>
    <n v="9305690"/>
    <x v="0"/>
    <s v="-"/>
  </r>
  <r>
    <x v="53"/>
    <n v="9308256"/>
    <x v="0"/>
    <s v="-"/>
  </r>
  <r>
    <x v="46"/>
    <n v="9308990"/>
    <x v="0"/>
    <s v="-"/>
  </r>
  <r>
    <x v="54"/>
    <n v="9309410"/>
    <x v="0"/>
    <s v="-"/>
  </r>
  <r>
    <x v="46"/>
    <n v="9310082"/>
    <x v="0"/>
    <s v="-"/>
  </r>
  <r>
    <x v="46"/>
    <n v="9310132"/>
    <x v="0"/>
    <s v="-"/>
  </r>
  <r>
    <x v="46"/>
    <n v="9310150"/>
    <x v="0"/>
    <s v="2011-03-21"/>
  </r>
  <r>
    <x v="55"/>
    <n v="9313302"/>
    <x v="0"/>
    <s v="-"/>
  </r>
  <r>
    <x v="56"/>
    <n v="9316025"/>
    <x v="0"/>
    <s v="-"/>
  </r>
  <r>
    <x v="57"/>
    <n v="34014176"/>
    <x v="0"/>
    <s v="-"/>
  </r>
  <r>
    <x v="58"/>
    <n v="34014350"/>
    <x v="0"/>
    <s v="-"/>
  </r>
  <r>
    <x v="59"/>
    <n v="34044062"/>
    <x v="0"/>
    <s v="2014-12-03"/>
  </r>
  <r>
    <x v="60"/>
    <n v="34050162"/>
    <x v="0"/>
    <s v="-"/>
  </r>
  <r>
    <x v="61"/>
    <n v="34062339"/>
    <x v="0"/>
    <s v="-"/>
  </r>
  <r>
    <x v="62"/>
    <n v="34071850"/>
    <x v="0"/>
    <s v="-"/>
  </r>
  <r>
    <x v="63"/>
    <n v="34081835"/>
    <x v="0"/>
    <s v="-"/>
  </r>
  <r>
    <x v="64"/>
    <n v="34120777"/>
    <x v="0"/>
    <s v="2016-05-17"/>
  </r>
  <r>
    <x v="65"/>
    <n v="34135729"/>
    <x v="0"/>
    <s v="-"/>
  </r>
  <r>
    <x v="66"/>
    <n v="34145535"/>
    <x v="0"/>
    <s v="-"/>
  </r>
  <r>
    <x v="67"/>
    <n v="34158148"/>
    <x v="0"/>
    <s v="-"/>
  </r>
  <r>
    <x v="68"/>
    <n v="34162860"/>
    <x v="0"/>
    <s v="2014-10-20"/>
  </r>
  <r>
    <x v="69"/>
    <n v="36034403"/>
    <x v="0"/>
    <s v="-"/>
  </r>
  <r>
    <x v="70"/>
    <n v="36046617"/>
    <x v="0"/>
    <s v="2015-04-30"/>
  </r>
  <r>
    <x v="71"/>
    <n v="36048411"/>
    <x v="0"/>
    <s v="-"/>
  </r>
  <r>
    <x v="72"/>
    <n v="36147653"/>
    <x v="0"/>
    <s v="-"/>
  </r>
  <r>
    <x v="73"/>
    <n v="36284405"/>
    <x v="0"/>
    <s v="-"/>
  </r>
  <r>
    <x v="74"/>
    <n v="36387990"/>
    <x v="0"/>
    <s v="-"/>
  </r>
  <r>
    <x v="75"/>
    <n v="36390492"/>
    <x v="0"/>
    <s v="-"/>
  </r>
  <r>
    <x v="76"/>
    <n v="36517612"/>
    <x v="0"/>
    <s v="-"/>
  </r>
  <r>
    <x v="77"/>
    <n v="252188"/>
    <x v="1"/>
    <s v="-"/>
  </r>
  <r>
    <x v="78"/>
    <n v="9234415"/>
    <x v="1"/>
    <s v="-"/>
  </r>
  <r>
    <x v="79"/>
    <n v="34056451"/>
    <x v="1"/>
    <s v="-"/>
  </r>
  <r>
    <x v="80"/>
    <n v="34130359"/>
    <x v="1"/>
    <s v="-"/>
  </r>
  <r>
    <x v="81"/>
    <n v="12340010007"/>
    <x v="2"/>
    <s v="-"/>
  </r>
  <r>
    <x v="44"/>
    <n v="92572910003"/>
    <x v="2"/>
    <s v="-"/>
  </r>
  <r>
    <x v="46"/>
    <n v="92839150001"/>
    <x v="2"/>
    <s v="-"/>
  </r>
  <r>
    <x v="82"/>
    <n v="93082560002"/>
    <x v="2"/>
    <s v="2014-12-03"/>
  </r>
  <r>
    <x v="54"/>
    <n v="93094100002"/>
    <x v="2"/>
    <s v="-"/>
  </r>
  <r>
    <x v="83"/>
    <n v="93121960004"/>
    <x v="2"/>
    <s v="2015-02-03"/>
  </r>
  <r>
    <x v="84"/>
    <n v="314016"/>
    <x v="0"/>
    <s v="2011-03-21"/>
  </r>
  <r>
    <x v="85"/>
    <n v="314129"/>
    <x v="0"/>
    <s v="2011-09-07"/>
  </r>
  <r>
    <x v="86"/>
    <n v="835324"/>
    <x v="0"/>
    <s v="2008-10-28"/>
  </r>
  <r>
    <x v="87"/>
    <n v="835479"/>
    <x v="0"/>
    <s v="-"/>
  </r>
  <r>
    <x v="88"/>
    <n v="8002353"/>
    <x v="0"/>
    <s v="-"/>
  </r>
  <r>
    <x v="89"/>
    <n v="8002882"/>
    <x v="0"/>
    <s v="-"/>
  </r>
  <r>
    <x v="90"/>
    <n v="8003506"/>
    <x v="0"/>
    <s v="2006-05-29"/>
  </r>
  <r>
    <x v="91"/>
    <n v="8005411"/>
    <x v="0"/>
    <s v="-"/>
  </r>
  <r>
    <x v="92"/>
    <n v="8005948"/>
    <x v="0"/>
    <s v="-"/>
  </r>
  <r>
    <x v="93"/>
    <n v="8006151"/>
    <x v="0"/>
    <s v="-"/>
  </r>
  <r>
    <x v="94"/>
    <n v="8008881"/>
    <x v="0"/>
    <s v="2011-03-08"/>
  </r>
  <r>
    <x v="95"/>
    <n v="8009682"/>
    <x v="0"/>
    <s v="2011-06-16"/>
  </r>
  <r>
    <x v="96"/>
    <n v="8011005"/>
    <x v="0"/>
    <s v="2014-06-24"/>
  </r>
  <r>
    <x v="97"/>
    <n v="8012719"/>
    <x v="0"/>
    <s v="-"/>
  </r>
  <r>
    <x v="98"/>
    <n v="8013536"/>
    <x v="0"/>
    <s v="-"/>
  </r>
  <r>
    <x v="99"/>
    <n v="8014070"/>
    <x v="0"/>
    <s v="2016-01-19"/>
  </r>
  <r>
    <x v="100"/>
    <n v="8014112"/>
    <x v="0"/>
    <s v="-"/>
  </r>
  <r>
    <x v="101"/>
    <n v="8014506"/>
    <x v="0"/>
    <s v="-"/>
  </r>
  <r>
    <x v="102"/>
    <n v="8017159"/>
    <x v="0"/>
    <s v="2011-02-16"/>
  </r>
  <r>
    <x v="103"/>
    <n v="8017456"/>
    <x v="0"/>
    <s v="-"/>
  </r>
  <r>
    <x v="104"/>
    <n v="8017710"/>
    <x v="0"/>
    <s v="2009-08-14"/>
  </r>
  <r>
    <x v="105"/>
    <n v="8018130"/>
    <x v="0"/>
    <s v="2009-02-06"/>
  </r>
  <r>
    <x v="106"/>
    <n v="8019635"/>
    <x v="0"/>
    <s v="2009-03-05"/>
  </r>
  <r>
    <x v="107"/>
    <n v="8020318"/>
    <x v="0"/>
    <s v="-"/>
  </r>
  <r>
    <x v="108"/>
    <n v="609818"/>
    <x v="0"/>
    <s v="2003-07-23"/>
  </r>
  <r>
    <x v="109"/>
    <n v="829489"/>
    <x v="0"/>
    <s v="2004-05-28"/>
  </r>
  <r>
    <x v="110"/>
    <n v="8001095"/>
    <x v="0"/>
    <s v="-"/>
  </r>
  <r>
    <x v="111"/>
    <n v="8003940"/>
    <x v="0"/>
    <s v="2006-12-15"/>
  </r>
  <r>
    <x v="112"/>
    <n v="8004484"/>
    <x v="0"/>
    <s v="2010-04-20"/>
  </r>
  <r>
    <x v="113"/>
    <n v="8004734"/>
    <x v="0"/>
    <s v="2016-08-17"/>
  </r>
  <r>
    <x v="114"/>
    <n v="8008031"/>
    <x v="0"/>
    <s v="2015-02-27"/>
  </r>
  <r>
    <x v="115"/>
    <n v="8008492"/>
    <x v="0"/>
    <s v="2015-01-14"/>
  </r>
  <r>
    <x v="116"/>
    <n v="8008547"/>
    <x v="0"/>
    <s v="2015-02-06"/>
  </r>
  <r>
    <x v="117"/>
    <n v="8009111"/>
    <x v="0"/>
    <s v="-"/>
  </r>
  <r>
    <x v="118"/>
    <n v="8011001"/>
    <x v="0"/>
    <s v="2008-12-15"/>
  </r>
  <r>
    <x v="119"/>
    <n v="8011861"/>
    <x v="0"/>
    <s v="2015-04-07"/>
  </r>
  <r>
    <x v="120"/>
    <n v="8014611"/>
    <x v="0"/>
    <s v="2009-03-05"/>
  </r>
  <r>
    <x v="121"/>
    <n v="8014827"/>
    <x v="0"/>
    <s v="2009-06-22"/>
  </r>
  <r>
    <x v="122"/>
    <n v="8015351"/>
    <x v="0"/>
    <s v="-"/>
  </r>
  <r>
    <x v="123"/>
    <n v="8018121"/>
    <x v="0"/>
    <s v="-"/>
  </r>
  <r>
    <x v="124"/>
    <n v="8019317"/>
    <x v="0"/>
    <s v="-"/>
  </r>
  <r>
    <x v="125"/>
    <n v="8021982"/>
    <x v="0"/>
    <s v="-"/>
  </r>
  <r>
    <x v="126"/>
    <n v="8024847"/>
    <x v="0"/>
    <s v="2013-07-15"/>
  </r>
  <r>
    <x v="127"/>
    <n v="8025057"/>
    <x v="0"/>
    <s v="2010-05-12"/>
  </r>
  <r>
    <x v="128"/>
    <n v="8025571"/>
    <x v="0"/>
    <s v="-"/>
  </r>
  <r>
    <x v="129"/>
    <n v="8028373"/>
    <x v="0"/>
    <s v="-"/>
  </r>
  <r>
    <x v="130"/>
    <n v="8028408"/>
    <x v="0"/>
    <s v="2010-10-07"/>
  </r>
  <r>
    <x v="131"/>
    <n v="8034504"/>
    <x v="0"/>
    <s v="2010-02-22"/>
  </r>
  <r>
    <x v="132"/>
    <n v="8035357"/>
    <x v="0"/>
    <s v="-"/>
  </r>
  <r>
    <x v="133"/>
    <n v="610892"/>
    <x v="0"/>
    <s v="-"/>
  </r>
  <r>
    <x v="134"/>
    <n v="838529"/>
    <x v="0"/>
    <s v="-"/>
  </r>
  <r>
    <x v="135"/>
    <n v="8002561"/>
    <x v="0"/>
    <s v="-"/>
  </r>
  <r>
    <x v="136"/>
    <n v="8003925"/>
    <x v="0"/>
    <s v="-"/>
  </r>
  <r>
    <x v="137"/>
    <n v="8008185"/>
    <x v="0"/>
    <s v="2006-09-05"/>
  </r>
  <r>
    <x v="138"/>
    <n v="8010135"/>
    <x v="0"/>
    <s v="2006-09-20"/>
  </r>
  <r>
    <x v="139"/>
    <n v="8016181"/>
    <x v="0"/>
    <s v="-"/>
  </r>
  <r>
    <x v="140"/>
    <n v="8017002"/>
    <x v="0"/>
    <s v="-"/>
  </r>
  <r>
    <x v="141"/>
    <n v="8022853"/>
    <x v="0"/>
    <s v="2009-11-06"/>
  </r>
  <r>
    <x v="142"/>
    <n v="8027799"/>
    <x v="0"/>
    <s v="-"/>
  </r>
  <r>
    <x v="143"/>
    <n v="8029989"/>
    <x v="0"/>
    <s v="2011-03-21"/>
  </r>
  <r>
    <x v="144"/>
    <n v="8033825"/>
    <x v="0"/>
    <s v="2013-05-02"/>
  </r>
  <r>
    <x v="145"/>
    <n v="8033827"/>
    <x v="0"/>
    <s v="-"/>
  </r>
  <r>
    <x v="146"/>
    <n v="8041699"/>
    <x v="0"/>
    <s v="-"/>
  </r>
  <r>
    <x v="147"/>
    <n v="8052384"/>
    <x v="0"/>
    <s v="-"/>
  </r>
  <r>
    <x v="148"/>
    <n v="8111133"/>
    <x v="0"/>
    <s v="2014-06-25"/>
  </r>
  <r>
    <x v="149"/>
    <n v="8114896"/>
    <x v="0"/>
    <s v="-"/>
  </r>
  <r>
    <x v="150"/>
    <n v="36029649"/>
    <x v="0"/>
    <s v="-"/>
  </r>
  <r>
    <x v="151"/>
    <n v="36040981"/>
    <x v="0"/>
    <s v="-"/>
  </r>
  <r>
    <x v="152"/>
    <n v="36091100"/>
    <x v="0"/>
    <s v="2016-04-04"/>
  </r>
  <r>
    <x v="153"/>
    <n v="36234546"/>
    <x v="0"/>
    <s v="-"/>
  </r>
  <r>
    <x v="154"/>
    <n v="47132013"/>
    <x v="0"/>
    <s v="-"/>
  </r>
  <r>
    <x v="155"/>
    <n v="97014430"/>
    <x v="0"/>
    <s v="2015-12-11"/>
  </r>
  <r>
    <x v="156"/>
    <n v="97014482"/>
    <x v="0"/>
    <s v="-"/>
  </r>
  <r>
    <x v="157"/>
    <n v="97025217"/>
    <x v="0"/>
    <s v="-"/>
  </r>
  <r>
    <x v="158"/>
    <n v="97027980"/>
    <x v="0"/>
    <s v="-"/>
  </r>
  <r>
    <x v="159"/>
    <n v="97039304"/>
    <x v="0"/>
    <s v="2015-09-03"/>
  </r>
  <r>
    <x v="160"/>
    <n v="97072523"/>
    <x v="0"/>
    <s v="2009-09-15"/>
  </r>
  <r>
    <x v="161"/>
    <n v="97077880"/>
    <x v="0"/>
    <s v="2015-09-28"/>
  </r>
  <r>
    <x v="162"/>
    <n v="97118296"/>
    <x v="0"/>
    <s v="2015-01-05"/>
  </r>
  <r>
    <x v="163"/>
    <n v="97127002"/>
    <x v="0"/>
    <s v="-"/>
  </r>
  <r>
    <x v="164"/>
    <n v="97790478"/>
    <x v="0"/>
    <s v="-"/>
  </r>
  <r>
    <x v="165"/>
    <n v="97790673"/>
    <x v="0"/>
    <s v="-"/>
  </r>
  <r>
    <x v="166"/>
    <n v="97805753"/>
    <x v="0"/>
    <s v="-"/>
  </r>
  <r>
    <x v="167"/>
    <n v="97809307"/>
    <x v="0"/>
    <s v="-"/>
  </r>
  <r>
    <x v="168"/>
    <n v="97810052"/>
    <x v="0"/>
    <s v="-"/>
  </r>
  <r>
    <x v="169"/>
    <n v="97810156"/>
    <x v="0"/>
    <s v="2006-02-03"/>
  </r>
  <r>
    <x v="170"/>
    <n v="611056"/>
    <x v="1"/>
    <s v="2014-05-08"/>
  </r>
  <r>
    <x v="171"/>
    <n v="8004045"/>
    <x v="1"/>
    <s v="-"/>
  </r>
  <r>
    <x v="172"/>
    <n v="8004739"/>
    <x v="1"/>
    <s v="-"/>
  </r>
  <r>
    <x v="173"/>
    <n v="8005657"/>
    <x v="1"/>
    <s v="-"/>
  </r>
  <r>
    <x v="174"/>
    <n v="8006908"/>
    <x v="1"/>
    <s v="-"/>
  </r>
  <r>
    <x v="175"/>
    <n v="8014005"/>
    <x v="1"/>
    <s v="-"/>
  </r>
  <r>
    <x v="176"/>
    <n v="8106928"/>
    <x v="1"/>
    <s v="-"/>
  </r>
  <r>
    <x v="177"/>
    <n v="8109142"/>
    <x v="1"/>
    <s v="-"/>
  </r>
  <r>
    <x v="178"/>
    <n v="8109971"/>
    <x v="1"/>
    <s v="-"/>
  </r>
  <r>
    <x v="179"/>
    <n v="8110488"/>
    <x v="1"/>
    <s v="-"/>
  </r>
  <r>
    <x v="180"/>
    <n v="8110489"/>
    <x v="1"/>
    <s v="-"/>
  </r>
  <r>
    <x v="181"/>
    <n v="8121073"/>
    <x v="1"/>
    <s v="-"/>
  </r>
  <r>
    <x v="182"/>
    <n v="8121111"/>
    <x v="1"/>
    <s v="-"/>
  </r>
  <r>
    <x v="183"/>
    <n v="36031760"/>
    <x v="1"/>
    <s v="-"/>
  </r>
  <r>
    <x v="184"/>
    <n v="36066732"/>
    <x v="1"/>
    <s v="-"/>
  </r>
  <r>
    <x v="185"/>
    <n v="97026080"/>
    <x v="1"/>
    <s v="-"/>
  </r>
  <r>
    <x v="186"/>
    <n v="97045622"/>
    <x v="1"/>
    <s v="2013-04-30"/>
  </r>
  <r>
    <x v="187"/>
    <n v="97065133"/>
    <x v="1"/>
    <s v="-"/>
  </r>
  <r>
    <x v="188"/>
    <n v="97801068"/>
    <x v="1"/>
    <s v="-"/>
  </r>
  <r>
    <x v="189"/>
    <n v="97805715"/>
    <x v="1"/>
    <s v="-"/>
  </r>
  <r>
    <x v="190"/>
    <n v="80217820004"/>
    <x v="2"/>
    <s v="-"/>
  </r>
  <r>
    <x v="191"/>
    <n v="80252750003"/>
    <x v="2"/>
    <s v="-"/>
  </r>
  <r>
    <x v="192"/>
    <n v="80310600002"/>
    <x v="2"/>
    <s v="2016-01-08"/>
  </r>
  <r>
    <x v="193"/>
    <n v="80362480005"/>
    <x v="2"/>
    <s v="-"/>
  </r>
  <r>
    <x v="146"/>
    <n v="80416990002"/>
    <x v="2"/>
    <s v="-"/>
  </r>
  <r>
    <x v="194"/>
    <n v="81077640002"/>
    <x v="2"/>
    <s v="2016-01-08"/>
  </r>
  <r>
    <x v="195"/>
    <n v="81122640003"/>
    <x v="2"/>
    <s v="-"/>
  </r>
  <r>
    <x v="196"/>
    <n v="81228370002"/>
    <x v="2"/>
    <s v="-"/>
  </r>
  <r>
    <x v="197"/>
    <n v="970257920004"/>
    <x v="2"/>
    <s v="-"/>
  </r>
  <r>
    <x v="198"/>
    <n v="970396970002"/>
    <x v="2"/>
    <s v="-"/>
  </r>
  <r>
    <x v="199"/>
    <n v="970693630002"/>
    <x v="2"/>
    <s v="-"/>
  </r>
  <r>
    <x v="200"/>
    <n v="978117590003"/>
    <x v="2"/>
    <s v="-"/>
  </r>
  <r>
    <x v="201"/>
    <n v="630520290025"/>
    <x v="3"/>
    <s v="-"/>
  </r>
  <r>
    <x v="202"/>
    <n v="670733980047"/>
    <x v="3"/>
    <s v="-"/>
  </r>
  <r>
    <x v="203"/>
    <n v="36119087"/>
    <x v="0"/>
    <s v="-"/>
  </r>
  <r>
    <x v="204"/>
    <n v="41027080"/>
    <x v="0"/>
    <s v="-"/>
  </r>
  <r>
    <x v="205"/>
    <n v="41027224"/>
    <x v="0"/>
    <s v="-"/>
  </r>
  <r>
    <x v="206"/>
    <n v="41028010"/>
    <x v="0"/>
    <s v="-"/>
  </r>
  <r>
    <x v="207"/>
    <n v="30133463"/>
    <x v="0"/>
    <s v="-"/>
  </r>
  <r>
    <x v="208"/>
    <n v="36149623"/>
    <x v="0"/>
    <s v="-"/>
  </r>
  <r>
    <x v="209"/>
    <n v="36564101"/>
    <x v="0"/>
    <s v="-"/>
  </r>
  <r>
    <x v="210"/>
    <n v="41025345"/>
    <x v="0"/>
    <s v="-"/>
  </r>
  <r>
    <x v="211"/>
    <n v="41105012"/>
    <x v="0"/>
    <s v="-"/>
  </r>
  <r>
    <x v="212"/>
    <n v="41114683"/>
    <x v="0"/>
    <s v="-"/>
  </r>
  <r>
    <x v="46"/>
    <n v="41119114"/>
    <x v="0"/>
    <s v="-"/>
  </r>
  <r>
    <x v="213"/>
    <n v="41142208"/>
    <x v="0"/>
    <s v="-"/>
  </r>
  <r>
    <x v="214"/>
    <n v="41144713"/>
    <x v="0"/>
    <s v="-"/>
  </r>
  <r>
    <x v="46"/>
    <n v="41147916"/>
    <x v="0"/>
    <s v="-"/>
  </r>
  <r>
    <x v="215"/>
    <n v="41156313"/>
    <x v="0"/>
    <s v="-"/>
  </r>
  <r>
    <x v="216"/>
    <n v="41017554"/>
    <x v="1"/>
    <s v="-"/>
  </r>
  <r>
    <x v="217"/>
    <n v="41037932"/>
    <x v="1"/>
    <s v="-"/>
  </r>
  <r>
    <x v="218"/>
    <n v="41111990"/>
    <x v="1"/>
    <s v="-"/>
  </r>
  <r>
    <x v="219"/>
    <n v="41114319"/>
    <x v="1"/>
    <s v="-"/>
  </r>
  <r>
    <x v="220"/>
    <n v="300206820005"/>
    <x v="2"/>
    <s v="-"/>
  </r>
  <r>
    <x v="221"/>
    <n v="410078560002"/>
    <x v="2"/>
    <s v="-"/>
  </r>
  <r>
    <x v="222"/>
    <n v="410344510039"/>
    <x v="2"/>
    <s v="2016-11-07"/>
  </r>
  <r>
    <x v="223"/>
    <n v="411048550002"/>
    <x v="2"/>
    <s v="-"/>
  </r>
  <r>
    <x v="224"/>
    <n v="411297310011"/>
    <x v="2"/>
    <s v="-"/>
  </r>
  <r>
    <x v="225"/>
    <n v="977982790003"/>
    <x v="2"/>
    <s v="-"/>
  </r>
  <r>
    <x v="226"/>
    <n v="411119900002"/>
    <x v="3"/>
    <s v="-"/>
  </r>
  <r>
    <x v="227"/>
    <n v="334599"/>
    <x v="0"/>
    <s v="2011-06-30"/>
  </r>
  <r>
    <x v="228"/>
    <n v="334757"/>
    <x v="0"/>
    <s v="2011-03-21"/>
  </r>
  <r>
    <x v="229"/>
    <n v="335122"/>
    <x v="0"/>
    <s v="2011-09-23"/>
  </r>
  <r>
    <x v="230"/>
    <n v="825852"/>
    <x v="0"/>
    <s v="2011-08-29"/>
  </r>
  <r>
    <x v="231"/>
    <n v="10055578"/>
    <x v="0"/>
    <s v="2011-07-01"/>
  </r>
  <r>
    <x v="232"/>
    <n v="20001531"/>
    <x v="0"/>
    <s v="2008-09-15"/>
  </r>
  <r>
    <x v="233"/>
    <n v="25000465"/>
    <x v="0"/>
    <s v="2009-05-27"/>
  </r>
  <r>
    <x v="234"/>
    <n v="25002655"/>
    <x v="0"/>
    <s v="2001-03-14"/>
  </r>
  <r>
    <x v="235"/>
    <n v="25003220"/>
    <x v="0"/>
    <s v="-"/>
  </r>
  <r>
    <x v="236"/>
    <n v="25003755"/>
    <x v="0"/>
    <s v="2015-05-12"/>
  </r>
  <r>
    <x v="237"/>
    <n v="25004373"/>
    <x v="0"/>
    <s v="2000-02-18"/>
  </r>
  <r>
    <x v="238"/>
    <n v="25004399"/>
    <x v="0"/>
    <s v="2000-01-25"/>
  </r>
  <r>
    <x v="239"/>
    <n v="25004721"/>
    <x v="0"/>
    <s v="2011-03-21"/>
  </r>
  <r>
    <x v="240"/>
    <n v="25005771"/>
    <x v="0"/>
    <s v="2011-07-26"/>
  </r>
  <r>
    <x v="241"/>
    <n v="25007753"/>
    <x v="0"/>
    <s v="-"/>
  </r>
  <r>
    <x v="242"/>
    <n v="25012307"/>
    <x v="0"/>
    <s v="2012-01-20"/>
  </r>
  <r>
    <x v="243"/>
    <n v="25017680"/>
    <x v="0"/>
    <s v="-"/>
  </r>
  <r>
    <x v="244"/>
    <n v="25019979"/>
    <x v="0"/>
    <s v="-"/>
  </r>
  <r>
    <x v="245"/>
    <n v="25033184"/>
    <x v="0"/>
    <s v="2000-05-31"/>
  </r>
  <r>
    <x v="246"/>
    <n v="25033891"/>
    <x v="0"/>
    <s v="2015-06-02"/>
  </r>
  <r>
    <x v="247"/>
    <n v="25040410"/>
    <x v="0"/>
    <s v="2005-10-03"/>
  </r>
  <r>
    <x v="248"/>
    <n v="25040509"/>
    <x v="0"/>
    <s v="2011-10-20"/>
  </r>
  <r>
    <x v="249"/>
    <n v="25041312"/>
    <x v="0"/>
    <s v="2015-09-07"/>
  </r>
  <r>
    <x v="250"/>
    <n v="25041632"/>
    <x v="0"/>
    <s v="2000-05-09"/>
  </r>
  <r>
    <x v="251"/>
    <n v="25043101"/>
    <x v="0"/>
    <s v="-"/>
  </r>
  <r>
    <x v="252"/>
    <n v="1117362"/>
    <x v="0"/>
    <s v="-"/>
  </r>
  <r>
    <x v="253"/>
    <n v="1184631"/>
    <x v="0"/>
    <s v="-"/>
  </r>
  <r>
    <x v="254"/>
    <n v="1235589"/>
    <x v="0"/>
    <s v="-"/>
  </r>
  <r>
    <x v="255"/>
    <n v="1534527"/>
    <x v="0"/>
    <s v="-"/>
  </r>
  <r>
    <x v="256"/>
    <n v="6156599"/>
    <x v="0"/>
    <s v="2013-11-29"/>
  </r>
  <r>
    <x v="257"/>
    <n v="10155876"/>
    <x v="0"/>
    <s v="-"/>
  </r>
  <r>
    <x v="258"/>
    <n v="14012455"/>
    <x v="0"/>
    <s v="-"/>
  </r>
  <r>
    <x v="259"/>
    <n v="14027712"/>
    <x v="0"/>
    <s v="-"/>
  </r>
  <r>
    <x v="260"/>
    <n v="14044984"/>
    <x v="0"/>
    <s v="-"/>
  </r>
  <r>
    <x v="261"/>
    <n v="14082345"/>
    <x v="0"/>
    <s v="2016-06-23"/>
  </r>
  <r>
    <x v="262"/>
    <n v="14626852"/>
    <x v="0"/>
    <s v="-"/>
  </r>
  <r>
    <x v="263"/>
    <n v="14647550"/>
    <x v="0"/>
    <s v="2013-06-24"/>
  </r>
  <r>
    <x v="264"/>
    <n v="14678858"/>
    <x v="0"/>
    <s v="2015-11-03"/>
  </r>
  <r>
    <x v="265"/>
    <n v="14726354"/>
    <x v="0"/>
    <s v="-"/>
  </r>
  <r>
    <x v="266"/>
    <n v="14737791"/>
    <x v="0"/>
    <s v="-"/>
  </r>
  <r>
    <x v="267"/>
    <n v="22187764"/>
    <x v="0"/>
    <s v="-"/>
  </r>
  <r>
    <x v="268"/>
    <n v="26033704"/>
    <x v="0"/>
    <s v="-"/>
  </r>
  <r>
    <x v="269"/>
    <n v="29269089"/>
    <x v="0"/>
    <s v="2014-11-21"/>
  </r>
  <r>
    <x v="270"/>
    <n v="30278324"/>
    <x v="0"/>
    <s v="-"/>
  </r>
  <r>
    <x v="271"/>
    <n v="32040564"/>
    <x v="0"/>
    <s v="-"/>
  </r>
  <r>
    <x v="272"/>
    <n v="32137991"/>
    <x v="0"/>
    <s v="-"/>
  </r>
  <r>
    <x v="273"/>
    <n v="36055273"/>
    <x v="0"/>
    <s v="-"/>
  </r>
  <r>
    <x v="274"/>
    <n v="36083549"/>
    <x v="0"/>
    <s v="-"/>
  </r>
  <r>
    <x v="275"/>
    <n v="36186343"/>
    <x v="0"/>
    <s v="-"/>
  </r>
  <r>
    <x v="276"/>
    <n v="36539180"/>
    <x v="0"/>
    <s v="-"/>
  </r>
  <r>
    <x v="277"/>
    <n v="14066515"/>
    <x v="0"/>
    <s v="2012-04-16"/>
  </r>
  <r>
    <x v="278"/>
    <n v="14101280"/>
    <x v="0"/>
    <s v="-"/>
  </r>
  <r>
    <x v="279"/>
    <n v="14105576"/>
    <x v="0"/>
    <s v="2012-03-14"/>
  </r>
  <r>
    <x v="280"/>
    <n v="14138442"/>
    <x v="0"/>
    <s v="-"/>
  </r>
  <r>
    <x v="281"/>
    <n v="14152271"/>
    <x v="0"/>
    <s v="2009-10-30"/>
  </r>
  <r>
    <x v="282"/>
    <n v="14189209"/>
    <x v="0"/>
    <s v="-"/>
  </r>
  <r>
    <x v="283"/>
    <n v="14214327"/>
    <x v="0"/>
    <s v="2010-11-26"/>
  </r>
  <r>
    <x v="284"/>
    <n v="14241840"/>
    <x v="0"/>
    <s v="-"/>
  </r>
  <r>
    <x v="285"/>
    <n v="14248689"/>
    <x v="0"/>
    <s v="-"/>
  </r>
  <r>
    <x v="286"/>
    <n v="14250110"/>
    <x v="0"/>
    <s v="2011-01-04"/>
  </r>
  <r>
    <x v="287"/>
    <n v="14250804"/>
    <x v="0"/>
    <s v="-"/>
  </r>
  <r>
    <x v="288"/>
    <n v="14272114"/>
    <x v="0"/>
    <s v="2012-10-03"/>
  </r>
  <r>
    <x v="289"/>
    <n v="14275992"/>
    <x v="0"/>
    <s v="2012-01-09"/>
  </r>
  <r>
    <x v="290"/>
    <n v="14295282"/>
    <x v="0"/>
    <s v="-"/>
  </r>
  <r>
    <x v="291"/>
    <n v="14596324"/>
    <x v="0"/>
    <s v="-"/>
  </r>
  <r>
    <x v="292"/>
    <n v="14621224"/>
    <x v="0"/>
    <s v="-"/>
  </r>
  <r>
    <x v="293"/>
    <n v="34058947"/>
    <x v="0"/>
    <s v="2010-01-27"/>
  </r>
  <r>
    <x v="294"/>
    <n v="36022008"/>
    <x v="0"/>
    <s v="-"/>
  </r>
  <r>
    <x v="295"/>
    <n v="36441292"/>
    <x v="0"/>
    <s v="-"/>
  </r>
  <r>
    <x v="296"/>
    <n v="36550335"/>
    <x v="0"/>
    <s v="-"/>
  </r>
  <r>
    <x v="297"/>
    <n v="36550348"/>
    <x v="0"/>
    <s v="-"/>
  </r>
  <r>
    <x v="298"/>
    <n v="61001067"/>
    <x v="0"/>
    <s v="2009-06-10"/>
  </r>
  <r>
    <x v="299"/>
    <n v="61001812"/>
    <x v="0"/>
    <s v="-"/>
  </r>
  <r>
    <x v="300"/>
    <n v="61002030"/>
    <x v="0"/>
    <s v="2007-11-12"/>
  </r>
  <r>
    <x v="301"/>
    <n v="61003331"/>
    <x v="0"/>
    <s v="2004-03-04"/>
  </r>
  <r>
    <x v="302"/>
    <n v="61003718"/>
    <x v="0"/>
    <s v="-"/>
  </r>
  <r>
    <x v="303"/>
    <n v="61008125"/>
    <x v="0"/>
    <s v="2004-12-31"/>
  </r>
  <r>
    <x v="304"/>
    <n v="61010404"/>
    <x v="0"/>
    <s v="-"/>
  </r>
  <r>
    <x v="46"/>
    <n v="61011188"/>
    <x v="0"/>
    <s v="2011-03-21"/>
  </r>
  <r>
    <x v="305"/>
    <n v="61014608"/>
    <x v="0"/>
    <s v="-"/>
  </r>
  <r>
    <x v="306"/>
    <n v="61014678"/>
    <x v="0"/>
    <s v="2011-11-30"/>
  </r>
  <r>
    <x v="307"/>
    <n v="61017302"/>
    <x v="0"/>
    <s v="2011-03-21"/>
  </r>
  <r>
    <x v="308"/>
    <n v="61021035"/>
    <x v="0"/>
    <s v="2005-05-19"/>
  </r>
  <r>
    <x v="309"/>
    <n v="61021423"/>
    <x v="0"/>
    <s v="2011-12-19"/>
  </r>
  <r>
    <x v="310"/>
    <n v="61021826"/>
    <x v="0"/>
    <s v="2010-01-28"/>
  </r>
  <r>
    <x v="311"/>
    <n v="61021832"/>
    <x v="0"/>
    <s v="-"/>
  </r>
  <r>
    <x v="312"/>
    <n v="61022755"/>
    <x v="0"/>
    <s v="2005-04-01"/>
  </r>
  <r>
    <x v="313"/>
    <n v="61023407"/>
    <x v="0"/>
    <s v="2000-11-23"/>
  </r>
  <r>
    <x v="46"/>
    <n v="61024732"/>
    <x v="0"/>
    <s v="-"/>
  </r>
  <r>
    <x v="314"/>
    <n v="61024805"/>
    <x v="0"/>
    <s v="1998-12-01"/>
  </r>
  <r>
    <x v="315"/>
    <n v="61025296"/>
    <x v="0"/>
    <s v="2007-01-09"/>
  </r>
  <r>
    <x v="316"/>
    <n v="61025346"/>
    <x v="0"/>
    <s v="-"/>
  </r>
  <r>
    <x v="317"/>
    <n v="61027698"/>
    <x v="0"/>
    <s v="-"/>
  </r>
  <r>
    <x v="318"/>
    <n v="61028026"/>
    <x v="0"/>
    <s v="2007-09-13"/>
  </r>
  <r>
    <x v="319"/>
    <n v="61029536"/>
    <x v="0"/>
    <s v="-"/>
  </r>
  <r>
    <x v="320"/>
    <n v="61030314"/>
    <x v="0"/>
    <s v="2009-06-19"/>
  </r>
  <r>
    <x v="321"/>
    <n v="61030427"/>
    <x v="0"/>
    <s v="2001-11-20"/>
  </r>
  <r>
    <x v="322"/>
    <n v="61031795"/>
    <x v="0"/>
    <s v="2001-06-25"/>
  </r>
  <r>
    <x v="323"/>
    <n v="61031872"/>
    <x v="0"/>
    <s v="2008-06-17"/>
  </r>
  <r>
    <x v="46"/>
    <n v="61034306"/>
    <x v="0"/>
    <s v="-"/>
  </r>
  <r>
    <x v="324"/>
    <n v="61035578"/>
    <x v="0"/>
    <s v="-"/>
  </r>
  <r>
    <x v="325"/>
    <n v="61036706"/>
    <x v="0"/>
    <s v="2002-01-03"/>
  </r>
  <r>
    <x v="326"/>
    <n v="61037259"/>
    <x v="0"/>
    <s v="2009-01-02"/>
  </r>
  <r>
    <x v="327"/>
    <n v="61037316"/>
    <x v="0"/>
    <s v="2002-12-12"/>
  </r>
  <r>
    <x v="328"/>
    <n v="61037694"/>
    <x v="0"/>
    <s v="1998-10-30"/>
  </r>
  <r>
    <x v="329"/>
    <n v="61038719"/>
    <x v="0"/>
    <s v="2010-07-16"/>
  </r>
  <r>
    <x v="330"/>
    <n v="61038968"/>
    <x v="0"/>
    <s v="2012-10-01"/>
  </r>
  <r>
    <x v="331"/>
    <n v="61041291"/>
    <x v="0"/>
    <s v="-"/>
  </r>
  <r>
    <x v="332"/>
    <n v="61101802"/>
    <x v="0"/>
    <s v="1999-12-09"/>
  </r>
  <r>
    <x v="333"/>
    <n v="61102745"/>
    <x v="0"/>
    <s v="2007-10-08"/>
  </r>
  <r>
    <x v="334"/>
    <n v="61103404"/>
    <x v="0"/>
    <s v="-"/>
  </r>
  <r>
    <x v="335"/>
    <n v="61103419"/>
    <x v="0"/>
    <s v="2007-01-02"/>
  </r>
  <r>
    <x v="336"/>
    <n v="61103456"/>
    <x v="0"/>
    <s v="-"/>
  </r>
  <r>
    <x v="337"/>
    <n v="61104394"/>
    <x v="0"/>
    <s v="2000-08-23"/>
  </r>
  <r>
    <x v="338"/>
    <n v="61104903"/>
    <x v="0"/>
    <s v="-"/>
  </r>
  <r>
    <x v="339"/>
    <n v="61106681"/>
    <x v="0"/>
    <s v="-"/>
  </r>
  <r>
    <x v="340"/>
    <n v="61107176"/>
    <x v="0"/>
    <s v="2009-09-16"/>
  </r>
  <r>
    <x v="46"/>
    <n v="61108506"/>
    <x v="0"/>
    <s v="2014-04-24"/>
  </r>
  <r>
    <x v="46"/>
    <n v="61120958"/>
    <x v="0"/>
    <s v="2002-09-15"/>
  </r>
  <r>
    <x v="341"/>
    <n v="61131326"/>
    <x v="0"/>
    <s v="2004-06-15"/>
  </r>
  <r>
    <x v="46"/>
    <n v="61131874"/>
    <x v="0"/>
    <s v="-"/>
  </r>
  <r>
    <x v="342"/>
    <n v="61132518"/>
    <x v="0"/>
    <s v="2004-03-31"/>
  </r>
  <r>
    <x v="343"/>
    <n v="61133222"/>
    <x v="0"/>
    <s v="2003-09-22"/>
  </r>
  <r>
    <x v="344"/>
    <n v="61133708"/>
    <x v="0"/>
    <s v="2002-12-16"/>
  </r>
  <r>
    <x v="46"/>
    <n v="61136198"/>
    <x v="0"/>
    <s v="-"/>
  </r>
  <r>
    <x v="46"/>
    <n v="61136226"/>
    <x v="0"/>
    <s v="-"/>
  </r>
  <r>
    <x v="46"/>
    <n v="61136242"/>
    <x v="0"/>
    <s v="-"/>
  </r>
  <r>
    <x v="46"/>
    <n v="61136440"/>
    <x v="0"/>
    <s v="-"/>
  </r>
  <r>
    <x v="345"/>
    <n v="61136610"/>
    <x v="0"/>
    <s v="-"/>
  </r>
  <r>
    <x v="346"/>
    <n v="61140813"/>
    <x v="0"/>
    <s v="2011-04-04"/>
  </r>
  <r>
    <x v="347"/>
    <n v="61141487"/>
    <x v="0"/>
    <s v="-"/>
  </r>
  <r>
    <x v="348"/>
    <n v="14687357"/>
    <x v="1"/>
    <s v="2014-06-03"/>
  </r>
  <r>
    <x v="349"/>
    <n v="61001635"/>
    <x v="1"/>
    <s v="-"/>
  </r>
  <r>
    <x v="350"/>
    <n v="61022062"/>
    <x v="1"/>
    <s v="-"/>
  </r>
  <r>
    <x v="351"/>
    <n v="61101617"/>
    <x v="1"/>
    <s v="2000-05-08"/>
  </r>
  <r>
    <x v="352"/>
    <n v="61141547"/>
    <x v="1"/>
    <s v="-"/>
  </r>
  <r>
    <x v="353"/>
    <n v="142050920003"/>
    <x v="2"/>
    <s v="-"/>
  </r>
  <r>
    <x v="354"/>
    <n v="142717130002"/>
    <x v="2"/>
    <s v="-"/>
  </r>
  <r>
    <x v="355"/>
    <n v="362995820006"/>
    <x v="2"/>
    <s v="-"/>
  </r>
  <r>
    <x v="356"/>
    <n v="365478080001"/>
    <x v="2"/>
    <s v="-"/>
  </r>
  <r>
    <x v="46"/>
    <n v="610018120002"/>
    <x v="2"/>
    <s v="-"/>
  </r>
  <r>
    <x v="357"/>
    <n v="610037180002"/>
    <x v="2"/>
    <s v="-"/>
  </r>
  <r>
    <x v="358"/>
    <n v="610104040003"/>
    <x v="2"/>
    <s v="-"/>
  </r>
  <r>
    <x v="359"/>
    <n v="610246520003"/>
    <x v="2"/>
    <s v="-"/>
  </r>
  <r>
    <x v="46"/>
    <n v="610343060002"/>
    <x v="2"/>
    <s v="-"/>
  </r>
  <r>
    <x v="360"/>
    <n v="611038120002"/>
    <x v="2"/>
    <s v="-"/>
  </r>
  <r>
    <x v="361"/>
    <n v="1121385"/>
    <x v="0"/>
    <s v="2016-07-18"/>
  </r>
  <r>
    <x v="362"/>
    <n v="1160162"/>
    <x v="0"/>
    <s v="-"/>
  </r>
  <r>
    <x v="363"/>
    <n v="1172707"/>
    <x v="0"/>
    <s v="-"/>
  </r>
  <r>
    <x v="364"/>
    <n v="1216803"/>
    <x v="0"/>
    <s v="-"/>
  </r>
  <r>
    <x v="365"/>
    <n v="1219325"/>
    <x v="0"/>
    <s v="-"/>
  </r>
  <r>
    <x v="366"/>
    <n v="1280337"/>
    <x v="0"/>
    <s v="2015-07-08"/>
  </r>
  <r>
    <x v="367"/>
    <n v="1314760"/>
    <x v="0"/>
    <s v="-"/>
  </r>
  <r>
    <x v="368"/>
    <n v="1319845"/>
    <x v="0"/>
    <s v="-"/>
  </r>
  <r>
    <x v="369"/>
    <n v="1329404"/>
    <x v="0"/>
    <s v="-"/>
  </r>
  <r>
    <x v="370"/>
    <n v="1482126"/>
    <x v="0"/>
    <s v="-"/>
  </r>
  <r>
    <x v="371"/>
    <n v="1485229"/>
    <x v="0"/>
    <s v="-"/>
  </r>
  <r>
    <x v="372"/>
    <n v="1498922"/>
    <x v="0"/>
    <s v="-"/>
  </r>
  <r>
    <x v="373"/>
    <n v="1503230"/>
    <x v="0"/>
    <s v="-"/>
  </r>
  <r>
    <x v="46"/>
    <n v="1505771"/>
    <x v="0"/>
    <s v="-"/>
  </r>
  <r>
    <x v="46"/>
    <n v="1512156"/>
    <x v="0"/>
    <s v="-"/>
  </r>
  <r>
    <x v="46"/>
    <n v="1512160"/>
    <x v="0"/>
    <s v="-"/>
  </r>
  <r>
    <x v="374"/>
    <n v="1558603"/>
    <x v="0"/>
    <s v="-"/>
  </r>
  <r>
    <x v="375"/>
    <n v="1581625"/>
    <x v="0"/>
    <s v="-"/>
  </r>
  <r>
    <x v="376"/>
    <n v="1610533"/>
    <x v="0"/>
    <s v="-"/>
  </r>
  <r>
    <x v="377"/>
    <n v="1618346"/>
    <x v="0"/>
    <s v="-"/>
  </r>
  <r>
    <x v="378"/>
    <n v="1731875"/>
    <x v="0"/>
    <s v="-"/>
  </r>
  <r>
    <x v="379"/>
    <n v="1733076"/>
    <x v="0"/>
    <s v="-"/>
  </r>
  <r>
    <x v="380"/>
    <n v="1747166"/>
    <x v="0"/>
    <s v="2014-01-29"/>
  </r>
  <r>
    <x v="381"/>
    <n v="5224406"/>
    <x v="0"/>
    <s v="-"/>
  </r>
  <r>
    <x v="382"/>
    <n v="14031760"/>
    <x v="0"/>
    <s v="-"/>
  </r>
  <r>
    <x v="383"/>
    <n v="14074151"/>
    <x v="0"/>
    <s v="2016-08-19"/>
  </r>
  <r>
    <x v="384"/>
    <n v="14077494"/>
    <x v="0"/>
    <s v="-"/>
  </r>
  <r>
    <x v="385"/>
    <n v="14081709"/>
    <x v="0"/>
    <s v="-"/>
  </r>
  <r>
    <x v="386"/>
    <n v="14396365"/>
    <x v="0"/>
    <s v="-"/>
  </r>
  <r>
    <x v="387"/>
    <n v="14581462"/>
    <x v="0"/>
    <s v="-"/>
  </r>
  <r>
    <x v="388"/>
    <n v="14591549"/>
    <x v="0"/>
    <s v="-"/>
  </r>
  <r>
    <x v="389"/>
    <n v="14602461"/>
    <x v="0"/>
    <s v="-"/>
  </r>
  <r>
    <x v="390"/>
    <n v="14602519"/>
    <x v="0"/>
    <s v="-"/>
  </r>
  <r>
    <x v="391"/>
    <n v="14615387"/>
    <x v="0"/>
    <s v="-"/>
  </r>
  <r>
    <x v="392"/>
    <n v="14652220"/>
    <x v="0"/>
    <s v="2016-01-11"/>
  </r>
  <r>
    <x v="393"/>
    <n v="14657183"/>
    <x v="0"/>
    <s v="2015-08-26"/>
  </r>
  <r>
    <x v="394"/>
    <n v="14670710"/>
    <x v="0"/>
    <s v="-"/>
  </r>
  <r>
    <x v="395"/>
    <n v="14687930"/>
    <x v="0"/>
    <s v="-"/>
  </r>
  <r>
    <x v="396"/>
    <n v="14697793"/>
    <x v="0"/>
    <s v="-"/>
  </r>
  <r>
    <x v="397"/>
    <n v="14709740"/>
    <x v="0"/>
    <s v="-"/>
  </r>
  <r>
    <x v="398"/>
    <n v="14716031"/>
    <x v="0"/>
    <s v="-"/>
  </r>
  <r>
    <x v="399"/>
    <n v="14729788"/>
    <x v="0"/>
    <s v="-"/>
  </r>
  <r>
    <x v="400"/>
    <n v="14737509"/>
    <x v="0"/>
    <s v="-"/>
  </r>
  <r>
    <x v="401"/>
    <n v="36060740"/>
    <x v="0"/>
    <s v="-"/>
  </r>
  <r>
    <x v="402"/>
    <n v="36082090"/>
    <x v="0"/>
    <s v="-"/>
  </r>
  <r>
    <x v="403"/>
    <n v="36230693"/>
    <x v="0"/>
    <s v="-"/>
  </r>
  <r>
    <x v="404"/>
    <n v="36259843"/>
    <x v="0"/>
    <s v="-"/>
  </r>
  <r>
    <x v="405"/>
    <n v="36394992"/>
    <x v="0"/>
    <s v="2016-05-06"/>
  </r>
  <r>
    <x v="406"/>
    <n v="36401190"/>
    <x v="0"/>
    <s v="-"/>
  </r>
  <r>
    <x v="407"/>
    <n v="36414024"/>
    <x v="0"/>
    <s v="-"/>
  </r>
  <r>
    <x v="408"/>
    <n v="36475741"/>
    <x v="0"/>
    <s v="-"/>
  </r>
  <r>
    <x v="409"/>
    <n v="36522762"/>
    <x v="0"/>
    <s v="-"/>
  </r>
  <r>
    <x v="410"/>
    <n v="43092872"/>
    <x v="0"/>
    <s v="-"/>
  </r>
  <r>
    <x v="411"/>
    <n v="47169382"/>
    <x v="0"/>
    <s v="-"/>
  </r>
  <r>
    <x v="412"/>
    <n v="47322011"/>
    <x v="0"/>
    <s v="2015-05-06"/>
  </r>
  <r>
    <x v="413"/>
    <n v="203899"/>
    <x v="1"/>
    <s v="-"/>
  </r>
  <r>
    <x v="414"/>
    <n v="1000418"/>
    <x v="1"/>
    <s v="-"/>
  </r>
  <r>
    <x v="415"/>
    <n v="1026166"/>
    <x v="1"/>
    <s v="-"/>
  </r>
  <r>
    <x v="416"/>
    <n v="1034952"/>
    <x v="1"/>
    <s v="-"/>
  </r>
  <r>
    <x v="417"/>
    <n v="1047985"/>
    <x v="1"/>
    <s v="-"/>
  </r>
  <r>
    <x v="418"/>
    <n v="1056716"/>
    <x v="1"/>
    <s v="-"/>
  </r>
  <r>
    <x v="419"/>
    <n v="1112799"/>
    <x v="1"/>
    <s v="-"/>
  </r>
  <r>
    <x v="420"/>
    <n v="1200402"/>
    <x v="1"/>
    <s v="-"/>
  </r>
  <r>
    <x v="421"/>
    <n v="1266905"/>
    <x v="1"/>
    <s v="-"/>
  </r>
  <r>
    <x v="422"/>
    <n v="1271989"/>
    <x v="1"/>
    <s v="-"/>
  </r>
  <r>
    <x v="423"/>
    <n v="1276694"/>
    <x v="1"/>
    <s v="-"/>
  </r>
  <r>
    <x v="424"/>
    <n v="1292137"/>
    <x v="1"/>
    <s v="-"/>
  </r>
  <r>
    <x v="425"/>
    <n v="1313391"/>
    <x v="1"/>
    <s v="-"/>
  </r>
  <r>
    <x v="426"/>
    <n v="1607937"/>
    <x v="1"/>
    <s v="-"/>
  </r>
  <r>
    <x v="427"/>
    <n v="1609629"/>
    <x v="1"/>
    <s v="-"/>
  </r>
  <r>
    <x v="428"/>
    <n v="1624790"/>
    <x v="1"/>
    <s v="-"/>
  </r>
  <r>
    <x v="429"/>
    <n v="1738027"/>
    <x v="1"/>
    <s v="-"/>
  </r>
  <r>
    <x v="430"/>
    <n v="14113725"/>
    <x v="1"/>
    <s v="-"/>
  </r>
  <r>
    <x v="431"/>
    <n v="14175081"/>
    <x v="1"/>
    <s v="-"/>
  </r>
  <r>
    <x v="432"/>
    <n v="14217073"/>
    <x v="1"/>
    <s v="-"/>
  </r>
  <r>
    <x v="433"/>
    <n v="14602437"/>
    <x v="1"/>
    <s v="-"/>
  </r>
  <r>
    <x v="434"/>
    <n v="14705564"/>
    <x v="1"/>
    <s v="-"/>
  </r>
  <r>
    <x v="435"/>
    <n v="14734942"/>
    <x v="1"/>
    <s v="-"/>
  </r>
  <r>
    <x v="436"/>
    <n v="14749306"/>
    <x v="1"/>
    <s v="-"/>
  </r>
  <r>
    <x v="437"/>
    <n v="11127120001"/>
    <x v="2"/>
    <s v="-"/>
  </r>
  <r>
    <x v="438"/>
    <n v="16448600002"/>
    <x v="2"/>
    <s v="-"/>
  </r>
  <r>
    <x v="439"/>
    <n v="6712010005"/>
    <x v="3"/>
    <s v="-"/>
  </r>
  <r>
    <x v="440"/>
    <n v="6149391"/>
    <x v="0"/>
    <s v="-"/>
  </r>
  <r>
    <x v="441"/>
    <n v="30026602"/>
    <x v="0"/>
    <s v="2015-01-05"/>
  </r>
  <r>
    <x v="442"/>
    <n v="30027826"/>
    <x v="0"/>
    <s v="2014-12-08"/>
  </r>
  <r>
    <x v="443"/>
    <n v="30039321"/>
    <x v="0"/>
    <s v="-"/>
  </r>
  <r>
    <x v="444"/>
    <n v="30053281"/>
    <x v="0"/>
    <s v="2015-07-16"/>
  </r>
  <r>
    <x v="445"/>
    <n v="30103478"/>
    <x v="0"/>
    <s v="-"/>
  </r>
  <r>
    <x v="446"/>
    <n v="30106484"/>
    <x v="0"/>
    <s v="2015-06-03"/>
  </r>
  <r>
    <x v="447"/>
    <n v="30167431"/>
    <x v="0"/>
    <s v="2014-01-20"/>
  </r>
  <r>
    <x v="448"/>
    <n v="30213849"/>
    <x v="0"/>
    <s v="2015-01-08"/>
  </r>
  <r>
    <x v="449"/>
    <n v="30217088"/>
    <x v="0"/>
    <s v="-"/>
  </r>
  <r>
    <x v="450"/>
    <n v="30246267"/>
    <x v="0"/>
    <s v="2015-02-20"/>
  </r>
  <r>
    <x v="451"/>
    <n v="30251680"/>
    <x v="0"/>
    <s v="2015-01-12"/>
  </r>
  <r>
    <x v="452"/>
    <n v="30278043"/>
    <x v="0"/>
    <s v="2016-07-25"/>
  </r>
  <r>
    <x v="453"/>
    <n v="32157856"/>
    <x v="0"/>
    <s v="-"/>
  </r>
  <r>
    <x v="454"/>
    <n v="36151901"/>
    <x v="0"/>
    <s v="2016-07-29"/>
  </r>
  <r>
    <x v="455"/>
    <n v="36198283"/>
    <x v="0"/>
    <s v="2016-08-08"/>
  </r>
  <r>
    <x v="456"/>
    <n v="36270312"/>
    <x v="0"/>
    <s v="2016-08-02"/>
  </r>
  <r>
    <x v="457"/>
    <n v="36283218"/>
    <x v="0"/>
    <s v="2016-01-26"/>
  </r>
  <r>
    <x v="458"/>
    <n v="36347905"/>
    <x v="0"/>
    <s v="-"/>
  </r>
  <r>
    <x v="459"/>
    <n v="36445575"/>
    <x v="0"/>
    <s v="-"/>
  </r>
  <r>
    <x v="460"/>
    <n v="63032083"/>
    <x v="0"/>
    <s v="-"/>
  </r>
  <r>
    <x v="461"/>
    <n v="63064671"/>
    <x v="0"/>
    <s v="2016-05-04"/>
  </r>
  <r>
    <x v="462"/>
    <n v="63103030"/>
    <x v="0"/>
    <s v="2016-05-09"/>
  </r>
  <r>
    <x v="463"/>
    <n v="63111818"/>
    <x v="0"/>
    <s v="2015-08-07"/>
  </r>
  <r>
    <x v="464"/>
    <n v="63200605"/>
    <x v="0"/>
    <s v="2015-01-05"/>
  </r>
  <r>
    <x v="465"/>
    <n v="63426865"/>
    <x v="0"/>
    <s v="2014-12-08"/>
  </r>
  <r>
    <x v="466"/>
    <n v="63444022"/>
    <x v="0"/>
    <s v="2015-04-17"/>
  </r>
  <r>
    <x v="467"/>
    <n v="63455178"/>
    <x v="0"/>
    <s v="2012-10-01"/>
  </r>
  <r>
    <x v="468"/>
    <n v="63968493"/>
    <x v="0"/>
    <s v="2015-01-02"/>
  </r>
  <r>
    <x v="469"/>
    <n v="2064773"/>
    <x v="1"/>
    <s v="-"/>
  </r>
  <r>
    <x v="470"/>
    <n v="2117115"/>
    <x v="1"/>
    <s v="-"/>
  </r>
  <r>
    <x v="471"/>
    <n v="2213927"/>
    <x v="1"/>
    <s v="-"/>
  </r>
  <r>
    <x v="472"/>
    <n v="2221592"/>
    <x v="1"/>
    <s v="-"/>
  </r>
  <r>
    <x v="473"/>
    <n v="8035122"/>
    <x v="1"/>
    <s v="-"/>
  </r>
  <r>
    <x v="474"/>
    <n v="8099045"/>
    <x v="1"/>
    <s v="-"/>
  </r>
  <r>
    <x v="475"/>
    <n v="10176962"/>
    <x v="1"/>
    <s v="-"/>
  </r>
  <r>
    <x v="476"/>
    <n v="12151001"/>
    <x v="1"/>
    <s v="-"/>
  </r>
  <r>
    <x v="477"/>
    <n v="12153597"/>
    <x v="1"/>
    <s v="-"/>
  </r>
  <r>
    <x v="478"/>
    <n v="12244583"/>
    <x v="1"/>
    <s v="-"/>
  </r>
  <r>
    <x v="479"/>
    <n v="12255049"/>
    <x v="1"/>
    <s v="-"/>
  </r>
  <r>
    <x v="480"/>
    <n v="12270666"/>
    <x v="1"/>
    <s v="-"/>
  </r>
  <r>
    <x v="481"/>
    <n v="14106206"/>
    <x v="1"/>
    <s v="-"/>
  </r>
  <r>
    <x v="482"/>
    <n v="14172928"/>
    <x v="1"/>
    <s v="-"/>
  </r>
  <r>
    <x v="483"/>
    <n v="14200323"/>
    <x v="1"/>
    <s v="-"/>
  </r>
  <r>
    <x v="484"/>
    <n v="14281750"/>
    <x v="1"/>
    <s v="-"/>
  </r>
  <r>
    <x v="485"/>
    <n v="14294161"/>
    <x v="1"/>
    <s v="-"/>
  </r>
  <r>
    <x v="486"/>
    <n v="14671848"/>
    <x v="1"/>
    <s v="-"/>
  </r>
  <r>
    <x v="487"/>
    <n v="14749037"/>
    <x v="1"/>
    <s v="-"/>
  </r>
  <r>
    <x v="488"/>
    <n v="19263447"/>
    <x v="1"/>
    <s v="-"/>
  </r>
  <r>
    <x v="489"/>
    <n v="22107039"/>
    <x v="1"/>
    <s v="-"/>
  </r>
  <r>
    <x v="490"/>
    <n v="24304721"/>
    <x v="1"/>
    <s v="-"/>
  </r>
  <r>
    <x v="491"/>
    <n v="30007083"/>
    <x v="1"/>
    <s v="-"/>
  </r>
  <r>
    <x v="492"/>
    <n v="30022009"/>
    <x v="1"/>
    <s v="-"/>
  </r>
  <r>
    <x v="493"/>
    <n v="16030193"/>
    <x v="1"/>
    <s v="-"/>
  </r>
  <r>
    <x v="494"/>
    <n v="16031108"/>
    <x v="1"/>
    <s v="-"/>
  </r>
  <r>
    <x v="495"/>
    <n v="16032334"/>
    <x v="1"/>
    <s v="-"/>
  </r>
  <r>
    <x v="496"/>
    <n v="16034270"/>
    <x v="1"/>
    <s v="-"/>
  </r>
  <r>
    <x v="497"/>
    <n v="16041555"/>
    <x v="1"/>
    <s v="-"/>
  </r>
  <r>
    <x v="498"/>
    <n v="16043795"/>
    <x v="1"/>
    <s v="-"/>
  </r>
  <r>
    <x v="499"/>
    <n v="16050144"/>
    <x v="1"/>
    <s v="-"/>
  </r>
  <r>
    <x v="500"/>
    <n v="16050871"/>
    <x v="1"/>
    <s v="-"/>
  </r>
  <r>
    <x v="501"/>
    <n v="16051668"/>
    <x v="1"/>
    <s v="-"/>
  </r>
  <r>
    <x v="502"/>
    <n v="16058855"/>
    <x v="1"/>
    <s v="-"/>
  </r>
  <r>
    <x v="503"/>
    <n v="16059621"/>
    <x v="1"/>
    <s v="-"/>
  </r>
  <r>
    <x v="504"/>
    <n v="16061214"/>
    <x v="1"/>
    <s v="-"/>
  </r>
  <r>
    <x v="505"/>
    <n v="16065298"/>
    <x v="1"/>
    <s v="-"/>
  </r>
  <r>
    <x v="506"/>
    <n v="16071107"/>
    <x v="1"/>
    <s v="-"/>
  </r>
  <r>
    <x v="507"/>
    <n v="16091815"/>
    <x v="1"/>
    <s v="-"/>
  </r>
  <r>
    <x v="508"/>
    <n v="16100726"/>
    <x v="1"/>
    <s v="-"/>
  </r>
  <r>
    <x v="509"/>
    <n v="16106226"/>
    <x v="1"/>
    <s v="-"/>
  </r>
  <r>
    <x v="510"/>
    <n v="16106707"/>
    <x v="1"/>
    <s v="-"/>
  </r>
  <r>
    <x v="511"/>
    <n v="16119035"/>
    <x v="1"/>
    <s v="-"/>
  </r>
  <r>
    <x v="512"/>
    <n v="16121695"/>
    <x v="1"/>
    <s v="-"/>
  </r>
  <r>
    <x v="513"/>
    <n v="16122605"/>
    <x v="1"/>
    <s v="-"/>
  </r>
  <r>
    <x v="514"/>
    <n v="16124842"/>
    <x v="1"/>
    <s v="-"/>
  </r>
  <r>
    <x v="515"/>
    <n v="16141199"/>
    <x v="1"/>
    <s v="-"/>
  </r>
  <r>
    <x v="188"/>
    <n v="16141578"/>
    <x v="1"/>
    <s v="-"/>
  </r>
  <r>
    <x v="516"/>
    <n v="16148189"/>
    <x v="1"/>
    <s v="-"/>
  </r>
  <r>
    <x v="517"/>
    <n v="16150042"/>
    <x v="1"/>
    <s v="-"/>
  </r>
  <r>
    <x v="518"/>
    <n v="16150499"/>
    <x v="1"/>
    <s v="-"/>
  </r>
  <r>
    <x v="519"/>
    <n v="16152717"/>
    <x v="1"/>
    <s v="-"/>
  </r>
  <r>
    <x v="520"/>
    <n v="16157433"/>
    <x v="1"/>
    <s v="-"/>
  </r>
  <r>
    <x v="521"/>
    <n v="16158691"/>
    <x v="1"/>
    <s v="-"/>
  </r>
  <r>
    <x v="522"/>
    <n v="16158692"/>
    <x v="1"/>
    <s v="-"/>
  </r>
  <r>
    <x v="523"/>
    <n v="30160236"/>
    <x v="1"/>
    <s v="-"/>
  </r>
  <r>
    <x v="524"/>
    <n v="30163814"/>
    <x v="1"/>
    <s v="-"/>
  </r>
  <r>
    <x v="525"/>
    <n v="30165042"/>
    <x v="1"/>
    <s v="-"/>
  </r>
  <r>
    <x v="526"/>
    <n v="30165825"/>
    <x v="1"/>
    <s v="-"/>
  </r>
  <r>
    <x v="527"/>
    <n v="30166105"/>
    <x v="1"/>
    <s v="-"/>
  </r>
  <r>
    <x v="528"/>
    <n v="30171157"/>
    <x v="1"/>
    <s v="-"/>
  </r>
  <r>
    <x v="529"/>
    <n v="30171790"/>
    <x v="1"/>
    <s v="-"/>
  </r>
  <r>
    <x v="530"/>
    <n v="30171944"/>
    <x v="1"/>
    <s v="-"/>
  </r>
  <r>
    <x v="531"/>
    <n v="30171968"/>
    <x v="1"/>
    <s v="-"/>
  </r>
  <r>
    <x v="532"/>
    <n v="30172849"/>
    <x v="1"/>
    <s v="-"/>
  </r>
  <r>
    <x v="533"/>
    <n v="30172855"/>
    <x v="1"/>
    <s v="-"/>
  </r>
  <r>
    <x v="534"/>
    <n v="30173274"/>
    <x v="1"/>
    <s v="-"/>
  </r>
  <r>
    <x v="535"/>
    <n v="30174360"/>
    <x v="1"/>
    <s v="-"/>
  </r>
  <r>
    <x v="536"/>
    <n v="30174588"/>
    <x v="1"/>
    <s v="2016-11-22"/>
  </r>
  <r>
    <x v="537"/>
    <n v="30175858"/>
    <x v="1"/>
    <s v="-"/>
  </r>
  <r>
    <x v="538"/>
    <n v="30175896"/>
    <x v="1"/>
    <s v="-"/>
  </r>
  <r>
    <x v="539"/>
    <n v="30175989"/>
    <x v="1"/>
    <s v="-"/>
  </r>
  <r>
    <x v="540"/>
    <n v="30176729"/>
    <x v="1"/>
    <s v="-"/>
  </r>
  <r>
    <x v="541"/>
    <n v="30176750"/>
    <x v="1"/>
    <s v="-"/>
  </r>
  <r>
    <x v="542"/>
    <n v="30176827"/>
    <x v="1"/>
    <s v="-"/>
  </r>
  <r>
    <x v="543"/>
    <n v="30177710"/>
    <x v="1"/>
    <s v="-"/>
  </r>
  <r>
    <x v="544"/>
    <n v="30178486"/>
    <x v="1"/>
    <s v="-"/>
  </r>
  <r>
    <x v="545"/>
    <n v="30192385"/>
    <x v="1"/>
    <s v="-"/>
  </r>
  <r>
    <x v="546"/>
    <n v="30193214"/>
    <x v="1"/>
    <s v="-"/>
  </r>
  <r>
    <x v="547"/>
    <n v="30193316"/>
    <x v="1"/>
    <s v="-"/>
  </r>
  <r>
    <x v="548"/>
    <n v="30193620"/>
    <x v="1"/>
    <s v="-"/>
  </r>
  <r>
    <x v="549"/>
    <n v="30194269"/>
    <x v="1"/>
    <s v="-"/>
  </r>
  <r>
    <x v="550"/>
    <n v="30195097"/>
    <x v="1"/>
    <s v="-"/>
  </r>
  <r>
    <x v="551"/>
    <n v="30199168"/>
    <x v="1"/>
    <s v="-"/>
  </r>
  <r>
    <x v="552"/>
    <n v="30199768"/>
    <x v="1"/>
    <s v="-"/>
  </r>
  <r>
    <x v="553"/>
    <n v="30201341"/>
    <x v="1"/>
    <s v="-"/>
  </r>
  <r>
    <x v="554"/>
    <n v="30201734"/>
    <x v="1"/>
    <s v="-"/>
  </r>
  <r>
    <x v="555"/>
    <n v="30202168"/>
    <x v="1"/>
    <s v="-"/>
  </r>
  <r>
    <x v="556"/>
    <n v="30202391"/>
    <x v="1"/>
    <s v="-"/>
  </r>
  <r>
    <x v="557"/>
    <n v="30202522"/>
    <x v="1"/>
    <s v="-"/>
  </r>
  <r>
    <x v="558"/>
    <n v="30202895"/>
    <x v="1"/>
    <s v="-"/>
  </r>
  <r>
    <x v="559"/>
    <n v="30203205"/>
    <x v="1"/>
    <s v="-"/>
  </r>
  <r>
    <x v="560"/>
    <n v="30203907"/>
    <x v="1"/>
    <s v="-"/>
  </r>
  <r>
    <x v="561"/>
    <n v="30203923"/>
    <x v="1"/>
    <s v="-"/>
  </r>
  <r>
    <x v="562"/>
    <n v="30205047"/>
    <x v="1"/>
    <s v="-"/>
  </r>
  <r>
    <x v="563"/>
    <n v="30206066"/>
    <x v="1"/>
    <s v="-"/>
  </r>
  <r>
    <x v="564"/>
    <n v="30207214"/>
    <x v="1"/>
    <s v="-"/>
  </r>
  <r>
    <x v="565"/>
    <n v="67207222"/>
    <x v="1"/>
    <s v="-"/>
  </r>
  <r>
    <x v="566"/>
    <n v="67207223"/>
    <x v="1"/>
    <s v="-"/>
  </r>
  <r>
    <x v="567"/>
    <n v="67207569"/>
    <x v="1"/>
    <s v="-"/>
  </r>
  <r>
    <x v="568"/>
    <n v="67207572"/>
    <x v="1"/>
    <s v="-"/>
  </r>
  <r>
    <x v="569"/>
    <n v="67207578"/>
    <x v="1"/>
    <s v="-"/>
  </r>
  <r>
    <x v="570"/>
    <n v="67207583"/>
    <x v="1"/>
    <s v="-"/>
  </r>
  <r>
    <x v="571"/>
    <n v="67210789"/>
    <x v="1"/>
    <s v="-"/>
  </r>
  <r>
    <x v="572"/>
    <n v="67211413"/>
    <x v="1"/>
    <s v="-"/>
  </r>
  <r>
    <x v="573"/>
    <n v="67211972"/>
    <x v="1"/>
    <s v="-"/>
  </r>
  <r>
    <x v="574"/>
    <n v="67212195"/>
    <x v="1"/>
    <s v="-"/>
  </r>
  <r>
    <x v="575"/>
    <n v="67212616"/>
    <x v="1"/>
    <s v="-"/>
  </r>
  <r>
    <x v="576"/>
    <n v="67213386"/>
    <x v="1"/>
    <s v="-"/>
  </r>
  <r>
    <x v="577"/>
    <n v="67213866"/>
    <x v="1"/>
    <s v="-"/>
  </r>
  <r>
    <x v="578"/>
    <n v="67214380"/>
    <x v="1"/>
    <s v="-"/>
  </r>
  <r>
    <x v="579"/>
    <n v="67215497"/>
    <x v="1"/>
    <s v="-"/>
  </r>
  <r>
    <x v="580"/>
    <n v="67217725"/>
    <x v="1"/>
    <s v="-"/>
  </r>
  <r>
    <x v="581"/>
    <n v="67217819"/>
    <x v="1"/>
    <s v="-"/>
  </r>
  <r>
    <x v="582"/>
    <n v="67217821"/>
    <x v="1"/>
    <s v="-"/>
  </r>
  <r>
    <x v="583"/>
    <n v="67218541"/>
    <x v="1"/>
    <s v="-"/>
  </r>
  <r>
    <x v="584"/>
    <n v="67218725"/>
    <x v="1"/>
    <s v="-"/>
  </r>
  <r>
    <x v="585"/>
    <n v="67219750"/>
    <x v="1"/>
    <s v="-"/>
  </r>
  <r>
    <x v="586"/>
    <n v="67219940"/>
    <x v="1"/>
    <s v="-"/>
  </r>
  <r>
    <x v="587"/>
    <n v="67220353"/>
    <x v="1"/>
    <s v="-"/>
  </r>
  <r>
    <x v="588"/>
    <n v="67220358"/>
    <x v="1"/>
    <s v="-"/>
  </r>
  <r>
    <x v="589"/>
    <n v="67220964"/>
    <x v="1"/>
    <s v="-"/>
  </r>
  <r>
    <x v="590"/>
    <n v="67222153"/>
    <x v="1"/>
    <s v="-"/>
  </r>
  <r>
    <x v="591"/>
    <n v="67223044"/>
    <x v="1"/>
    <s v="-"/>
  </r>
  <r>
    <x v="592"/>
    <n v="67226790"/>
    <x v="1"/>
    <s v="-"/>
  </r>
  <r>
    <x v="593"/>
    <n v="67226802"/>
    <x v="1"/>
    <s v="-"/>
  </r>
  <r>
    <x v="594"/>
    <n v="67227723"/>
    <x v="1"/>
    <s v="-"/>
  </r>
  <r>
    <x v="595"/>
    <n v="67227749"/>
    <x v="1"/>
    <s v="-"/>
  </r>
  <r>
    <x v="596"/>
    <n v="67227800"/>
    <x v="1"/>
    <s v="-"/>
  </r>
  <r>
    <x v="597"/>
    <n v="67229053"/>
    <x v="1"/>
    <s v="-"/>
  </r>
  <r>
    <x v="598"/>
    <n v="67230085"/>
    <x v="1"/>
    <s v="-"/>
  </r>
  <r>
    <x v="599"/>
    <n v="67231695"/>
    <x v="1"/>
    <s v="-"/>
  </r>
  <r>
    <x v="600"/>
    <n v="67231696"/>
    <x v="1"/>
    <s v="-"/>
  </r>
  <r>
    <x v="601"/>
    <n v="67231722"/>
    <x v="1"/>
    <s v="-"/>
  </r>
  <r>
    <x v="602"/>
    <n v="67233327"/>
    <x v="1"/>
    <s v="-"/>
  </r>
  <r>
    <x v="603"/>
    <n v="67233328"/>
    <x v="1"/>
    <s v="-"/>
  </r>
  <r>
    <x v="604"/>
    <n v="67233329"/>
    <x v="1"/>
    <s v="-"/>
  </r>
  <r>
    <x v="605"/>
    <n v="67233341"/>
    <x v="1"/>
    <s v="-"/>
  </r>
  <r>
    <x v="606"/>
    <n v="67234224"/>
    <x v="1"/>
    <s v="-"/>
  </r>
  <r>
    <x v="607"/>
    <n v="67234984"/>
    <x v="1"/>
    <s v="-"/>
  </r>
  <r>
    <x v="608"/>
    <n v="67235000"/>
    <x v="1"/>
    <s v="-"/>
  </r>
  <r>
    <x v="609"/>
    <n v="67235254"/>
    <x v="1"/>
    <s v="-"/>
  </r>
  <r>
    <x v="610"/>
    <n v="67236011"/>
    <x v="1"/>
    <s v="-"/>
  </r>
  <r>
    <x v="611"/>
    <n v="67237820"/>
    <x v="1"/>
    <s v="-"/>
  </r>
  <r>
    <x v="612"/>
    <n v="67237987"/>
    <x v="1"/>
    <s v="-"/>
  </r>
  <r>
    <x v="613"/>
    <n v="67237999"/>
    <x v="1"/>
    <s v="-"/>
  </r>
  <r>
    <x v="614"/>
    <n v="67238088"/>
    <x v="1"/>
    <s v="-"/>
  </r>
  <r>
    <x v="615"/>
    <n v="67238277"/>
    <x v="1"/>
    <s v="-"/>
  </r>
  <r>
    <x v="616"/>
    <n v="67241962"/>
    <x v="1"/>
    <s v="-"/>
  </r>
  <r>
    <x v="617"/>
    <n v="67242204"/>
    <x v="1"/>
    <s v="-"/>
  </r>
  <r>
    <x v="618"/>
    <n v="67242208"/>
    <x v="1"/>
    <s v="-"/>
  </r>
  <r>
    <x v="619"/>
    <n v="67243041"/>
    <x v="1"/>
    <s v="-"/>
  </r>
  <r>
    <x v="620"/>
    <n v="67243264"/>
    <x v="1"/>
    <s v="-"/>
  </r>
  <r>
    <x v="621"/>
    <n v="67245817"/>
    <x v="1"/>
    <s v="-"/>
  </r>
  <r>
    <x v="622"/>
    <n v="67245824"/>
    <x v="1"/>
    <s v="-"/>
  </r>
  <r>
    <x v="623"/>
    <n v="67245830"/>
    <x v="1"/>
    <s v="-"/>
  </r>
  <r>
    <x v="624"/>
    <n v="67246734"/>
    <x v="1"/>
    <s v="-"/>
  </r>
  <r>
    <x v="625"/>
    <n v="67246739"/>
    <x v="1"/>
    <s v="-"/>
  </r>
  <r>
    <x v="626"/>
    <n v="67246796"/>
    <x v="1"/>
    <s v="-"/>
  </r>
  <r>
    <x v="627"/>
    <n v="67247465"/>
    <x v="1"/>
    <s v="-"/>
  </r>
  <r>
    <x v="628"/>
    <n v="67247729"/>
    <x v="1"/>
    <s v="-"/>
  </r>
  <r>
    <x v="629"/>
    <n v="67247750"/>
    <x v="1"/>
    <s v="-"/>
  </r>
  <r>
    <x v="630"/>
    <n v="30247927"/>
    <x v="1"/>
    <s v="-"/>
  </r>
  <r>
    <x v="631"/>
    <n v="30247929"/>
    <x v="1"/>
    <s v="-"/>
  </r>
  <r>
    <x v="632"/>
    <n v="30247954"/>
    <x v="1"/>
    <s v="-"/>
  </r>
  <r>
    <x v="633"/>
    <n v="30247955"/>
    <x v="1"/>
    <s v="-"/>
  </r>
  <r>
    <x v="634"/>
    <n v="30247964"/>
    <x v="1"/>
    <s v="-"/>
  </r>
  <r>
    <x v="635"/>
    <n v="30248620"/>
    <x v="1"/>
    <s v="-"/>
  </r>
  <r>
    <x v="636"/>
    <n v="30249167"/>
    <x v="1"/>
    <s v="-"/>
  </r>
  <r>
    <x v="637"/>
    <n v="30250870"/>
    <x v="1"/>
    <s v="-"/>
  </r>
  <r>
    <x v="638"/>
    <n v="30251003"/>
    <x v="1"/>
    <s v="-"/>
  </r>
  <r>
    <x v="639"/>
    <n v="30251005"/>
    <x v="1"/>
    <s v="-"/>
  </r>
  <r>
    <x v="640"/>
    <n v="30251010"/>
    <x v="1"/>
    <s v="-"/>
  </r>
  <r>
    <x v="641"/>
    <n v="30251011"/>
    <x v="1"/>
    <s v="-"/>
  </r>
  <r>
    <x v="642"/>
    <n v="30251999"/>
    <x v="1"/>
    <s v="-"/>
  </r>
  <r>
    <x v="643"/>
    <n v="30252026"/>
    <x v="1"/>
    <s v="-"/>
  </r>
  <r>
    <x v="644"/>
    <n v="30252411"/>
    <x v="1"/>
    <s v="-"/>
  </r>
  <r>
    <x v="645"/>
    <n v="30253712"/>
    <x v="1"/>
    <s v="-"/>
  </r>
  <r>
    <x v="646"/>
    <n v="30254226"/>
    <x v="1"/>
    <s v="-"/>
  </r>
  <r>
    <x v="647"/>
    <n v="30255050"/>
    <x v="1"/>
    <s v="-"/>
  </r>
  <r>
    <x v="648"/>
    <n v="22255523"/>
    <x v="1"/>
    <s v="-"/>
  </r>
  <r>
    <x v="649"/>
    <n v="22255526"/>
    <x v="1"/>
    <s v="-"/>
  </r>
  <r>
    <x v="650"/>
    <n v="22255835"/>
    <x v="1"/>
    <s v="-"/>
  </r>
  <r>
    <x v="651"/>
    <n v="22255951"/>
    <x v="1"/>
    <s v="-"/>
  </r>
  <r>
    <x v="652"/>
    <n v="22256668"/>
    <x v="1"/>
    <s v="-"/>
  </r>
  <r>
    <x v="653"/>
    <n v="22257897"/>
    <x v="1"/>
    <s v="-"/>
  </r>
  <r>
    <x v="654"/>
    <n v="22258613"/>
    <x v="1"/>
    <s v="-"/>
  </r>
  <r>
    <x v="655"/>
    <n v="22259517"/>
    <x v="1"/>
    <s v="-"/>
  </r>
  <r>
    <x v="656"/>
    <n v="22259898"/>
    <x v="1"/>
    <s v="-"/>
  </r>
  <r>
    <x v="657"/>
    <n v="22260170"/>
    <x v="1"/>
    <s v="-"/>
  </r>
  <r>
    <x v="658"/>
    <n v="22261238"/>
    <x v="1"/>
    <s v="-"/>
  </r>
  <r>
    <x v="659"/>
    <n v="22261766"/>
    <x v="1"/>
    <s v="-"/>
  </r>
  <r>
    <x v="660"/>
    <n v="22262563"/>
    <x v="1"/>
    <s v="-"/>
  </r>
  <r>
    <x v="661"/>
    <n v="22262620"/>
    <x v="1"/>
    <s v="-"/>
  </r>
  <r>
    <x v="662"/>
    <n v="22262622"/>
    <x v="1"/>
    <s v="-"/>
  </r>
  <r>
    <x v="663"/>
    <n v="22039619"/>
    <x v="0"/>
    <s v="-"/>
  </r>
  <r>
    <x v="664"/>
    <n v="22075759"/>
    <x v="0"/>
    <s v="-"/>
  </r>
  <r>
    <x v="665"/>
    <n v="22131648"/>
    <x v="0"/>
    <s v="2012-02-29"/>
  </r>
  <r>
    <x v="666"/>
    <n v="22110925"/>
    <x v="0"/>
    <s v="-"/>
  </r>
  <r>
    <x v="667"/>
    <n v="22045259"/>
    <x v="0"/>
    <s v="2016-07-01"/>
  </r>
  <r>
    <x v="668"/>
    <n v="36175947"/>
    <x v="0"/>
    <s v="-"/>
  </r>
  <r>
    <x v="669"/>
    <n v="36334310"/>
    <x v="0"/>
    <s v="-"/>
  </r>
  <r>
    <x v="670"/>
    <n v="63033559"/>
    <x v="0"/>
    <s v="-"/>
  </r>
  <r>
    <x v="671"/>
    <n v="63084903"/>
    <x v="0"/>
    <s v="2011-03-21"/>
  </r>
  <r>
    <x v="672"/>
    <n v="63107176"/>
    <x v="0"/>
    <s v="2009-08-28"/>
  </r>
  <r>
    <x v="673"/>
    <n v="63425918"/>
    <x v="0"/>
    <s v="2004-05-12"/>
  </r>
  <r>
    <x v="46"/>
    <n v="63433010"/>
    <x v="0"/>
    <s v="2015-03-05"/>
  </r>
  <r>
    <x v="674"/>
    <n v="63453589"/>
    <x v="0"/>
    <s v="2013-01-23"/>
  </r>
  <r>
    <x v="675"/>
    <n v="63977447"/>
    <x v="0"/>
    <s v="-"/>
  </r>
  <r>
    <x v="676"/>
    <n v="63979648"/>
    <x v="0"/>
    <s v="2014-09-09"/>
  </r>
  <r>
    <x v="677"/>
    <n v="63030895"/>
    <x v="1"/>
    <s v="-"/>
  </r>
  <r>
    <x v="678"/>
    <n v="63083191"/>
    <x v="1"/>
    <s v="2009-03-23"/>
  </r>
  <r>
    <x v="679"/>
    <n v="301135450004"/>
    <x v="2"/>
    <s v="-"/>
  </r>
  <r>
    <x v="680"/>
    <n v="380569"/>
    <x v="0"/>
    <s v="-"/>
  </r>
  <r>
    <x v="681"/>
    <n v="381267"/>
    <x v="0"/>
    <s v="-"/>
  </r>
  <r>
    <x v="682"/>
    <n v="381312"/>
    <x v="0"/>
    <s v="-"/>
  </r>
  <r>
    <x v="683"/>
    <n v="381859"/>
    <x v="0"/>
    <s v="2003-05-06"/>
  </r>
  <r>
    <x v="684"/>
    <n v="382111"/>
    <x v="0"/>
    <s v="2005-10-17"/>
  </r>
  <r>
    <x v="685"/>
    <n v="382125"/>
    <x v="0"/>
    <s v="2006-11-28"/>
  </r>
  <r>
    <x v="686"/>
    <n v="382635"/>
    <x v="0"/>
    <s v="-"/>
  </r>
  <r>
    <x v="687"/>
    <n v="383185"/>
    <x v="0"/>
    <s v="-"/>
  </r>
  <r>
    <x v="688"/>
    <n v="383186"/>
    <x v="0"/>
    <s v="2011-12-28"/>
  </r>
  <r>
    <x v="689"/>
    <n v="812188"/>
    <x v="0"/>
    <s v="2000-01-17"/>
  </r>
  <r>
    <x v="690"/>
    <n v="819848"/>
    <x v="0"/>
    <s v="2011-03-21"/>
  </r>
  <r>
    <x v="691"/>
    <n v="820197"/>
    <x v="0"/>
    <s v="2013-04-18"/>
  </r>
  <r>
    <x v="692"/>
    <n v="820224"/>
    <x v="0"/>
    <s v="2008-12-12"/>
  </r>
  <r>
    <x v="693"/>
    <n v="9244050"/>
    <x v="0"/>
    <s v="2015-05-19"/>
  </r>
  <r>
    <x v="694"/>
    <n v="22116346"/>
    <x v="0"/>
    <s v="2015-09-01"/>
  </r>
  <r>
    <x v="695"/>
    <n v="22164332"/>
    <x v="0"/>
    <s v="-"/>
  </r>
  <r>
    <x v="696"/>
    <n v="27761772"/>
    <x v="0"/>
    <s v="2014-04-29"/>
  </r>
  <r>
    <x v="697"/>
    <n v="28010028"/>
    <x v="0"/>
    <s v="-"/>
  </r>
  <r>
    <x v="698"/>
    <n v="32000341"/>
    <x v="0"/>
    <s v="2010-12-22"/>
  </r>
  <r>
    <x v="699"/>
    <n v="32002312"/>
    <x v="0"/>
    <s v="-"/>
  </r>
  <r>
    <x v="700"/>
    <n v="32006928"/>
    <x v="0"/>
    <s v="2005-10-03"/>
  </r>
  <r>
    <x v="701"/>
    <n v="32007841"/>
    <x v="0"/>
    <s v="2007-02-12"/>
  </r>
  <r>
    <x v="702"/>
    <n v="32008471"/>
    <x v="0"/>
    <s v="2006-09-28"/>
  </r>
  <r>
    <x v="703"/>
    <n v="32009997"/>
    <x v="0"/>
    <s v="2008-05-14"/>
  </r>
  <r>
    <x v="704"/>
    <n v="32011055"/>
    <x v="0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4578D-00FD-446D-B058-F5A9F90BE38D}" name="Tabela przestawna1" cacheId="3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B8" firstHeaderRow="1" firstDataRow="1" firstDataCol="1"/>
  <pivotFields count="4">
    <pivotField dataField="1" showAll="0">
      <items count="706">
        <item x="2"/>
        <item x="99"/>
        <item x="63"/>
        <item x="121"/>
        <item x="21"/>
        <item x="618"/>
        <item x="296"/>
        <item x="139"/>
        <item x="252"/>
        <item x="473"/>
        <item x="410"/>
        <item x="629"/>
        <item x="378"/>
        <item x="525"/>
        <item x="543"/>
        <item x="286"/>
        <item x="560"/>
        <item x="482"/>
        <item x="529"/>
        <item x="344"/>
        <item x="372"/>
        <item x="675"/>
        <item x="368"/>
        <item x="371"/>
        <item x="411"/>
        <item x="488"/>
        <item x="73"/>
        <item x="457"/>
        <item x="192"/>
        <item x="432"/>
        <item x="384"/>
        <item x="81"/>
        <item x="427"/>
        <item x="640"/>
        <item x="394"/>
        <item x="41"/>
        <item x="515"/>
        <item x="444"/>
        <item x="266"/>
        <item x="175"/>
        <item x="176"/>
        <item x="302"/>
        <item x="342"/>
        <item x="366"/>
        <item x="461"/>
        <item x="11"/>
        <item x="589"/>
        <item x="347"/>
        <item x="699"/>
        <item x="203"/>
        <item x="517"/>
        <item x="211"/>
        <item x="456"/>
        <item x="703"/>
        <item x="379"/>
        <item x="463"/>
        <item x="20"/>
        <item x="551"/>
        <item x="425"/>
        <item x="349"/>
        <item x="199"/>
        <item x="388"/>
        <item x="287"/>
        <item x="649"/>
        <item x="666"/>
        <item x="246"/>
        <item x="215"/>
        <item x="566"/>
        <item x="514"/>
        <item x="4"/>
        <item x="660"/>
        <item x="155"/>
        <item x="417"/>
        <item x="234"/>
        <item x="472"/>
        <item x="278"/>
        <item x="331"/>
        <item x="154"/>
        <item x="291"/>
        <item x="687"/>
        <item x="431"/>
        <item x="294"/>
        <item x="240"/>
        <item x="662"/>
        <item x="563"/>
        <item x="54"/>
        <item x="156"/>
        <item x="206"/>
        <item x="408"/>
        <item x="131"/>
        <item x="112"/>
        <item x="636"/>
        <item x="110"/>
        <item x="198"/>
        <item x="111"/>
        <item x="181"/>
        <item x="257"/>
        <item x="621"/>
        <item x="132"/>
        <item x="600"/>
        <item x="494"/>
        <item x="536"/>
        <item x="162"/>
        <item x="548"/>
        <item x="415"/>
        <item x="383"/>
        <item x="27"/>
        <item x="17"/>
        <item x="585"/>
        <item x="56"/>
        <item x="12"/>
        <item x="87"/>
        <item x="435"/>
        <item x="584"/>
        <item x="470"/>
        <item x="553"/>
        <item x="500"/>
        <item x="184"/>
        <item x="401"/>
        <item x="0"/>
        <item x="23"/>
        <item x="604"/>
        <item x="32"/>
        <item x="55"/>
        <item x="126"/>
        <item x="370"/>
        <item x="149"/>
        <item x="276"/>
        <item x="486"/>
        <item x="631"/>
        <item x="538"/>
        <item x="316"/>
        <item x="168"/>
        <item x="601"/>
        <item x="542"/>
        <item x="541"/>
        <item x="505"/>
        <item x="85"/>
        <item x="289"/>
        <item x="613"/>
        <item x="509"/>
        <item x="623"/>
        <item x="564"/>
        <item x="263"/>
        <item x="445"/>
        <item x="446"/>
        <item x="466"/>
        <item x="597"/>
        <item x="688"/>
        <item x="678"/>
        <item x="423"/>
        <item x="228"/>
        <item x="33"/>
        <item x="152"/>
        <item x="265"/>
        <item x="439"/>
        <item x="396"/>
        <item x="136"/>
        <item x="253"/>
        <item x="353"/>
        <item x="471"/>
        <item x="391"/>
        <item x="695"/>
        <item x="579"/>
        <item x="507"/>
        <item x="530"/>
        <item x="172"/>
        <item x="496"/>
        <item x="610"/>
        <item x="104"/>
        <item x="557"/>
        <item x="503"/>
        <item x="534"/>
        <item x="504"/>
        <item x="113"/>
        <item x="393"/>
        <item x="587"/>
        <item x="22"/>
        <item x="642"/>
        <item x="249"/>
        <item x="284"/>
        <item x="580"/>
        <item x="567"/>
        <item x="558"/>
        <item x="492"/>
        <item x="272"/>
        <item x="109"/>
        <item x="449"/>
        <item x="513"/>
        <item x="64"/>
        <item x="193"/>
        <item x="670"/>
        <item x="135"/>
        <item x="114"/>
        <item x="295"/>
        <item x="288"/>
        <item x="120"/>
        <item x="106"/>
        <item x="134"/>
        <item x="387"/>
        <item x="6"/>
        <item x="479"/>
        <item x="365"/>
        <item x="590"/>
        <item x="630"/>
        <item x="483"/>
        <item x="562"/>
        <item x="183"/>
        <item x="531"/>
        <item x="61"/>
        <item x="80"/>
        <item x="285"/>
        <item x="356"/>
        <item x="53"/>
        <item x="82"/>
        <item x="639"/>
        <item x="214"/>
        <item x="189"/>
        <item x="665"/>
        <item x="550"/>
        <item x="528"/>
        <item x="523"/>
        <item x="521"/>
        <item x="46"/>
        <item x="363"/>
        <item x="45"/>
        <item x="358"/>
        <item x="57"/>
        <item x="65"/>
        <item x="51"/>
        <item x="30"/>
        <item x="373"/>
        <item x="48"/>
        <item x="49"/>
        <item x="283"/>
        <item x="83"/>
        <item x="74"/>
        <item x="657"/>
        <item x="400"/>
        <item x="477"/>
        <item x="382"/>
        <item x="611"/>
        <item x="218"/>
        <item x="608"/>
        <item x="603"/>
        <item x="157"/>
        <item x="1"/>
        <item x="26"/>
        <item x="229"/>
        <item x="443"/>
        <item x="680"/>
        <item x="322"/>
        <item x="239"/>
        <item x="242"/>
        <item x="227"/>
        <item x="475"/>
        <item x="502"/>
        <item x="497"/>
        <item x="414"/>
        <item x="573"/>
        <item x="202"/>
        <item x="165"/>
        <item x="576"/>
        <item x="607"/>
        <item x="520"/>
        <item x="569"/>
        <item x="526"/>
        <item x="413"/>
        <item x="697"/>
        <item x="498"/>
        <item x="221"/>
        <item x="69"/>
        <item x="458"/>
        <item x="72"/>
        <item x="434"/>
        <item x="209"/>
        <item x="62"/>
        <item x="191"/>
        <item x="404"/>
        <item x="341"/>
        <item x="145"/>
        <item x="186"/>
        <item x="409"/>
        <item x="259"/>
        <item x="643"/>
        <item x="163"/>
        <item x="661"/>
        <item x="312"/>
        <item x="128"/>
        <item x="407"/>
        <item x="508"/>
        <item x="304"/>
        <item x="273"/>
        <item x="261"/>
        <item x="159"/>
        <item x="44"/>
        <item x="402"/>
        <item x="129"/>
        <item x="447"/>
        <item x="236"/>
        <item x="385"/>
        <item x="693"/>
        <item x="37"/>
        <item x="232"/>
        <item x="375"/>
        <item x="158"/>
        <item x="137"/>
        <item x="537"/>
        <item x="516"/>
        <item x="588"/>
        <item x="664"/>
        <item x="522"/>
        <item x="275"/>
        <item x="376"/>
        <item x="127"/>
        <item x="18"/>
        <item x="455"/>
        <item x="274"/>
        <item x="153"/>
        <item x="140"/>
        <item x="270"/>
        <item x="174"/>
        <item x="269"/>
        <item x="75"/>
        <item x="280"/>
        <item x="351"/>
        <item x="454"/>
        <item x="24"/>
        <item x="395"/>
        <item x="616"/>
        <item x="220"/>
        <item x="244"/>
        <item x="91"/>
        <item x="223"/>
        <item x="88"/>
        <item x="326"/>
        <item x="468"/>
        <item x="108"/>
        <item x="293"/>
        <item x="416"/>
        <item x="212"/>
        <item x="485"/>
        <item x="25"/>
        <item x="332"/>
        <item x="476"/>
        <item x="187"/>
        <item x="679"/>
        <item x="210"/>
        <item x="330"/>
        <item x="15"/>
        <item x="354"/>
        <item x="430"/>
        <item x="419"/>
        <item x="320"/>
        <item x="161"/>
        <item x="124"/>
        <item x="539"/>
        <item x="467"/>
        <item x="512"/>
        <item x="501"/>
        <item x="315"/>
        <item x="50"/>
        <item x="118"/>
        <item x="489"/>
        <item x="144"/>
        <item x="598"/>
        <item x="452"/>
        <item x="281"/>
        <item x="546"/>
        <item x="151"/>
        <item x="348"/>
        <item x="577"/>
        <item x="625"/>
        <item x="484"/>
        <item x="185"/>
        <item x="605"/>
        <item x="609"/>
        <item x="254"/>
        <item x="451"/>
        <item x="97"/>
        <item x="424"/>
        <item x="367"/>
        <item x="547"/>
        <item x="440"/>
        <item x="255"/>
        <item x="105"/>
        <item x="602"/>
        <item x="31"/>
        <item x="164"/>
        <item x="460"/>
        <item x="297"/>
        <item x="39"/>
        <item x="222"/>
        <item x="5"/>
        <item x="122"/>
        <item x="380"/>
        <item x="292"/>
        <item x="34"/>
        <item x="490"/>
        <item x="28"/>
        <item x="405"/>
        <item x="524"/>
        <item x="581"/>
        <item x="698"/>
        <item x="9"/>
        <item x="586"/>
        <item x="29"/>
        <item x="146"/>
        <item x="323"/>
        <item x="397"/>
        <item x="459"/>
        <item x="282"/>
        <item x="572"/>
        <item x="148"/>
        <item x="306"/>
        <item x="429"/>
        <item x="499"/>
        <item x="596"/>
        <item x="624"/>
        <item x="7"/>
        <item x="133"/>
        <item x="167"/>
        <item x="173"/>
        <item x="271"/>
        <item x="591"/>
        <item x="669"/>
        <item x="346"/>
        <item x="617"/>
        <item x="632"/>
        <item x="638"/>
        <item x="633"/>
        <item x="511"/>
        <item x="426"/>
        <item x="450"/>
        <item x="258"/>
        <item x="641"/>
        <item x="622"/>
        <item x="481"/>
        <item x="549"/>
        <item x="656"/>
        <item x="138"/>
        <item x="436"/>
        <item x="130"/>
        <item x="559"/>
        <item x="614"/>
        <item x="637"/>
        <item x="635"/>
        <item x="694"/>
        <item x="652"/>
        <item x="325"/>
        <item x="225"/>
        <item x="84"/>
        <item x="13"/>
        <item x="399"/>
        <item x="66"/>
        <item x="360"/>
        <item x="47"/>
        <item x="685"/>
        <item x="545"/>
        <item x="95"/>
        <item x="442"/>
        <item x="364"/>
        <item x="361"/>
        <item x="606"/>
        <item x="645"/>
        <item x="595"/>
        <item x="650"/>
        <item x="178"/>
        <item x="235"/>
        <item x="123"/>
        <item x="392"/>
        <item x="592"/>
        <item x="634"/>
        <item x="474"/>
        <item x="612"/>
        <item x="201"/>
        <item x="300"/>
        <item x="510"/>
        <item x="421"/>
        <item x="619"/>
        <item x="171"/>
        <item x="213"/>
        <item x="333"/>
        <item x="337"/>
        <item x="324"/>
        <item x="340"/>
        <item x="338"/>
        <item x="102"/>
        <item x="251"/>
        <item x="107"/>
        <item x="491"/>
        <item x="644"/>
        <item x="43"/>
        <item x="243"/>
        <item x="319"/>
        <item x="359"/>
        <item x="301"/>
        <item x="422"/>
        <item x="350"/>
        <item x="169"/>
        <item x="438"/>
        <item x="89"/>
        <item x="16"/>
        <item x="98"/>
        <item x="10"/>
        <item x="40"/>
        <item x="308"/>
        <item x="418"/>
        <item x="86"/>
        <item x="77"/>
        <item x="290"/>
        <item x="14"/>
        <item x="170"/>
        <item x="8"/>
        <item x="224"/>
        <item x="103"/>
        <item x="334"/>
        <item x="686"/>
        <item x="238"/>
        <item x="681"/>
        <item x="298"/>
        <item x="682"/>
        <item x="701"/>
        <item x="309"/>
        <item x="248"/>
        <item x="78"/>
        <item x="535"/>
        <item x="142"/>
        <item x="571"/>
        <item x="583"/>
        <item x="207"/>
        <item x="465"/>
        <item x="100"/>
        <item x="696"/>
        <item x="487"/>
        <item x="68"/>
        <item x="647"/>
        <item x="94"/>
        <item x="60"/>
        <item x="671"/>
        <item x="231"/>
        <item x="150"/>
        <item x="700"/>
        <item x="464"/>
        <item x="264"/>
        <item x="412"/>
        <item x="305"/>
        <item x="335"/>
        <item x="506"/>
        <item x="453"/>
        <item x="428"/>
        <item x="195"/>
        <item x="196"/>
        <item x="19"/>
        <item x="658"/>
        <item x="200"/>
        <item x="216"/>
        <item x="93"/>
        <item x="125"/>
        <item x="313"/>
        <item x="268"/>
        <item x="556"/>
        <item x="554"/>
        <item x="648"/>
        <item x="683"/>
        <item x="659"/>
        <item x="247"/>
        <item x="343"/>
        <item x="116"/>
        <item x="160"/>
        <item x="702"/>
        <item x="233"/>
        <item x="628"/>
        <item x="574"/>
        <item x="52"/>
        <item x="241"/>
        <item x="570"/>
        <item x="67"/>
        <item x="217"/>
        <item x="420"/>
        <item x="691"/>
        <item x="3"/>
        <item x="141"/>
        <item x="462"/>
        <item x="575"/>
        <item x="208"/>
        <item x="663"/>
        <item x="672"/>
        <item x="673"/>
        <item x="166"/>
        <item x="90"/>
        <item x="390"/>
        <item x="381"/>
        <item x="389"/>
        <item x="433"/>
        <item x="42"/>
        <item x="655"/>
        <item x="495"/>
        <item x="690"/>
        <item x="689"/>
        <item x="310"/>
        <item x="480"/>
        <item x="478"/>
        <item x="437"/>
        <item x="35"/>
        <item x="357"/>
        <item x="668"/>
        <item x="527"/>
        <item x="374"/>
        <item x="182"/>
        <item x="205"/>
        <item x="92"/>
        <item x="493"/>
        <item x="519"/>
        <item x="674"/>
        <item x="406"/>
        <item x="651"/>
        <item x="646"/>
        <item x="117"/>
        <item x="147"/>
        <item x="654"/>
        <item x="677"/>
        <item x="565"/>
        <item x="533"/>
        <item x="599"/>
        <item x="692"/>
        <item x="627"/>
        <item x="615"/>
        <item x="188"/>
        <item x="552"/>
        <item x="540"/>
        <item x="369"/>
        <item x="194"/>
        <item x="143"/>
        <item x="314"/>
        <item x="311"/>
        <item x="403"/>
        <item x="386"/>
        <item x="328"/>
        <item x="307"/>
        <item x="704"/>
        <item x="676"/>
        <item x="329"/>
        <item x="237"/>
        <item x="321"/>
        <item x="336"/>
        <item x="277"/>
        <item x="582"/>
        <item x="79"/>
        <item x="219"/>
        <item x="190"/>
        <item x="555"/>
        <item x="544"/>
        <item x="362"/>
        <item x="267"/>
        <item x="578"/>
        <item x="667"/>
        <item x="377"/>
        <item x="469"/>
        <item x="345"/>
        <item x="256"/>
        <item x="518"/>
        <item x="532"/>
        <item x="568"/>
        <item x="352"/>
        <item x="626"/>
        <item x="593"/>
        <item x="620"/>
        <item x="115"/>
        <item x="262"/>
        <item x="101"/>
        <item x="70"/>
        <item x="594"/>
        <item x="653"/>
        <item x="561"/>
        <item x="204"/>
        <item x="119"/>
        <item x="179"/>
        <item x="180"/>
        <item x="177"/>
        <item x="317"/>
        <item x="76"/>
        <item x="303"/>
        <item x="230"/>
        <item x="250"/>
        <item x="327"/>
        <item x="355"/>
        <item x="684"/>
        <item x="36"/>
        <item x="245"/>
        <item x="71"/>
        <item x="299"/>
        <item x="197"/>
        <item x="96"/>
        <item x="339"/>
        <item x="441"/>
        <item x="448"/>
        <item x="38"/>
        <item x="58"/>
        <item x="59"/>
        <item x="226"/>
        <item x="279"/>
        <item x="398"/>
        <item x="318"/>
        <item x="260"/>
        <item t="default"/>
      </items>
    </pivotField>
    <pivotField numFmtId="1" showAll="0"/>
    <pivotField axis="axisRow" showAll="0">
      <items count="5">
        <item x="0"/>
        <item x="2"/>
        <item x="3"/>
        <item x="1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ba z Przedsiębiorstw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4" xr16:uid="{9A3105E0-9294-4AC5-8341-90564E7EDF61}" autoFormatId="16" applyNumberFormats="0" applyBorderFormats="0" applyFontFormats="0" applyPatternFormats="0" applyAlignmentFormats="0" applyWidthHeightFormats="0">
  <queryTableRefresh nextId="5">
    <queryTableFields count="4">
      <queryTableField id="1" name="Przedsiębiorstwo" tableColumnId="1"/>
      <queryTableField id="2" name="Regon" tableColumnId="2"/>
      <queryTableField id="3" name="Typ" tableColumnId="3"/>
      <queryTableField id="4" name="Data usunięcia z systemu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5" xr16:uid="{088794C9-EB6F-4818-80B2-285E305A91D7}" autoFormatId="16" applyNumberFormats="0" applyBorderFormats="0" applyFontFormats="0" applyPatternFormats="0" applyAlignmentFormats="0" applyWidthHeightFormats="0">
  <queryTableRefresh nextId="9" unboundColumnsRight="4">
    <queryTableFields count="8">
      <queryTableField id="1" name="Przedsiębiorstwo" tableColumnId="1"/>
      <queryTableField id="2" name="Regon" tableColumnId="2"/>
      <queryTableField id="3" name="Typ" tableColumnId="3"/>
      <queryTableField id="4" name="Data usunięcia z systemu" tableColumnId="4"/>
      <queryTableField id="7" dataBound="0" tableColumnId="8"/>
      <queryTableField id="5" dataBound="0" tableColumnId="5"/>
      <queryTableField id="8" dataBound="0" tableColumnId="9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B69980-BEED-4885-A953-34E1E2AFD71F}" name="regon" displayName="regon" ref="A1:D748" tableType="queryTable" totalsRowShown="0">
  <autoFilter ref="A1:D748" xr:uid="{EC71CD3F-C788-4940-AD87-648125A35532}"/>
  <tableColumns count="4">
    <tableColumn id="1" xr3:uid="{1B0EDA5F-1FCA-4E50-9AC0-1A6FE4879B28}" uniqueName="1" name="Przedsiębiorstwo" queryTableFieldId="1" dataDxfId="10"/>
    <tableColumn id="2" xr3:uid="{3A0791F6-B914-4DDF-81B9-831DDE085652}" uniqueName="2" name="Regon" queryTableFieldId="2" dataDxfId="8"/>
    <tableColumn id="3" xr3:uid="{7898647F-6EBD-4ED2-8EF0-2A9203D9F734}" uniqueName="3" name="Typ" queryTableFieldId="3" dataDxfId="9"/>
    <tableColumn id="4" xr3:uid="{9457699F-D018-42E4-84E7-FDFE00D8D5B0}" uniqueName="4" name="Data usunięcia z systemu" queryTableFieldId="4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6466C5-80C3-41AC-BB1D-7BF8E4D085AF}" name="regon9" displayName="regon9" ref="A1:H748" tableType="queryTable" totalsRowShown="0">
  <autoFilter ref="A1:H748" xr:uid="{05FC24F0-3350-48BC-8BFD-F571042126F7}"/>
  <tableColumns count="8">
    <tableColumn id="1" xr3:uid="{9BEB67FE-E665-418F-A7E6-63C91A218679}" uniqueName="1" name="Przedsiębiorstwo" queryTableFieldId="1" dataDxfId="7"/>
    <tableColumn id="2" xr3:uid="{BA36CA70-68A6-42CA-9B09-5D3DDBEBDE81}" uniqueName="2" name="Regon" queryTableFieldId="2" dataDxfId="5"/>
    <tableColumn id="3" xr3:uid="{318A69EB-DCA8-4FBF-9D23-665D58633327}" uniqueName="3" name="Typ" queryTableFieldId="3" dataDxfId="6"/>
    <tableColumn id="4" xr3:uid="{ECC2E2CC-DAC0-4A6E-986C-72FA37E92ED1}" uniqueName="4" name="Data usunięcia z systemu" queryTableFieldId="4" dataDxfId="4"/>
    <tableColumn id="8" xr3:uid="{217D9309-9E46-4F3C-A319-D8E5394C5565}" uniqueName="8" name="Full_Regon" queryTableFieldId="7" dataDxfId="3">
      <calculatedColumnFormula>IF(LEN(regon9[[#This Row],[Regon]]) = 7,TEXT(regon9[[#This Row],[Regon]],"000000000"),regon9[[#This Row],[Regon]])</calculatedColumnFormula>
    </tableColumn>
    <tableColumn id="5" xr3:uid="{1CE308B6-F545-4AEF-BE8C-4EA23A1755E7}" uniqueName="5" name="Cyfra kontrolna 1" queryTableFieldId="5" dataDxfId="0">
      <calculatedColumnFormula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calculatedColumnFormula>
    </tableColumn>
    <tableColumn id="9" xr3:uid="{D2A775BE-0855-4E42-815D-1F12D64CB509}" uniqueName="9" name="regon_1" queryTableFieldId="8" dataDxfId="1"/>
    <tableColumn id="6" xr3:uid="{0F9D7E20-9921-48CD-A206-28746CD9C861}" uniqueName="6" name="Cyfra kontrolna 2" queryTableFieldId="6" dataDxfId="2">
      <calculatedColumnFormula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137B-D497-4345-B3A0-F16627798B57}">
  <dimension ref="A1:A49"/>
  <sheetViews>
    <sheetView workbookViewId="0">
      <selection activeCell="C8" sqref="C8"/>
    </sheetView>
  </sheetViews>
  <sheetFormatPr defaultRowHeight="15" x14ac:dyDescent="0.25"/>
  <cols>
    <col min="1" max="1" width="22.7109375" customWidth="1"/>
  </cols>
  <sheetData>
    <row r="1" spans="1:1" x14ac:dyDescent="0.25">
      <c r="A1" s="2" t="s">
        <v>916</v>
      </c>
    </row>
    <row r="2" spans="1:1" x14ac:dyDescent="0.25">
      <c r="A2" s="3" t="s">
        <v>917</v>
      </c>
    </row>
    <row r="3" spans="1:1" x14ac:dyDescent="0.25">
      <c r="A3" s="2" t="s">
        <v>918</v>
      </c>
    </row>
    <row r="4" spans="1:1" x14ac:dyDescent="0.25">
      <c r="A4" s="3" t="s">
        <v>919</v>
      </c>
    </row>
    <row r="5" spans="1:1" x14ac:dyDescent="0.25">
      <c r="A5" s="2" t="s">
        <v>920</v>
      </c>
    </row>
    <row r="6" spans="1:1" x14ac:dyDescent="0.25">
      <c r="A6" s="3" t="s">
        <v>921</v>
      </c>
    </row>
    <row r="7" spans="1:1" x14ac:dyDescent="0.25">
      <c r="A7" s="2" t="s">
        <v>922</v>
      </c>
    </row>
    <row r="8" spans="1:1" x14ac:dyDescent="0.25">
      <c r="A8" s="3" t="s">
        <v>923</v>
      </c>
    </row>
    <row r="9" spans="1:1" x14ac:dyDescent="0.25">
      <c r="A9" s="2" t="s">
        <v>924</v>
      </c>
    </row>
    <row r="10" spans="1:1" x14ac:dyDescent="0.25">
      <c r="A10" s="3" t="s">
        <v>925</v>
      </c>
    </row>
    <row r="11" spans="1:1" x14ac:dyDescent="0.25">
      <c r="A11" s="2" t="s">
        <v>926</v>
      </c>
    </row>
    <row r="12" spans="1:1" x14ac:dyDescent="0.25">
      <c r="A12" s="3" t="s">
        <v>927</v>
      </c>
    </row>
    <row r="13" spans="1:1" x14ac:dyDescent="0.25">
      <c r="A13" s="2" t="s">
        <v>928</v>
      </c>
    </row>
    <row r="14" spans="1:1" x14ac:dyDescent="0.25">
      <c r="A14" s="3" t="s">
        <v>929</v>
      </c>
    </row>
    <row r="15" spans="1:1" x14ac:dyDescent="0.25">
      <c r="A15" s="2" t="s">
        <v>930</v>
      </c>
    </row>
    <row r="16" spans="1:1" x14ac:dyDescent="0.25">
      <c r="A16" s="3" t="s">
        <v>931</v>
      </c>
    </row>
    <row r="17" spans="1:1" x14ac:dyDescent="0.25">
      <c r="A17" s="2" t="s">
        <v>932</v>
      </c>
    </row>
    <row r="18" spans="1:1" x14ac:dyDescent="0.25">
      <c r="A18" s="3" t="s">
        <v>933</v>
      </c>
    </row>
    <row r="19" spans="1:1" x14ac:dyDescent="0.25">
      <c r="A19" s="2" t="s">
        <v>934</v>
      </c>
    </row>
    <row r="20" spans="1:1" x14ac:dyDescent="0.25">
      <c r="A20" s="3" t="s">
        <v>935</v>
      </c>
    </row>
    <row r="21" spans="1:1" x14ac:dyDescent="0.25">
      <c r="A21" s="2" t="s">
        <v>936</v>
      </c>
    </row>
    <row r="22" spans="1:1" x14ac:dyDescent="0.25">
      <c r="A22" s="3" t="s">
        <v>937</v>
      </c>
    </row>
    <row r="23" spans="1:1" x14ac:dyDescent="0.25">
      <c r="A23" s="2" t="s">
        <v>938</v>
      </c>
    </row>
    <row r="24" spans="1:1" x14ac:dyDescent="0.25">
      <c r="A24" s="3" t="s">
        <v>4</v>
      </c>
    </row>
    <row r="25" spans="1:1" x14ac:dyDescent="0.25">
      <c r="A25" s="2" t="s">
        <v>939</v>
      </c>
    </row>
    <row r="26" spans="1:1" x14ac:dyDescent="0.25">
      <c r="A26" s="3" t="s">
        <v>940</v>
      </c>
    </row>
    <row r="27" spans="1:1" x14ac:dyDescent="0.25">
      <c r="A27" s="2" t="s">
        <v>941</v>
      </c>
    </row>
    <row r="28" spans="1:1" x14ac:dyDescent="0.25">
      <c r="A28" s="3" t="s">
        <v>942</v>
      </c>
    </row>
    <row r="29" spans="1:1" x14ac:dyDescent="0.25">
      <c r="A29" s="2" t="s">
        <v>943</v>
      </c>
    </row>
    <row r="30" spans="1:1" x14ac:dyDescent="0.25">
      <c r="A30" s="3" t="s">
        <v>944</v>
      </c>
    </row>
    <row r="31" spans="1:1" x14ac:dyDescent="0.25">
      <c r="A31" s="2" t="s">
        <v>945</v>
      </c>
    </row>
    <row r="32" spans="1:1" x14ac:dyDescent="0.25">
      <c r="A32" s="3" t="s">
        <v>946</v>
      </c>
    </row>
    <row r="33" spans="1:1" x14ac:dyDescent="0.25">
      <c r="A33" s="2" t="s">
        <v>947</v>
      </c>
    </row>
    <row r="34" spans="1:1" x14ac:dyDescent="0.25">
      <c r="A34" s="3" t="s">
        <v>948</v>
      </c>
    </row>
    <row r="35" spans="1:1" x14ac:dyDescent="0.25">
      <c r="A35" s="2" t="s">
        <v>949</v>
      </c>
    </row>
    <row r="36" spans="1:1" x14ac:dyDescent="0.25">
      <c r="A36" s="3" t="s">
        <v>950</v>
      </c>
    </row>
    <row r="37" spans="1:1" x14ac:dyDescent="0.25">
      <c r="A37" s="2" t="s">
        <v>951</v>
      </c>
    </row>
    <row r="38" spans="1:1" x14ac:dyDescent="0.25">
      <c r="A38" s="3" t="s">
        <v>952</v>
      </c>
    </row>
    <row r="39" spans="1:1" x14ac:dyDescent="0.25">
      <c r="A39" s="2" t="s">
        <v>953</v>
      </c>
    </row>
    <row r="40" spans="1:1" x14ac:dyDescent="0.25">
      <c r="A40" s="3" t="s">
        <v>954</v>
      </c>
    </row>
    <row r="41" spans="1:1" x14ac:dyDescent="0.25">
      <c r="A41" s="2" t="s">
        <v>955</v>
      </c>
    </row>
    <row r="42" spans="1:1" x14ac:dyDescent="0.25">
      <c r="A42" s="3" t="s">
        <v>956</v>
      </c>
    </row>
    <row r="43" spans="1:1" x14ac:dyDescent="0.25">
      <c r="A43" s="2" t="s">
        <v>957</v>
      </c>
    </row>
    <row r="44" spans="1:1" x14ac:dyDescent="0.25">
      <c r="A44" s="3" t="s">
        <v>958</v>
      </c>
    </row>
    <row r="45" spans="1:1" x14ac:dyDescent="0.25">
      <c r="A45" s="2" t="s">
        <v>959</v>
      </c>
    </row>
    <row r="46" spans="1:1" x14ac:dyDescent="0.25">
      <c r="A46" s="3" t="s">
        <v>960</v>
      </c>
    </row>
    <row r="47" spans="1:1" x14ac:dyDescent="0.25">
      <c r="A47" s="2" t="s">
        <v>961</v>
      </c>
    </row>
    <row r="48" spans="1:1" x14ac:dyDescent="0.25">
      <c r="A48" s="3" t="s">
        <v>962</v>
      </c>
    </row>
    <row r="49" spans="1:1" x14ac:dyDescent="0.25">
      <c r="A49" s="2" t="s">
        <v>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937B-A38E-4E1A-BBAA-1A9A572AE382}">
  <dimension ref="A3:B8"/>
  <sheetViews>
    <sheetView workbookViewId="0">
      <selection activeCell="A3" sqref="A3"/>
    </sheetView>
  </sheetViews>
  <sheetFormatPr defaultRowHeight="15" x14ac:dyDescent="0.25"/>
  <cols>
    <col min="1" max="1" width="17.7109375" bestFit="1" customWidth="1"/>
    <col min="2" max="2" width="23.85546875" bestFit="1" customWidth="1"/>
  </cols>
  <sheetData>
    <row r="3" spans="1:2" x14ac:dyDescent="0.25">
      <c r="A3" s="9" t="s">
        <v>964</v>
      </c>
      <c r="B3" t="s">
        <v>966</v>
      </c>
    </row>
    <row r="4" spans="1:2" x14ac:dyDescent="0.25">
      <c r="A4" s="10" t="s">
        <v>21</v>
      </c>
      <c r="B4" s="1">
        <v>435</v>
      </c>
    </row>
    <row r="5" spans="1:2" x14ac:dyDescent="0.25">
      <c r="A5" s="10" t="s">
        <v>51</v>
      </c>
      <c r="B5" s="1">
        <v>50</v>
      </c>
    </row>
    <row r="6" spans="1:2" x14ac:dyDescent="0.25">
      <c r="A6" s="10" t="s">
        <v>297</v>
      </c>
      <c r="B6" s="1">
        <v>4</v>
      </c>
    </row>
    <row r="7" spans="1:2" x14ac:dyDescent="0.25">
      <c r="A7" s="10" t="s">
        <v>45</v>
      </c>
      <c r="B7" s="1">
        <v>258</v>
      </c>
    </row>
    <row r="8" spans="1:2" x14ac:dyDescent="0.25">
      <c r="A8" s="10" t="s">
        <v>965</v>
      </c>
      <c r="B8" s="1">
        <v>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2D82-66C0-471F-9480-797B603C8025}">
  <dimension ref="A1:D748"/>
  <sheetViews>
    <sheetView workbookViewId="0">
      <selection activeCell="A2" sqref="A1:XFD1048576"/>
    </sheetView>
  </sheetViews>
  <sheetFormatPr defaultRowHeight="15" x14ac:dyDescent="0.25"/>
  <cols>
    <col min="1" max="1" width="81.140625" bestFit="1" customWidth="1"/>
    <col min="2" max="2" width="25.5703125" customWidth="1"/>
    <col min="3" max="3" width="6.42578125" bestFit="1" customWidth="1"/>
    <col min="4" max="4" width="25.7109375" bestFit="1" customWidth="1"/>
  </cols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 s="1" t="s">
        <v>20</v>
      </c>
      <c r="B2" s="8">
        <v>2008151</v>
      </c>
      <c r="C2" s="1" t="s">
        <v>21</v>
      </c>
      <c r="D2" s="1" t="s">
        <v>22</v>
      </c>
    </row>
    <row r="3" spans="1:4" x14ac:dyDescent="0.25">
      <c r="A3" s="1" t="s">
        <v>23</v>
      </c>
      <c r="B3" s="8">
        <v>2019436</v>
      </c>
      <c r="C3" s="1" t="s">
        <v>21</v>
      </c>
      <c r="D3" s="1" t="s">
        <v>24</v>
      </c>
    </row>
    <row r="4" spans="1:4" x14ac:dyDescent="0.25">
      <c r="A4" s="1" t="s">
        <v>25</v>
      </c>
      <c r="B4" s="8">
        <v>2061568</v>
      </c>
      <c r="C4" s="1" t="s">
        <v>21</v>
      </c>
      <c r="D4" s="1" t="s">
        <v>26</v>
      </c>
    </row>
    <row r="5" spans="1:4" x14ac:dyDescent="0.25">
      <c r="A5" s="1" t="s">
        <v>27</v>
      </c>
      <c r="B5" s="8">
        <v>2109823</v>
      </c>
      <c r="C5" s="1" t="s">
        <v>21</v>
      </c>
      <c r="D5" s="1" t="s">
        <v>28</v>
      </c>
    </row>
    <row r="6" spans="1:4" x14ac:dyDescent="0.25">
      <c r="A6" s="1" t="s">
        <v>29</v>
      </c>
      <c r="B6" s="8">
        <v>2191168</v>
      </c>
      <c r="C6" s="1" t="s">
        <v>21</v>
      </c>
      <c r="D6" s="1" t="s">
        <v>30</v>
      </c>
    </row>
    <row r="7" spans="1:4" x14ac:dyDescent="0.25">
      <c r="A7" s="1" t="s">
        <v>31</v>
      </c>
      <c r="B7" s="8">
        <v>2201296</v>
      </c>
      <c r="C7" s="1" t="s">
        <v>21</v>
      </c>
      <c r="D7" s="1" t="s">
        <v>22</v>
      </c>
    </row>
    <row r="8" spans="1:4" x14ac:dyDescent="0.25">
      <c r="A8" s="1" t="s">
        <v>32</v>
      </c>
      <c r="B8" s="8">
        <v>2203576</v>
      </c>
      <c r="C8" s="1" t="s">
        <v>21</v>
      </c>
      <c r="D8" s="1" t="s">
        <v>33</v>
      </c>
    </row>
    <row r="9" spans="1:4" x14ac:dyDescent="0.25">
      <c r="A9" s="1" t="s">
        <v>34</v>
      </c>
      <c r="B9" s="8">
        <v>2249210</v>
      </c>
      <c r="C9" s="1" t="s">
        <v>21</v>
      </c>
      <c r="D9" s="1" t="s">
        <v>35</v>
      </c>
    </row>
    <row r="10" spans="1:4" x14ac:dyDescent="0.25">
      <c r="A10" s="1" t="s">
        <v>36</v>
      </c>
      <c r="B10" s="8">
        <v>23040999</v>
      </c>
      <c r="C10" s="1" t="s">
        <v>21</v>
      </c>
      <c r="D10" s="1" t="s">
        <v>37</v>
      </c>
    </row>
    <row r="11" spans="1:4" x14ac:dyDescent="0.25">
      <c r="A11" s="1" t="s">
        <v>38</v>
      </c>
      <c r="B11" s="8">
        <v>23084392</v>
      </c>
      <c r="C11" s="1" t="s">
        <v>21</v>
      </c>
      <c r="D11" s="1" t="s">
        <v>39</v>
      </c>
    </row>
    <row r="12" spans="1:4" x14ac:dyDescent="0.25">
      <c r="A12" s="1" t="s">
        <v>40</v>
      </c>
      <c r="B12" s="8">
        <v>23108642</v>
      </c>
      <c r="C12" s="1" t="s">
        <v>21</v>
      </c>
      <c r="D12" s="1" t="s">
        <v>41</v>
      </c>
    </row>
    <row r="13" spans="1:4" x14ac:dyDescent="0.25">
      <c r="A13" s="1" t="s">
        <v>42</v>
      </c>
      <c r="B13" s="8">
        <v>53239008</v>
      </c>
      <c r="C13" s="1" t="s">
        <v>21</v>
      </c>
      <c r="D13" s="1" t="s">
        <v>43</v>
      </c>
    </row>
    <row r="14" spans="1:4" x14ac:dyDescent="0.25">
      <c r="A14" s="1" t="s">
        <v>44</v>
      </c>
      <c r="B14" s="8">
        <v>2087966</v>
      </c>
      <c r="C14" s="1" t="s">
        <v>45</v>
      </c>
      <c r="D14" s="1" t="s">
        <v>22</v>
      </c>
    </row>
    <row r="15" spans="1:4" x14ac:dyDescent="0.25">
      <c r="A15" s="1" t="s">
        <v>46</v>
      </c>
      <c r="B15" s="8">
        <v>2092877</v>
      </c>
      <c r="C15" s="1" t="s">
        <v>45</v>
      </c>
      <c r="D15" s="1" t="s">
        <v>22</v>
      </c>
    </row>
    <row r="16" spans="1:4" x14ac:dyDescent="0.25">
      <c r="A16" s="1" t="s">
        <v>47</v>
      </c>
      <c r="B16" s="8">
        <v>23005016</v>
      </c>
      <c r="C16" s="1" t="s">
        <v>45</v>
      </c>
      <c r="D16" s="1" t="s">
        <v>22</v>
      </c>
    </row>
    <row r="17" spans="1:4" x14ac:dyDescent="0.25">
      <c r="A17" s="1" t="s">
        <v>48</v>
      </c>
      <c r="B17" s="8">
        <v>97132022</v>
      </c>
      <c r="C17" s="1" t="s">
        <v>45</v>
      </c>
      <c r="D17" s="1" t="s">
        <v>49</v>
      </c>
    </row>
    <row r="18" spans="1:4" x14ac:dyDescent="0.25">
      <c r="A18" s="1" t="s">
        <v>50</v>
      </c>
      <c r="B18" s="8">
        <v>20554160007</v>
      </c>
      <c r="C18" s="1" t="s">
        <v>51</v>
      </c>
      <c r="D18" s="1" t="s">
        <v>52</v>
      </c>
    </row>
    <row r="19" spans="1:4" x14ac:dyDescent="0.25">
      <c r="A19" s="1" t="s">
        <v>53</v>
      </c>
      <c r="B19" s="8">
        <v>21264720003</v>
      </c>
      <c r="C19" s="1" t="s">
        <v>51</v>
      </c>
      <c r="D19" s="1" t="s">
        <v>54</v>
      </c>
    </row>
    <row r="20" spans="1:4" x14ac:dyDescent="0.25">
      <c r="A20" s="1" t="s">
        <v>55</v>
      </c>
      <c r="B20" s="8">
        <v>21338890002</v>
      </c>
      <c r="C20" s="1" t="s">
        <v>51</v>
      </c>
      <c r="D20" s="1" t="s">
        <v>56</v>
      </c>
    </row>
    <row r="21" spans="1:4" x14ac:dyDescent="0.25">
      <c r="A21" s="1" t="s">
        <v>57</v>
      </c>
      <c r="B21" s="8">
        <v>21484950002</v>
      </c>
      <c r="C21" s="1" t="s">
        <v>51</v>
      </c>
      <c r="D21" s="1" t="s">
        <v>22</v>
      </c>
    </row>
    <row r="22" spans="1:4" x14ac:dyDescent="0.25">
      <c r="A22" s="1" t="s">
        <v>58</v>
      </c>
      <c r="B22" s="8">
        <v>230018360003</v>
      </c>
      <c r="C22" s="1" t="s">
        <v>51</v>
      </c>
      <c r="D22" s="1" t="s">
        <v>22</v>
      </c>
    </row>
    <row r="23" spans="1:4" x14ac:dyDescent="0.25">
      <c r="A23" s="1" t="s">
        <v>59</v>
      </c>
      <c r="B23" s="8">
        <v>230184330018</v>
      </c>
      <c r="C23" s="1" t="s">
        <v>51</v>
      </c>
      <c r="D23" s="1" t="s">
        <v>22</v>
      </c>
    </row>
    <row r="24" spans="1:4" x14ac:dyDescent="0.25">
      <c r="A24" s="1" t="s">
        <v>60</v>
      </c>
      <c r="B24" s="8">
        <v>230456480005</v>
      </c>
      <c r="C24" s="1" t="s">
        <v>51</v>
      </c>
      <c r="D24" s="1" t="s">
        <v>22</v>
      </c>
    </row>
    <row r="25" spans="1:4" x14ac:dyDescent="0.25">
      <c r="A25" s="1" t="s">
        <v>61</v>
      </c>
      <c r="B25" s="8">
        <v>230831400003</v>
      </c>
      <c r="C25" s="1" t="s">
        <v>51</v>
      </c>
      <c r="D25" s="1" t="s">
        <v>22</v>
      </c>
    </row>
    <row r="26" spans="1:4" x14ac:dyDescent="0.25">
      <c r="A26" s="1" t="s">
        <v>62</v>
      </c>
      <c r="B26" s="8">
        <v>230939400006</v>
      </c>
      <c r="C26" s="1" t="s">
        <v>51</v>
      </c>
      <c r="D26" s="1" t="s">
        <v>22</v>
      </c>
    </row>
    <row r="27" spans="1:4" x14ac:dyDescent="0.25">
      <c r="A27" s="1" t="s">
        <v>63</v>
      </c>
      <c r="B27" s="8">
        <v>231093660015</v>
      </c>
      <c r="C27" s="1" t="s">
        <v>51</v>
      </c>
      <c r="D27" s="1" t="s">
        <v>22</v>
      </c>
    </row>
    <row r="28" spans="1:4" x14ac:dyDescent="0.25">
      <c r="A28" s="1" t="s">
        <v>64</v>
      </c>
      <c r="B28" s="8">
        <v>302857630003</v>
      </c>
      <c r="C28" s="1" t="s">
        <v>51</v>
      </c>
      <c r="D28" s="1" t="s">
        <v>65</v>
      </c>
    </row>
    <row r="29" spans="1:4" x14ac:dyDescent="0.25">
      <c r="A29" s="1" t="s">
        <v>66</v>
      </c>
      <c r="B29" s="8">
        <v>630187930013</v>
      </c>
      <c r="C29" s="1" t="s">
        <v>51</v>
      </c>
      <c r="D29" s="1" t="s">
        <v>67</v>
      </c>
    </row>
    <row r="30" spans="1:4" x14ac:dyDescent="0.25">
      <c r="A30" s="1" t="s">
        <v>68</v>
      </c>
      <c r="B30" s="8">
        <v>930921570004</v>
      </c>
      <c r="C30" s="1" t="s">
        <v>51</v>
      </c>
      <c r="D30" s="1" t="s">
        <v>69</v>
      </c>
    </row>
    <row r="31" spans="1:4" x14ac:dyDescent="0.25">
      <c r="A31" s="1" t="s">
        <v>70</v>
      </c>
      <c r="B31" s="8">
        <v>9004341</v>
      </c>
      <c r="C31" s="1" t="s">
        <v>21</v>
      </c>
      <c r="D31" s="1" t="s">
        <v>71</v>
      </c>
    </row>
    <row r="32" spans="1:4" x14ac:dyDescent="0.25">
      <c r="A32" s="1" t="s">
        <v>72</v>
      </c>
      <c r="B32" s="8">
        <v>9048196</v>
      </c>
      <c r="C32" s="1" t="s">
        <v>21</v>
      </c>
      <c r="D32" s="1" t="s">
        <v>73</v>
      </c>
    </row>
    <row r="33" spans="1:4" x14ac:dyDescent="0.25">
      <c r="A33" s="1" t="s">
        <v>74</v>
      </c>
      <c r="B33" s="8">
        <v>9049594</v>
      </c>
      <c r="C33" s="1" t="s">
        <v>21</v>
      </c>
      <c r="D33" s="1" t="s">
        <v>75</v>
      </c>
    </row>
    <row r="34" spans="1:4" x14ac:dyDescent="0.25">
      <c r="A34" s="1" t="s">
        <v>76</v>
      </c>
      <c r="B34" s="8">
        <v>9057590</v>
      </c>
      <c r="C34" s="1" t="s">
        <v>21</v>
      </c>
      <c r="D34" s="1" t="s">
        <v>22</v>
      </c>
    </row>
    <row r="35" spans="1:4" x14ac:dyDescent="0.25">
      <c r="A35" s="1" t="s">
        <v>77</v>
      </c>
      <c r="B35" s="8">
        <v>9113890</v>
      </c>
      <c r="C35" s="1" t="s">
        <v>21</v>
      </c>
      <c r="D35" s="1" t="s">
        <v>22</v>
      </c>
    </row>
    <row r="36" spans="1:4" x14ac:dyDescent="0.25">
      <c r="A36" s="1" t="s">
        <v>78</v>
      </c>
      <c r="B36" s="8">
        <v>9114495</v>
      </c>
      <c r="C36" s="1" t="s">
        <v>21</v>
      </c>
      <c r="D36" s="1" t="s">
        <v>79</v>
      </c>
    </row>
    <row r="37" spans="1:4" x14ac:dyDescent="0.25">
      <c r="A37" s="1" t="s">
        <v>80</v>
      </c>
      <c r="B37" s="8">
        <v>9116222</v>
      </c>
      <c r="C37" s="1" t="s">
        <v>21</v>
      </c>
      <c r="D37" s="1" t="s">
        <v>81</v>
      </c>
    </row>
    <row r="38" spans="1:4" x14ac:dyDescent="0.25">
      <c r="A38" s="1" t="s">
        <v>82</v>
      </c>
      <c r="B38" s="8">
        <v>9127321</v>
      </c>
      <c r="C38" s="1" t="s">
        <v>21</v>
      </c>
      <c r="D38" s="1" t="s">
        <v>22</v>
      </c>
    </row>
    <row r="39" spans="1:4" x14ac:dyDescent="0.25">
      <c r="A39" s="1" t="s">
        <v>83</v>
      </c>
      <c r="B39" s="8">
        <v>9136892</v>
      </c>
      <c r="C39" s="1" t="s">
        <v>21</v>
      </c>
      <c r="D39" s="1" t="s">
        <v>84</v>
      </c>
    </row>
    <row r="40" spans="1:4" x14ac:dyDescent="0.25">
      <c r="A40" s="1" t="s">
        <v>85</v>
      </c>
      <c r="B40" s="8">
        <v>9140191</v>
      </c>
      <c r="C40" s="1" t="s">
        <v>21</v>
      </c>
      <c r="D40" s="1" t="s">
        <v>22</v>
      </c>
    </row>
    <row r="41" spans="1:4" x14ac:dyDescent="0.25">
      <c r="A41" s="1" t="s">
        <v>86</v>
      </c>
      <c r="B41" s="8">
        <v>9141873</v>
      </c>
      <c r="C41" s="1" t="s">
        <v>21</v>
      </c>
      <c r="D41" s="1" t="s">
        <v>22</v>
      </c>
    </row>
    <row r="42" spans="1:4" x14ac:dyDescent="0.25">
      <c r="A42" s="1" t="s">
        <v>87</v>
      </c>
      <c r="B42" s="8">
        <v>9155822</v>
      </c>
      <c r="C42" s="1" t="s">
        <v>21</v>
      </c>
      <c r="D42" s="1" t="s">
        <v>88</v>
      </c>
    </row>
    <row r="43" spans="1:4" x14ac:dyDescent="0.25">
      <c r="A43" s="1" t="s">
        <v>89</v>
      </c>
      <c r="B43" s="8">
        <v>9162777</v>
      </c>
      <c r="C43" s="1" t="s">
        <v>21</v>
      </c>
      <c r="D43" s="1" t="s">
        <v>90</v>
      </c>
    </row>
    <row r="44" spans="1:4" x14ac:dyDescent="0.25">
      <c r="A44" s="1" t="s">
        <v>91</v>
      </c>
      <c r="B44" s="8">
        <v>9235988</v>
      </c>
      <c r="C44" s="1" t="s">
        <v>21</v>
      </c>
      <c r="D44" s="1" t="s">
        <v>22</v>
      </c>
    </row>
    <row r="45" spans="1:4" x14ac:dyDescent="0.25">
      <c r="A45" s="1" t="s">
        <v>92</v>
      </c>
      <c r="B45" s="8">
        <v>9250839</v>
      </c>
      <c r="C45" s="1" t="s">
        <v>21</v>
      </c>
      <c r="D45" s="1" t="s">
        <v>22</v>
      </c>
    </row>
    <row r="46" spans="1:4" x14ac:dyDescent="0.25">
      <c r="A46" s="1" t="s">
        <v>93</v>
      </c>
      <c r="B46" s="8">
        <v>9257291</v>
      </c>
      <c r="C46" s="1" t="s">
        <v>21</v>
      </c>
      <c r="D46" s="1" t="s">
        <v>22</v>
      </c>
    </row>
    <row r="47" spans="1:4" x14ac:dyDescent="0.25">
      <c r="A47" s="1" t="s">
        <v>94</v>
      </c>
      <c r="B47" s="8">
        <v>9257474</v>
      </c>
      <c r="C47" s="1" t="s">
        <v>21</v>
      </c>
      <c r="D47" s="1" t="s">
        <v>22</v>
      </c>
    </row>
    <row r="48" spans="1:4" x14ac:dyDescent="0.25">
      <c r="A48" s="1" t="s">
        <v>95</v>
      </c>
      <c r="B48" s="8">
        <v>9283914</v>
      </c>
      <c r="C48" s="1" t="s">
        <v>21</v>
      </c>
      <c r="D48" s="1" t="s">
        <v>96</v>
      </c>
    </row>
    <row r="49" spans="1:4" x14ac:dyDescent="0.25">
      <c r="A49" s="1" t="s">
        <v>97</v>
      </c>
      <c r="B49" s="8">
        <v>9283915</v>
      </c>
      <c r="C49" s="1" t="s">
        <v>21</v>
      </c>
      <c r="D49" s="1" t="s">
        <v>22</v>
      </c>
    </row>
    <row r="50" spans="1:4" x14ac:dyDescent="0.25">
      <c r="A50" s="1" t="s">
        <v>95</v>
      </c>
      <c r="B50" s="8">
        <v>9283916</v>
      </c>
      <c r="C50" s="1" t="s">
        <v>21</v>
      </c>
      <c r="D50" s="1" t="s">
        <v>22</v>
      </c>
    </row>
    <row r="51" spans="1:4" x14ac:dyDescent="0.25">
      <c r="A51" s="1" t="s">
        <v>95</v>
      </c>
      <c r="B51" s="8">
        <v>9283917</v>
      </c>
      <c r="C51" s="1" t="s">
        <v>21</v>
      </c>
      <c r="D51" s="1" t="s">
        <v>22</v>
      </c>
    </row>
    <row r="52" spans="1:4" x14ac:dyDescent="0.25">
      <c r="A52" s="1" t="s">
        <v>95</v>
      </c>
      <c r="B52" s="8">
        <v>9283918</v>
      </c>
      <c r="C52" s="1" t="s">
        <v>21</v>
      </c>
      <c r="D52" s="1" t="s">
        <v>22</v>
      </c>
    </row>
    <row r="53" spans="1:4" x14ac:dyDescent="0.25">
      <c r="A53" s="1" t="s">
        <v>95</v>
      </c>
      <c r="B53" s="8">
        <v>9283919</v>
      </c>
      <c r="C53" s="1" t="s">
        <v>21</v>
      </c>
      <c r="D53" s="1" t="s">
        <v>22</v>
      </c>
    </row>
    <row r="54" spans="1:4" x14ac:dyDescent="0.25">
      <c r="A54" s="1" t="s">
        <v>95</v>
      </c>
      <c r="B54" s="8">
        <v>9283921</v>
      </c>
      <c r="C54" s="1" t="s">
        <v>21</v>
      </c>
      <c r="D54" s="1" t="s">
        <v>96</v>
      </c>
    </row>
    <row r="55" spans="1:4" x14ac:dyDescent="0.25">
      <c r="A55" s="1" t="s">
        <v>95</v>
      </c>
      <c r="B55" s="8">
        <v>9283922</v>
      </c>
      <c r="C55" s="1" t="s">
        <v>21</v>
      </c>
      <c r="D55" s="1" t="s">
        <v>98</v>
      </c>
    </row>
    <row r="56" spans="1:4" x14ac:dyDescent="0.25">
      <c r="A56" s="1" t="s">
        <v>95</v>
      </c>
      <c r="B56" s="8">
        <v>9283923</v>
      </c>
      <c r="C56" s="1" t="s">
        <v>21</v>
      </c>
      <c r="D56" s="1" t="s">
        <v>22</v>
      </c>
    </row>
    <row r="57" spans="1:4" x14ac:dyDescent="0.25">
      <c r="A57" s="1" t="s">
        <v>95</v>
      </c>
      <c r="B57" s="8">
        <v>9283924</v>
      </c>
      <c r="C57" s="1" t="s">
        <v>21</v>
      </c>
      <c r="D57" s="1" t="s">
        <v>96</v>
      </c>
    </row>
    <row r="58" spans="1:4" x14ac:dyDescent="0.25">
      <c r="A58" s="1" t="s">
        <v>95</v>
      </c>
      <c r="B58" s="8">
        <v>9283925</v>
      </c>
      <c r="C58" s="1" t="s">
        <v>21</v>
      </c>
      <c r="D58" s="1" t="s">
        <v>22</v>
      </c>
    </row>
    <row r="59" spans="1:4" x14ac:dyDescent="0.25">
      <c r="A59" s="1" t="s">
        <v>95</v>
      </c>
      <c r="B59" s="8">
        <v>9283926</v>
      </c>
      <c r="C59" s="1" t="s">
        <v>21</v>
      </c>
      <c r="D59" s="1" t="s">
        <v>22</v>
      </c>
    </row>
    <row r="60" spans="1:4" x14ac:dyDescent="0.25">
      <c r="A60" s="1" t="s">
        <v>95</v>
      </c>
      <c r="B60" s="8">
        <v>9283927</v>
      </c>
      <c r="C60" s="1" t="s">
        <v>21</v>
      </c>
      <c r="D60" s="1" t="s">
        <v>22</v>
      </c>
    </row>
    <row r="61" spans="1:4" x14ac:dyDescent="0.25">
      <c r="A61" s="1" t="s">
        <v>95</v>
      </c>
      <c r="B61" s="8">
        <v>9283928</v>
      </c>
      <c r="C61" s="1" t="s">
        <v>21</v>
      </c>
      <c r="D61" s="1" t="s">
        <v>22</v>
      </c>
    </row>
    <row r="62" spans="1:4" x14ac:dyDescent="0.25">
      <c r="A62" s="1" t="s">
        <v>99</v>
      </c>
      <c r="B62" s="8">
        <v>9283929</v>
      </c>
      <c r="C62" s="1" t="s">
        <v>21</v>
      </c>
      <c r="D62" s="1" t="s">
        <v>22</v>
      </c>
    </row>
    <row r="63" spans="1:4" x14ac:dyDescent="0.25">
      <c r="A63" s="1" t="s">
        <v>95</v>
      </c>
      <c r="B63" s="8">
        <v>9283930</v>
      </c>
      <c r="C63" s="1" t="s">
        <v>21</v>
      </c>
      <c r="D63" s="1" t="s">
        <v>22</v>
      </c>
    </row>
    <row r="64" spans="1:4" x14ac:dyDescent="0.25">
      <c r="A64" s="1" t="s">
        <v>95</v>
      </c>
      <c r="B64" s="8">
        <v>9283931</v>
      </c>
      <c r="C64" s="1" t="s">
        <v>21</v>
      </c>
      <c r="D64" s="1" t="s">
        <v>22</v>
      </c>
    </row>
    <row r="65" spans="1:4" x14ac:dyDescent="0.25">
      <c r="A65" s="1" t="s">
        <v>100</v>
      </c>
      <c r="B65" s="8">
        <v>9283932</v>
      </c>
      <c r="C65" s="1" t="s">
        <v>21</v>
      </c>
      <c r="D65" s="1" t="s">
        <v>22</v>
      </c>
    </row>
    <row r="66" spans="1:4" x14ac:dyDescent="0.25">
      <c r="A66" s="1" t="s">
        <v>95</v>
      </c>
      <c r="B66" s="8">
        <v>9283933</v>
      </c>
      <c r="C66" s="1" t="s">
        <v>21</v>
      </c>
      <c r="D66" s="1" t="s">
        <v>22</v>
      </c>
    </row>
    <row r="67" spans="1:4" x14ac:dyDescent="0.25">
      <c r="A67" s="1" t="s">
        <v>101</v>
      </c>
      <c r="B67" s="8">
        <v>9299910</v>
      </c>
      <c r="C67" s="1" t="s">
        <v>21</v>
      </c>
      <c r="D67" s="1" t="s">
        <v>22</v>
      </c>
    </row>
    <row r="68" spans="1:4" x14ac:dyDescent="0.25">
      <c r="A68" s="1" t="s">
        <v>102</v>
      </c>
      <c r="B68" s="8">
        <v>9300260</v>
      </c>
      <c r="C68" s="1" t="s">
        <v>21</v>
      </c>
      <c r="D68" s="1" t="s">
        <v>22</v>
      </c>
    </row>
    <row r="69" spans="1:4" x14ac:dyDescent="0.25">
      <c r="A69" s="1" t="s">
        <v>103</v>
      </c>
      <c r="B69" s="8">
        <v>9305690</v>
      </c>
      <c r="C69" s="1" t="s">
        <v>21</v>
      </c>
      <c r="D69" s="1" t="s">
        <v>22</v>
      </c>
    </row>
    <row r="70" spans="1:4" x14ac:dyDescent="0.25">
      <c r="A70" s="1" t="s">
        <v>104</v>
      </c>
      <c r="B70" s="8">
        <v>9308256</v>
      </c>
      <c r="C70" s="1" t="s">
        <v>21</v>
      </c>
      <c r="D70" s="1" t="s">
        <v>22</v>
      </c>
    </row>
    <row r="71" spans="1:4" x14ac:dyDescent="0.25">
      <c r="A71" s="1" t="s">
        <v>95</v>
      </c>
      <c r="B71" s="8">
        <v>9308990</v>
      </c>
      <c r="C71" s="1" t="s">
        <v>21</v>
      </c>
      <c r="D71" s="1" t="s">
        <v>22</v>
      </c>
    </row>
    <row r="72" spans="1:4" x14ac:dyDescent="0.25">
      <c r="A72" s="1" t="s">
        <v>105</v>
      </c>
      <c r="B72" s="8">
        <v>9309410</v>
      </c>
      <c r="C72" s="1" t="s">
        <v>21</v>
      </c>
      <c r="D72" s="1" t="s">
        <v>22</v>
      </c>
    </row>
    <row r="73" spans="1:4" x14ac:dyDescent="0.25">
      <c r="A73" s="1" t="s">
        <v>95</v>
      </c>
      <c r="B73" s="8">
        <v>9310082</v>
      </c>
      <c r="C73" s="1" t="s">
        <v>21</v>
      </c>
      <c r="D73" s="1" t="s">
        <v>22</v>
      </c>
    </row>
    <row r="74" spans="1:4" x14ac:dyDescent="0.25">
      <c r="A74" s="1" t="s">
        <v>95</v>
      </c>
      <c r="B74" s="8">
        <v>9310132</v>
      </c>
      <c r="C74" s="1" t="s">
        <v>21</v>
      </c>
      <c r="D74" s="1" t="s">
        <v>22</v>
      </c>
    </row>
    <row r="75" spans="1:4" x14ac:dyDescent="0.25">
      <c r="A75" s="1" t="s">
        <v>95</v>
      </c>
      <c r="B75" s="8">
        <v>9310150</v>
      </c>
      <c r="C75" s="1" t="s">
        <v>21</v>
      </c>
      <c r="D75" s="1" t="s">
        <v>73</v>
      </c>
    </row>
    <row r="76" spans="1:4" x14ac:dyDescent="0.25">
      <c r="A76" s="1" t="s">
        <v>106</v>
      </c>
      <c r="B76" s="8">
        <v>9313302</v>
      </c>
      <c r="C76" s="1" t="s">
        <v>21</v>
      </c>
      <c r="D76" s="1" t="s">
        <v>22</v>
      </c>
    </row>
    <row r="77" spans="1:4" x14ac:dyDescent="0.25">
      <c r="A77" s="1" t="s">
        <v>107</v>
      </c>
      <c r="B77" s="8">
        <v>9316025</v>
      </c>
      <c r="C77" s="1" t="s">
        <v>21</v>
      </c>
      <c r="D77" s="1" t="s">
        <v>22</v>
      </c>
    </row>
    <row r="78" spans="1:4" x14ac:dyDescent="0.25">
      <c r="A78" s="1" t="s">
        <v>108</v>
      </c>
      <c r="B78" s="8">
        <v>34014176</v>
      </c>
      <c r="C78" s="1" t="s">
        <v>21</v>
      </c>
      <c r="D78" s="1" t="s">
        <v>22</v>
      </c>
    </row>
    <row r="79" spans="1:4" x14ac:dyDescent="0.25">
      <c r="A79" s="1" t="s">
        <v>109</v>
      </c>
      <c r="B79" s="8">
        <v>34014350</v>
      </c>
      <c r="C79" s="1" t="s">
        <v>21</v>
      </c>
      <c r="D79" s="1" t="s">
        <v>22</v>
      </c>
    </row>
    <row r="80" spans="1:4" x14ac:dyDescent="0.25">
      <c r="A80" s="1" t="s">
        <v>110</v>
      </c>
      <c r="B80" s="8">
        <v>34044062</v>
      </c>
      <c r="C80" s="1" t="s">
        <v>21</v>
      </c>
      <c r="D80" s="1" t="s">
        <v>111</v>
      </c>
    </row>
    <row r="81" spans="1:4" x14ac:dyDescent="0.25">
      <c r="A81" s="1" t="s">
        <v>112</v>
      </c>
      <c r="B81" s="8">
        <v>34050162</v>
      </c>
      <c r="C81" s="1" t="s">
        <v>21</v>
      </c>
      <c r="D81" s="1" t="s">
        <v>22</v>
      </c>
    </row>
    <row r="82" spans="1:4" x14ac:dyDescent="0.25">
      <c r="A82" s="1" t="s">
        <v>113</v>
      </c>
      <c r="B82" s="8">
        <v>34062339</v>
      </c>
      <c r="C82" s="1" t="s">
        <v>21</v>
      </c>
      <c r="D82" s="1" t="s">
        <v>22</v>
      </c>
    </row>
    <row r="83" spans="1:4" x14ac:dyDescent="0.25">
      <c r="A83" s="1" t="s">
        <v>114</v>
      </c>
      <c r="B83" s="8">
        <v>34071850</v>
      </c>
      <c r="C83" s="1" t="s">
        <v>21</v>
      </c>
      <c r="D83" s="1" t="s">
        <v>22</v>
      </c>
    </row>
    <row r="84" spans="1:4" x14ac:dyDescent="0.25">
      <c r="A84" s="1" t="s">
        <v>115</v>
      </c>
      <c r="B84" s="8">
        <v>34081835</v>
      </c>
      <c r="C84" s="1" t="s">
        <v>21</v>
      </c>
      <c r="D84" s="1" t="s">
        <v>22</v>
      </c>
    </row>
    <row r="85" spans="1:4" x14ac:dyDescent="0.25">
      <c r="A85" s="1" t="s">
        <v>116</v>
      </c>
      <c r="B85" s="8">
        <v>34120777</v>
      </c>
      <c r="C85" s="1" t="s">
        <v>21</v>
      </c>
      <c r="D85" s="1" t="s">
        <v>117</v>
      </c>
    </row>
    <row r="86" spans="1:4" x14ac:dyDescent="0.25">
      <c r="A86" s="1" t="s">
        <v>118</v>
      </c>
      <c r="B86" s="8">
        <v>34135729</v>
      </c>
      <c r="C86" s="1" t="s">
        <v>21</v>
      </c>
      <c r="D86" s="1" t="s">
        <v>22</v>
      </c>
    </row>
    <row r="87" spans="1:4" x14ac:dyDescent="0.25">
      <c r="A87" s="1" t="s">
        <v>119</v>
      </c>
      <c r="B87" s="8">
        <v>34145535</v>
      </c>
      <c r="C87" s="1" t="s">
        <v>21</v>
      </c>
      <c r="D87" s="1" t="s">
        <v>22</v>
      </c>
    </row>
    <row r="88" spans="1:4" x14ac:dyDescent="0.25">
      <c r="A88" s="1" t="s">
        <v>120</v>
      </c>
      <c r="B88" s="8">
        <v>34158148</v>
      </c>
      <c r="C88" s="1" t="s">
        <v>21</v>
      </c>
      <c r="D88" s="1" t="s">
        <v>22</v>
      </c>
    </row>
    <row r="89" spans="1:4" x14ac:dyDescent="0.25">
      <c r="A89" s="1" t="s">
        <v>121</v>
      </c>
      <c r="B89" s="8">
        <v>34162860</v>
      </c>
      <c r="C89" s="1" t="s">
        <v>21</v>
      </c>
      <c r="D89" s="1" t="s">
        <v>122</v>
      </c>
    </row>
    <row r="90" spans="1:4" x14ac:dyDescent="0.25">
      <c r="A90" s="1" t="s">
        <v>123</v>
      </c>
      <c r="B90" s="8">
        <v>36034403</v>
      </c>
      <c r="C90" s="1" t="s">
        <v>21</v>
      </c>
      <c r="D90" s="1" t="s">
        <v>22</v>
      </c>
    </row>
    <row r="91" spans="1:4" x14ac:dyDescent="0.25">
      <c r="A91" s="1" t="s">
        <v>124</v>
      </c>
      <c r="B91" s="8">
        <v>36046617</v>
      </c>
      <c r="C91" s="1" t="s">
        <v>21</v>
      </c>
      <c r="D91" s="1" t="s">
        <v>125</v>
      </c>
    </row>
    <row r="92" spans="1:4" x14ac:dyDescent="0.25">
      <c r="A92" s="1" t="s">
        <v>126</v>
      </c>
      <c r="B92" s="8">
        <v>36048411</v>
      </c>
      <c r="C92" s="1" t="s">
        <v>21</v>
      </c>
      <c r="D92" s="1" t="s">
        <v>22</v>
      </c>
    </row>
    <row r="93" spans="1:4" x14ac:dyDescent="0.25">
      <c r="A93" s="1" t="s">
        <v>127</v>
      </c>
      <c r="B93" s="8">
        <v>36147653</v>
      </c>
      <c r="C93" s="1" t="s">
        <v>21</v>
      </c>
      <c r="D93" s="1" t="s">
        <v>22</v>
      </c>
    </row>
    <row r="94" spans="1:4" x14ac:dyDescent="0.25">
      <c r="A94" s="1" t="s">
        <v>128</v>
      </c>
      <c r="B94" s="8">
        <v>36284405</v>
      </c>
      <c r="C94" s="1" t="s">
        <v>21</v>
      </c>
      <c r="D94" s="1" t="s">
        <v>22</v>
      </c>
    </row>
    <row r="95" spans="1:4" x14ac:dyDescent="0.25">
      <c r="A95" s="1" t="s">
        <v>129</v>
      </c>
      <c r="B95" s="8">
        <v>36387990</v>
      </c>
      <c r="C95" s="1" t="s">
        <v>21</v>
      </c>
      <c r="D95" s="1" t="s">
        <v>22</v>
      </c>
    </row>
    <row r="96" spans="1:4" x14ac:dyDescent="0.25">
      <c r="A96" s="1" t="s">
        <v>130</v>
      </c>
      <c r="B96" s="8">
        <v>36390492</v>
      </c>
      <c r="C96" s="1" t="s">
        <v>21</v>
      </c>
      <c r="D96" s="1" t="s">
        <v>22</v>
      </c>
    </row>
    <row r="97" spans="1:4" x14ac:dyDescent="0.25">
      <c r="A97" s="1" t="s">
        <v>131</v>
      </c>
      <c r="B97" s="8">
        <v>36517612</v>
      </c>
      <c r="C97" s="1" t="s">
        <v>21</v>
      </c>
      <c r="D97" s="1" t="s">
        <v>22</v>
      </c>
    </row>
    <row r="98" spans="1:4" x14ac:dyDescent="0.25">
      <c r="A98" s="1" t="s">
        <v>132</v>
      </c>
      <c r="B98" s="8">
        <v>252188</v>
      </c>
      <c r="C98" s="1" t="s">
        <v>45</v>
      </c>
      <c r="D98" s="1" t="s">
        <v>22</v>
      </c>
    </row>
    <row r="99" spans="1:4" x14ac:dyDescent="0.25">
      <c r="A99" s="1" t="s">
        <v>133</v>
      </c>
      <c r="B99" s="8">
        <v>9234415</v>
      </c>
      <c r="C99" s="1" t="s">
        <v>45</v>
      </c>
      <c r="D99" s="1" t="s">
        <v>22</v>
      </c>
    </row>
    <row r="100" spans="1:4" x14ac:dyDescent="0.25">
      <c r="A100" s="1" t="s">
        <v>134</v>
      </c>
      <c r="B100" s="8">
        <v>34056451</v>
      </c>
      <c r="C100" s="1" t="s">
        <v>45</v>
      </c>
      <c r="D100" s="1" t="s">
        <v>22</v>
      </c>
    </row>
    <row r="101" spans="1:4" x14ac:dyDescent="0.25">
      <c r="A101" s="1" t="s">
        <v>135</v>
      </c>
      <c r="B101" s="8">
        <v>34130359</v>
      </c>
      <c r="C101" s="1" t="s">
        <v>45</v>
      </c>
      <c r="D101" s="1" t="s">
        <v>22</v>
      </c>
    </row>
    <row r="102" spans="1:4" x14ac:dyDescent="0.25">
      <c r="A102" s="1" t="s">
        <v>136</v>
      </c>
      <c r="B102" s="8">
        <v>12340010007</v>
      </c>
      <c r="C102" s="1" t="s">
        <v>51</v>
      </c>
      <c r="D102" s="1" t="s">
        <v>22</v>
      </c>
    </row>
    <row r="103" spans="1:4" x14ac:dyDescent="0.25">
      <c r="A103" s="1" t="s">
        <v>93</v>
      </c>
      <c r="B103" s="8">
        <v>92572910003</v>
      </c>
      <c r="C103" s="1" t="s">
        <v>51</v>
      </c>
      <c r="D103" s="1" t="s">
        <v>22</v>
      </c>
    </row>
    <row r="104" spans="1:4" x14ac:dyDescent="0.25">
      <c r="A104" s="1" t="s">
        <v>95</v>
      </c>
      <c r="B104" s="8">
        <v>92839150001</v>
      </c>
      <c r="C104" s="1" t="s">
        <v>51</v>
      </c>
      <c r="D104" s="1" t="s">
        <v>22</v>
      </c>
    </row>
    <row r="105" spans="1:4" x14ac:dyDescent="0.25">
      <c r="A105" s="1" t="s">
        <v>137</v>
      </c>
      <c r="B105" s="8">
        <v>93082560002</v>
      </c>
      <c r="C105" s="1" t="s">
        <v>51</v>
      </c>
      <c r="D105" s="1" t="s">
        <v>111</v>
      </c>
    </row>
    <row r="106" spans="1:4" x14ac:dyDescent="0.25">
      <c r="A106" s="1" t="s">
        <v>105</v>
      </c>
      <c r="B106" s="8">
        <v>93094100002</v>
      </c>
      <c r="C106" s="1" t="s">
        <v>51</v>
      </c>
      <c r="D106" s="1" t="s">
        <v>22</v>
      </c>
    </row>
    <row r="107" spans="1:4" x14ac:dyDescent="0.25">
      <c r="A107" s="1" t="s">
        <v>138</v>
      </c>
      <c r="B107" s="8">
        <v>93121960004</v>
      </c>
      <c r="C107" s="1" t="s">
        <v>51</v>
      </c>
      <c r="D107" s="1" t="s">
        <v>52</v>
      </c>
    </row>
    <row r="108" spans="1:4" x14ac:dyDescent="0.25">
      <c r="A108" s="1" t="s">
        <v>139</v>
      </c>
      <c r="B108" s="8">
        <v>314016</v>
      </c>
      <c r="C108" s="1" t="s">
        <v>21</v>
      </c>
      <c r="D108" s="1" t="s">
        <v>73</v>
      </c>
    </row>
    <row r="109" spans="1:4" x14ac:dyDescent="0.25">
      <c r="A109" s="1" t="s">
        <v>140</v>
      </c>
      <c r="B109" s="8">
        <v>314129</v>
      </c>
      <c r="C109" s="1" t="s">
        <v>21</v>
      </c>
      <c r="D109" s="1" t="s">
        <v>141</v>
      </c>
    </row>
    <row r="110" spans="1:4" x14ac:dyDescent="0.25">
      <c r="A110" s="1" t="s">
        <v>142</v>
      </c>
      <c r="B110" s="8">
        <v>835324</v>
      </c>
      <c r="C110" s="1" t="s">
        <v>21</v>
      </c>
      <c r="D110" s="1" t="s">
        <v>143</v>
      </c>
    </row>
    <row r="111" spans="1:4" x14ac:dyDescent="0.25">
      <c r="A111" s="1" t="s">
        <v>144</v>
      </c>
      <c r="B111" s="8">
        <v>835479</v>
      </c>
      <c r="C111" s="1" t="s">
        <v>21</v>
      </c>
      <c r="D111" s="1" t="s">
        <v>22</v>
      </c>
    </row>
    <row r="112" spans="1:4" x14ac:dyDescent="0.25">
      <c r="A112" s="1" t="s">
        <v>145</v>
      </c>
      <c r="B112" s="8">
        <v>8002353</v>
      </c>
      <c r="C112" s="1" t="s">
        <v>21</v>
      </c>
      <c r="D112" s="1" t="s">
        <v>22</v>
      </c>
    </row>
    <row r="113" spans="1:4" x14ac:dyDescent="0.25">
      <c r="A113" s="1" t="s">
        <v>146</v>
      </c>
      <c r="B113" s="8">
        <v>8002882</v>
      </c>
      <c r="C113" s="1" t="s">
        <v>21</v>
      </c>
      <c r="D113" s="1" t="s">
        <v>22</v>
      </c>
    </row>
    <row r="114" spans="1:4" x14ac:dyDescent="0.25">
      <c r="A114" s="1" t="s">
        <v>147</v>
      </c>
      <c r="B114" s="8">
        <v>8003506</v>
      </c>
      <c r="C114" s="1" t="s">
        <v>21</v>
      </c>
      <c r="D114" s="1" t="s">
        <v>148</v>
      </c>
    </row>
    <row r="115" spans="1:4" x14ac:dyDescent="0.25">
      <c r="A115" s="1" t="s">
        <v>149</v>
      </c>
      <c r="B115" s="8">
        <v>8005411</v>
      </c>
      <c r="C115" s="1" t="s">
        <v>21</v>
      </c>
      <c r="D115" s="1" t="s">
        <v>22</v>
      </c>
    </row>
    <row r="116" spans="1:4" x14ac:dyDescent="0.25">
      <c r="A116" s="1" t="s">
        <v>150</v>
      </c>
      <c r="B116" s="8">
        <v>8005948</v>
      </c>
      <c r="C116" s="1" t="s">
        <v>21</v>
      </c>
      <c r="D116" s="1" t="s">
        <v>22</v>
      </c>
    </row>
    <row r="117" spans="1:4" x14ac:dyDescent="0.25">
      <c r="A117" s="1" t="s">
        <v>151</v>
      </c>
      <c r="B117" s="8">
        <v>8006151</v>
      </c>
      <c r="C117" s="1" t="s">
        <v>21</v>
      </c>
      <c r="D117" s="1" t="s">
        <v>22</v>
      </c>
    </row>
    <row r="118" spans="1:4" x14ac:dyDescent="0.25">
      <c r="A118" s="1" t="s">
        <v>152</v>
      </c>
      <c r="B118" s="8">
        <v>8008881</v>
      </c>
      <c r="C118" s="1" t="s">
        <v>21</v>
      </c>
      <c r="D118" s="1" t="s">
        <v>153</v>
      </c>
    </row>
    <row r="119" spans="1:4" x14ac:dyDescent="0.25">
      <c r="A119" s="1" t="s">
        <v>154</v>
      </c>
      <c r="B119" s="8">
        <v>8009682</v>
      </c>
      <c r="C119" s="1" t="s">
        <v>21</v>
      </c>
      <c r="D119" s="1" t="s">
        <v>155</v>
      </c>
    </row>
    <row r="120" spans="1:4" x14ac:dyDescent="0.25">
      <c r="A120" s="1" t="s">
        <v>156</v>
      </c>
      <c r="B120" s="8">
        <v>8011005</v>
      </c>
      <c r="C120" s="1" t="s">
        <v>21</v>
      </c>
      <c r="D120" s="1" t="s">
        <v>157</v>
      </c>
    </row>
    <row r="121" spans="1:4" x14ac:dyDescent="0.25">
      <c r="A121" s="1" t="s">
        <v>158</v>
      </c>
      <c r="B121" s="8">
        <v>8012719</v>
      </c>
      <c r="C121" s="1" t="s">
        <v>21</v>
      </c>
      <c r="D121" s="1" t="s">
        <v>22</v>
      </c>
    </row>
    <row r="122" spans="1:4" x14ac:dyDescent="0.25">
      <c r="A122" s="1" t="s">
        <v>159</v>
      </c>
      <c r="B122" s="8">
        <v>8013536</v>
      </c>
      <c r="C122" s="1" t="s">
        <v>21</v>
      </c>
      <c r="D122" s="1" t="s">
        <v>22</v>
      </c>
    </row>
    <row r="123" spans="1:4" x14ac:dyDescent="0.25">
      <c r="A123" s="1" t="s">
        <v>160</v>
      </c>
      <c r="B123" s="8">
        <v>8014070</v>
      </c>
      <c r="C123" s="1" t="s">
        <v>21</v>
      </c>
      <c r="D123" s="1" t="s">
        <v>161</v>
      </c>
    </row>
    <row r="124" spans="1:4" x14ac:dyDescent="0.25">
      <c r="A124" s="1" t="s">
        <v>162</v>
      </c>
      <c r="B124" s="8">
        <v>8014112</v>
      </c>
      <c r="C124" s="1" t="s">
        <v>21</v>
      </c>
      <c r="D124" s="1" t="s">
        <v>22</v>
      </c>
    </row>
    <row r="125" spans="1:4" x14ac:dyDescent="0.25">
      <c r="A125" s="1" t="s">
        <v>163</v>
      </c>
      <c r="B125" s="8">
        <v>8014506</v>
      </c>
      <c r="C125" s="1" t="s">
        <v>21</v>
      </c>
      <c r="D125" s="1" t="s">
        <v>22</v>
      </c>
    </row>
    <row r="126" spans="1:4" x14ac:dyDescent="0.25">
      <c r="A126" s="1" t="s">
        <v>164</v>
      </c>
      <c r="B126" s="8">
        <v>8017159</v>
      </c>
      <c r="C126" s="1" t="s">
        <v>21</v>
      </c>
      <c r="D126" s="1" t="s">
        <v>165</v>
      </c>
    </row>
    <row r="127" spans="1:4" x14ac:dyDescent="0.25">
      <c r="A127" s="1" t="s">
        <v>166</v>
      </c>
      <c r="B127" s="8">
        <v>8017456</v>
      </c>
      <c r="C127" s="1" t="s">
        <v>21</v>
      </c>
      <c r="D127" s="1" t="s">
        <v>22</v>
      </c>
    </row>
    <row r="128" spans="1:4" x14ac:dyDescent="0.25">
      <c r="A128" s="1" t="s">
        <v>167</v>
      </c>
      <c r="B128" s="8">
        <v>8017710</v>
      </c>
      <c r="C128" s="1" t="s">
        <v>21</v>
      </c>
      <c r="D128" s="1" t="s">
        <v>168</v>
      </c>
    </row>
    <row r="129" spans="1:4" x14ac:dyDescent="0.25">
      <c r="A129" s="1" t="s">
        <v>169</v>
      </c>
      <c r="B129" s="8">
        <v>8018130</v>
      </c>
      <c r="C129" s="1" t="s">
        <v>21</v>
      </c>
      <c r="D129" s="1" t="s">
        <v>170</v>
      </c>
    </row>
    <row r="130" spans="1:4" x14ac:dyDescent="0.25">
      <c r="A130" s="1" t="s">
        <v>171</v>
      </c>
      <c r="B130" s="8">
        <v>8019635</v>
      </c>
      <c r="C130" s="1" t="s">
        <v>21</v>
      </c>
      <c r="D130" s="1" t="s">
        <v>172</v>
      </c>
    </row>
    <row r="131" spans="1:4" x14ac:dyDescent="0.25">
      <c r="A131" s="1" t="s">
        <v>173</v>
      </c>
      <c r="B131" s="8">
        <v>8020318</v>
      </c>
      <c r="C131" s="1" t="s">
        <v>21</v>
      </c>
      <c r="D131" s="1" t="s">
        <v>22</v>
      </c>
    </row>
    <row r="132" spans="1:4" x14ac:dyDescent="0.25">
      <c r="A132" s="1" t="s">
        <v>174</v>
      </c>
      <c r="B132" s="8">
        <v>609818</v>
      </c>
      <c r="C132" s="1" t="s">
        <v>21</v>
      </c>
      <c r="D132" s="1" t="s">
        <v>175</v>
      </c>
    </row>
    <row r="133" spans="1:4" x14ac:dyDescent="0.25">
      <c r="A133" s="1" t="s">
        <v>176</v>
      </c>
      <c r="B133" s="8">
        <v>829489</v>
      </c>
      <c r="C133" s="1" t="s">
        <v>21</v>
      </c>
      <c r="D133" s="1" t="s">
        <v>177</v>
      </c>
    </row>
    <row r="134" spans="1:4" x14ac:dyDescent="0.25">
      <c r="A134" s="1" t="s">
        <v>178</v>
      </c>
      <c r="B134" s="8">
        <v>8001095</v>
      </c>
      <c r="C134" s="1" t="s">
        <v>21</v>
      </c>
      <c r="D134" s="1" t="s">
        <v>22</v>
      </c>
    </row>
    <row r="135" spans="1:4" x14ac:dyDescent="0.25">
      <c r="A135" s="1" t="s">
        <v>179</v>
      </c>
      <c r="B135" s="8">
        <v>8003940</v>
      </c>
      <c r="C135" s="1" t="s">
        <v>21</v>
      </c>
      <c r="D135" s="1" t="s">
        <v>180</v>
      </c>
    </row>
    <row r="136" spans="1:4" x14ac:dyDescent="0.25">
      <c r="A136" s="1" t="s">
        <v>181</v>
      </c>
      <c r="B136" s="8">
        <v>8004484</v>
      </c>
      <c r="C136" s="1" t="s">
        <v>21</v>
      </c>
      <c r="D136" s="1" t="s">
        <v>182</v>
      </c>
    </row>
    <row r="137" spans="1:4" x14ac:dyDescent="0.25">
      <c r="A137" s="1" t="s">
        <v>183</v>
      </c>
      <c r="B137" s="8">
        <v>8004734</v>
      </c>
      <c r="C137" s="1" t="s">
        <v>21</v>
      </c>
      <c r="D137" s="1" t="s">
        <v>184</v>
      </c>
    </row>
    <row r="138" spans="1:4" x14ac:dyDescent="0.25">
      <c r="A138" s="1" t="s">
        <v>185</v>
      </c>
      <c r="B138" s="8">
        <v>8008031</v>
      </c>
      <c r="C138" s="1" t="s">
        <v>21</v>
      </c>
      <c r="D138" s="1" t="s">
        <v>186</v>
      </c>
    </row>
    <row r="139" spans="1:4" x14ac:dyDescent="0.25">
      <c r="A139" s="1" t="s">
        <v>187</v>
      </c>
      <c r="B139" s="8">
        <v>8008492</v>
      </c>
      <c r="C139" s="1" t="s">
        <v>21</v>
      </c>
      <c r="D139" s="1" t="s">
        <v>188</v>
      </c>
    </row>
    <row r="140" spans="1:4" x14ac:dyDescent="0.25">
      <c r="A140" s="1" t="s">
        <v>189</v>
      </c>
      <c r="B140" s="8">
        <v>8008547</v>
      </c>
      <c r="C140" s="1" t="s">
        <v>21</v>
      </c>
      <c r="D140" s="1" t="s">
        <v>190</v>
      </c>
    </row>
    <row r="141" spans="1:4" x14ac:dyDescent="0.25">
      <c r="A141" s="1" t="s">
        <v>191</v>
      </c>
      <c r="B141" s="8">
        <v>8009111</v>
      </c>
      <c r="C141" s="1" t="s">
        <v>21</v>
      </c>
      <c r="D141" s="1" t="s">
        <v>22</v>
      </c>
    </row>
    <row r="142" spans="1:4" x14ac:dyDescent="0.25">
      <c r="A142" s="1" t="s">
        <v>192</v>
      </c>
      <c r="B142" s="8">
        <v>8011001</v>
      </c>
      <c r="C142" s="1" t="s">
        <v>21</v>
      </c>
      <c r="D142" s="1" t="s">
        <v>193</v>
      </c>
    </row>
    <row r="143" spans="1:4" x14ac:dyDescent="0.25">
      <c r="A143" s="1" t="s">
        <v>194</v>
      </c>
      <c r="B143" s="8">
        <v>8011861</v>
      </c>
      <c r="C143" s="1" t="s">
        <v>21</v>
      </c>
      <c r="D143" s="1" t="s">
        <v>195</v>
      </c>
    </row>
    <row r="144" spans="1:4" x14ac:dyDescent="0.25">
      <c r="A144" s="1" t="s">
        <v>196</v>
      </c>
      <c r="B144" s="8">
        <v>8014611</v>
      </c>
      <c r="C144" s="1" t="s">
        <v>21</v>
      </c>
      <c r="D144" s="1" t="s">
        <v>172</v>
      </c>
    </row>
    <row r="145" spans="1:4" x14ac:dyDescent="0.25">
      <c r="A145" s="1" t="s">
        <v>197</v>
      </c>
      <c r="B145" s="8">
        <v>8014827</v>
      </c>
      <c r="C145" s="1" t="s">
        <v>21</v>
      </c>
      <c r="D145" s="1" t="s">
        <v>198</v>
      </c>
    </row>
    <row r="146" spans="1:4" x14ac:dyDescent="0.25">
      <c r="A146" s="1" t="s">
        <v>199</v>
      </c>
      <c r="B146" s="8">
        <v>8015351</v>
      </c>
      <c r="C146" s="1" t="s">
        <v>21</v>
      </c>
      <c r="D146" s="1" t="s">
        <v>22</v>
      </c>
    </row>
    <row r="147" spans="1:4" x14ac:dyDescent="0.25">
      <c r="A147" s="1" t="s">
        <v>200</v>
      </c>
      <c r="B147" s="8">
        <v>8018121</v>
      </c>
      <c r="C147" s="1" t="s">
        <v>21</v>
      </c>
      <c r="D147" s="1" t="s">
        <v>22</v>
      </c>
    </row>
    <row r="148" spans="1:4" x14ac:dyDescent="0.25">
      <c r="A148" s="1" t="s">
        <v>201</v>
      </c>
      <c r="B148" s="8">
        <v>8019317</v>
      </c>
      <c r="C148" s="1" t="s">
        <v>21</v>
      </c>
      <c r="D148" s="1" t="s">
        <v>22</v>
      </c>
    </row>
    <row r="149" spans="1:4" x14ac:dyDescent="0.25">
      <c r="A149" s="1" t="s">
        <v>202</v>
      </c>
      <c r="B149" s="8">
        <v>8021982</v>
      </c>
      <c r="C149" s="1" t="s">
        <v>21</v>
      </c>
      <c r="D149" s="1" t="s">
        <v>22</v>
      </c>
    </row>
    <row r="150" spans="1:4" x14ac:dyDescent="0.25">
      <c r="A150" s="1" t="s">
        <v>203</v>
      </c>
      <c r="B150" s="8">
        <v>8024847</v>
      </c>
      <c r="C150" s="1" t="s">
        <v>21</v>
      </c>
      <c r="D150" s="1" t="s">
        <v>204</v>
      </c>
    </row>
    <row r="151" spans="1:4" x14ac:dyDescent="0.25">
      <c r="A151" s="1" t="s">
        <v>205</v>
      </c>
      <c r="B151" s="8">
        <v>8025057</v>
      </c>
      <c r="C151" s="1" t="s">
        <v>21</v>
      </c>
      <c r="D151" s="1" t="s">
        <v>206</v>
      </c>
    </row>
    <row r="152" spans="1:4" x14ac:dyDescent="0.25">
      <c r="A152" s="1" t="s">
        <v>207</v>
      </c>
      <c r="B152" s="8">
        <v>8025571</v>
      </c>
      <c r="C152" s="1" t="s">
        <v>21</v>
      </c>
      <c r="D152" s="1" t="s">
        <v>22</v>
      </c>
    </row>
    <row r="153" spans="1:4" x14ac:dyDescent="0.25">
      <c r="A153" s="1" t="s">
        <v>208</v>
      </c>
      <c r="B153" s="8">
        <v>8028373</v>
      </c>
      <c r="C153" s="1" t="s">
        <v>21</v>
      </c>
      <c r="D153" s="1" t="s">
        <v>22</v>
      </c>
    </row>
    <row r="154" spans="1:4" x14ac:dyDescent="0.25">
      <c r="A154" s="1" t="s">
        <v>209</v>
      </c>
      <c r="B154" s="8">
        <v>8028408</v>
      </c>
      <c r="C154" s="1" t="s">
        <v>21</v>
      </c>
      <c r="D154" s="1" t="s">
        <v>210</v>
      </c>
    </row>
    <row r="155" spans="1:4" x14ac:dyDescent="0.25">
      <c r="A155" s="1" t="s">
        <v>211</v>
      </c>
      <c r="B155" s="8">
        <v>8034504</v>
      </c>
      <c r="C155" s="1" t="s">
        <v>21</v>
      </c>
      <c r="D155" s="1" t="s">
        <v>212</v>
      </c>
    </row>
    <row r="156" spans="1:4" x14ac:dyDescent="0.25">
      <c r="A156" s="1" t="s">
        <v>213</v>
      </c>
      <c r="B156" s="8">
        <v>8035357</v>
      </c>
      <c r="C156" s="1" t="s">
        <v>21</v>
      </c>
      <c r="D156" s="1" t="s">
        <v>22</v>
      </c>
    </row>
    <row r="157" spans="1:4" x14ac:dyDescent="0.25">
      <c r="A157" s="1" t="s">
        <v>214</v>
      </c>
      <c r="B157" s="8">
        <v>610892</v>
      </c>
      <c r="C157" s="1" t="s">
        <v>21</v>
      </c>
      <c r="D157" s="1" t="s">
        <v>22</v>
      </c>
    </row>
    <row r="158" spans="1:4" x14ac:dyDescent="0.25">
      <c r="A158" s="1" t="s">
        <v>215</v>
      </c>
      <c r="B158" s="8">
        <v>838529</v>
      </c>
      <c r="C158" s="1" t="s">
        <v>21</v>
      </c>
      <c r="D158" s="1" t="s">
        <v>22</v>
      </c>
    </row>
    <row r="159" spans="1:4" x14ac:dyDescent="0.25">
      <c r="A159" s="1" t="s">
        <v>216</v>
      </c>
      <c r="B159" s="8">
        <v>8002561</v>
      </c>
      <c r="C159" s="1" t="s">
        <v>21</v>
      </c>
      <c r="D159" s="1" t="s">
        <v>22</v>
      </c>
    </row>
    <row r="160" spans="1:4" x14ac:dyDescent="0.25">
      <c r="A160" s="1" t="s">
        <v>217</v>
      </c>
      <c r="B160" s="8">
        <v>8003925</v>
      </c>
      <c r="C160" s="1" t="s">
        <v>21</v>
      </c>
      <c r="D160" s="1" t="s">
        <v>22</v>
      </c>
    </row>
    <row r="161" spans="1:4" x14ac:dyDescent="0.25">
      <c r="A161" s="1" t="s">
        <v>218</v>
      </c>
      <c r="B161" s="8">
        <v>8008185</v>
      </c>
      <c r="C161" s="1" t="s">
        <v>21</v>
      </c>
      <c r="D161" s="1" t="s">
        <v>219</v>
      </c>
    </row>
    <row r="162" spans="1:4" x14ac:dyDescent="0.25">
      <c r="A162" s="1" t="s">
        <v>220</v>
      </c>
      <c r="B162" s="8">
        <v>8010135</v>
      </c>
      <c r="C162" s="1" t="s">
        <v>21</v>
      </c>
      <c r="D162" s="1" t="s">
        <v>221</v>
      </c>
    </row>
    <row r="163" spans="1:4" x14ac:dyDescent="0.25">
      <c r="A163" s="1" t="s">
        <v>222</v>
      </c>
      <c r="B163" s="8">
        <v>8016181</v>
      </c>
      <c r="C163" s="1" t="s">
        <v>21</v>
      </c>
      <c r="D163" s="1" t="s">
        <v>22</v>
      </c>
    </row>
    <row r="164" spans="1:4" x14ac:dyDescent="0.25">
      <c r="A164" s="1" t="s">
        <v>223</v>
      </c>
      <c r="B164" s="8">
        <v>8017002</v>
      </c>
      <c r="C164" s="1" t="s">
        <v>21</v>
      </c>
      <c r="D164" s="1" t="s">
        <v>22</v>
      </c>
    </row>
    <row r="165" spans="1:4" x14ac:dyDescent="0.25">
      <c r="A165" s="1" t="s">
        <v>224</v>
      </c>
      <c r="B165" s="8">
        <v>8022853</v>
      </c>
      <c r="C165" s="1" t="s">
        <v>21</v>
      </c>
      <c r="D165" s="1" t="s">
        <v>225</v>
      </c>
    </row>
    <row r="166" spans="1:4" x14ac:dyDescent="0.25">
      <c r="A166" s="1" t="s">
        <v>226</v>
      </c>
      <c r="B166" s="8">
        <v>8027799</v>
      </c>
      <c r="C166" s="1" t="s">
        <v>21</v>
      </c>
      <c r="D166" s="1" t="s">
        <v>22</v>
      </c>
    </row>
    <row r="167" spans="1:4" x14ac:dyDescent="0.25">
      <c r="A167" s="1" t="s">
        <v>227</v>
      </c>
      <c r="B167" s="8">
        <v>8029989</v>
      </c>
      <c r="C167" s="1" t="s">
        <v>21</v>
      </c>
      <c r="D167" s="1" t="s">
        <v>73</v>
      </c>
    </row>
    <row r="168" spans="1:4" x14ac:dyDescent="0.25">
      <c r="A168" s="1" t="s">
        <v>228</v>
      </c>
      <c r="B168" s="8">
        <v>8033825</v>
      </c>
      <c r="C168" s="1" t="s">
        <v>21</v>
      </c>
      <c r="D168" s="1" t="s">
        <v>229</v>
      </c>
    </row>
    <row r="169" spans="1:4" x14ac:dyDescent="0.25">
      <c r="A169" s="1" t="s">
        <v>230</v>
      </c>
      <c r="B169" s="8">
        <v>8033827</v>
      </c>
      <c r="C169" s="1" t="s">
        <v>21</v>
      </c>
      <c r="D169" s="1" t="s">
        <v>22</v>
      </c>
    </row>
    <row r="170" spans="1:4" x14ac:dyDescent="0.25">
      <c r="A170" s="1" t="s">
        <v>231</v>
      </c>
      <c r="B170" s="8">
        <v>8041699</v>
      </c>
      <c r="C170" s="1" t="s">
        <v>21</v>
      </c>
      <c r="D170" s="1" t="s">
        <v>22</v>
      </c>
    </row>
    <row r="171" spans="1:4" x14ac:dyDescent="0.25">
      <c r="A171" s="1" t="s">
        <v>232</v>
      </c>
      <c r="B171" s="8">
        <v>8052384</v>
      </c>
      <c r="C171" s="1" t="s">
        <v>21</v>
      </c>
      <c r="D171" s="1" t="s">
        <v>22</v>
      </c>
    </row>
    <row r="172" spans="1:4" x14ac:dyDescent="0.25">
      <c r="A172" s="1" t="s">
        <v>233</v>
      </c>
      <c r="B172" s="8">
        <v>8111133</v>
      </c>
      <c r="C172" s="1" t="s">
        <v>21</v>
      </c>
      <c r="D172" s="1" t="s">
        <v>234</v>
      </c>
    </row>
    <row r="173" spans="1:4" x14ac:dyDescent="0.25">
      <c r="A173" s="1" t="s">
        <v>235</v>
      </c>
      <c r="B173" s="8">
        <v>8114896</v>
      </c>
      <c r="C173" s="1" t="s">
        <v>21</v>
      </c>
      <c r="D173" s="1" t="s">
        <v>22</v>
      </c>
    </row>
    <row r="174" spans="1:4" x14ac:dyDescent="0.25">
      <c r="A174" s="1" t="s">
        <v>236</v>
      </c>
      <c r="B174" s="8">
        <v>36029649</v>
      </c>
      <c r="C174" s="1" t="s">
        <v>21</v>
      </c>
      <c r="D174" s="1" t="s">
        <v>22</v>
      </c>
    </row>
    <row r="175" spans="1:4" x14ac:dyDescent="0.25">
      <c r="A175" s="1" t="s">
        <v>237</v>
      </c>
      <c r="B175" s="8">
        <v>36040981</v>
      </c>
      <c r="C175" s="1" t="s">
        <v>21</v>
      </c>
      <c r="D175" s="1" t="s">
        <v>22</v>
      </c>
    </row>
    <row r="176" spans="1:4" x14ac:dyDescent="0.25">
      <c r="A176" s="1" t="s">
        <v>238</v>
      </c>
      <c r="B176" s="8">
        <v>36091100</v>
      </c>
      <c r="C176" s="1" t="s">
        <v>21</v>
      </c>
      <c r="D176" s="1" t="s">
        <v>239</v>
      </c>
    </row>
    <row r="177" spans="1:4" x14ac:dyDescent="0.25">
      <c r="A177" s="1" t="s">
        <v>240</v>
      </c>
      <c r="B177" s="8">
        <v>36234546</v>
      </c>
      <c r="C177" s="1" t="s">
        <v>21</v>
      </c>
      <c r="D177" s="1" t="s">
        <v>22</v>
      </c>
    </row>
    <row r="178" spans="1:4" x14ac:dyDescent="0.25">
      <c r="A178" s="1" t="s">
        <v>241</v>
      </c>
      <c r="B178" s="8">
        <v>47132013</v>
      </c>
      <c r="C178" s="1" t="s">
        <v>21</v>
      </c>
      <c r="D178" s="1" t="s">
        <v>22</v>
      </c>
    </row>
    <row r="179" spans="1:4" x14ac:dyDescent="0.25">
      <c r="A179" s="1" t="s">
        <v>242</v>
      </c>
      <c r="B179" s="8">
        <v>97014430</v>
      </c>
      <c r="C179" s="1" t="s">
        <v>21</v>
      </c>
      <c r="D179" s="1" t="s">
        <v>243</v>
      </c>
    </row>
    <row r="180" spans="1:4" x14ac:dyDescent="0.25">
      <c r="A180" s="1" t="s">
        <v>244</v>
      </c>
      <c r="B180" s="8">
        <v>97014482</v>
      </c>
      <c r="C180" s="1" t="s">
        <v>21</v>
      </c>
      <c r="D180" s="1" t="s">
        <v>22</v>
      </c>
    </row>
    <row r="181" spans="1:4" x14ac:dyDescent="0.25">
      <c r="A181" s="1" t="s">
        <v>245</v>
      </c>
      <c r="B181" s="8">
        <v>97025217</v>
      </c>
      <c r="C181" s="1" t="s">
        <v>21</v>
      </c>
      <c r="D181" s="1" t="s">
        <v>22</v>
      </c>
    </row>
    <row r="182" spans="1:4" x14ac:dyDescent="0.25">
      <c r="A182" s="1" t="s">
        <v>246</v>
      </c>
      <c r="B182" s="8">
        <v>97027980</v>
      </c>
      <c r="C182" s="1" t="s">
        <v>21</v>
      </c>
      <c r="D182" s="1" t="s">
        <v>22</v>
      </c>
    </row>
    <row r="183" spans="1:4" x14ac:dyDescent="0.25">
      <c r="A183" s="1" t="s">
        <v>247</v>
      </c>
      <c r="B183" s="8">
        <v>97039304</v>
      </c>
      <c r="C183" s="1" t="s">
        <v>21</v>
      </c>
      <c r="D183" s="1" t="s">
        <v>248</v>
      </c>
    </row>
    <row r="184" spans="1:4" x14ac:dyDescent="0.25">
      <c r="A184" s="1" t="s">
        <v>249</v>
      </c>
      <c r="B184" s="8">
        <v>97072523</v>
      </c>
      <c r="C184" s="1" t="s">
        <v>21</v>
      </c>
      <c r="D184" s="1" t="s">
        <v>250</v>
      </c>
    </row>
    <row r="185" spans="1:4" x14ac:dyDescent="0.25">
      <c r="A185" s="1" t="s">
        <v>251</v>
      </c>
      <c r="B185" s="8">
        <v>97077880</v>
      </c>
      <c r="C185" s="1" t="s">
        <v>21</v>
      </c>
      <c r="D185" s="1" t="s">
        <v>252</v>
      </c>
    </row>
    <row r="186" spans="1:4" x14ac:dyDescent="0.25">
      <c r="A186" s="1" t="s">
        <v>253</v>
      </c>
      <c r="B186" s="8">
        <v>97118296</v>
      </c>
      <c r="C186" s="1" t="s">
        <v>21</v>
      </c>
      <c r="D186" s="1" t="s">
        <v>65</v>
      </c>
    </row>
    <row r="187" spans="1:4" x14ac:dyDescent="0.25">
      <c r="A187" s="1" t="s">
        <v>254</v>
      </c>
      <c r="B187" s="8">
        <v>97127002</v>
      </c>
      <c r="C187" s="1" t="s">
        <v>21</v>
      </c>
      <c r="D187" s="1" t="s">
        <v>22</v>
      </c>
    </row>
    <row r="188" spans="1:4" x14ac:dyDescent="0.25">
      <c r="A188" s="1" t="s">
        <v>255</v>
      </c>
      <c r="B188" s="8">
        <v>97790478</v>
      </c>
      <c r="C188" s="1" t="s">
        <v>21</v>
      </c>
      <c r="D188" s="1" t="s">
        <v>22</v>
      </c>
    </row>
    <row r="189" spans="1:4" x14ac:dyDescent="0.25">
      <c r="A189" s="1" t="s">
        <v>256</v>
      </c>
      <c r="B189" s="8">
        <v>97790673</v>
      </c>
      <c r="C189" s="1" t="s">
        <v>21</v>
      </c>
      <c r="D189" s="1" t="s">
        <v>22</v>
      </c>
    </row>
    <row r="190" spans="1:4" x14ac:dyDescent="0.25">
      <c r="A190" s="1" t="s">
        <v>257</v>
      </c>
      <c r="B190" s="8">
        <v>97805753</v>
      </c>
      <c r="C190" s="1" t="s">
        <v>21</v>
      </c>
      <c r="D190" s="1" t="s">
        <v>22</v>
      </c>
    </row>
    <row r="191" spans="1:4" x14ac:dyDescent="0.25">
      <c r="A191" s="1" t="s">
        <v>258</v>
      </c>
      <c r="B191" s="8">
        <v>97809307</v>
      </c>
      <c r="C191" s="1" t="s">
        <v>21</v>
      </c>
      <c r="D191" s="1" t="s">
        <v>22</v>
      </c>
    </row>
    <row r="192" spans="1:4" x14ac:dyDescent="0.25">
      <c r="A192" s="1" t="s">
        <v>259</v>
      </c>
      <c r="B192" s="8">
        <v>97810052</v>
      </c>
      <c r="C192" s="1" t="s">
        <v>21</v>
      </c>
      <c r="D192" s="1" t="s">
        <v>22</v>
      </c>
    </row>
    <row r="193" spans="1:4" x14ac:dyDescent="0.25">
      <c r="A193" s="1" t="s">
        <v>260</v>
      </c>
      <c r="B193" s="8">
        <v>97810156</v>
      </c>
      <c r="C193" s="1" t="s">
        <v>21</v>
      </c>
      <c r="D193" s="1" t="s">
        <v>261</v>
      </c>
    </row>
    <row r="194" spans="1:4" x14ac:dyDescent="0.25">
      <c r="A194" s="1" t="s">
        <v>262</v>
      </c>
      <c r="B194" s="8">
        <v>611056</v>
      </c>
      <c r="C194" s="1" t="s">
        <v>45</v>
      </c>
      <c r="D194" s="1" t="s">
        <v>263</v>
      </c>
    </row>
    <row r="195" spans="1:4" x14ac:dyDescent="0.25">
      <c r="A195" s="1" t="s">
        <v>264</v>
      </c>
      <c r="B195" s="8">
        <v>8004045</v>
      </c>
      <c r="C195" s="1" t="s">
        <v>45</v>
      </c>
      <c r="D195" s="1" t="s">
        <v>22</v>
      </c>
    </row>
    <row r="196" spans="1:4" x14ac:dyDescent="0.25">
      <c r="A196" s="1" t="s">
        <v>265</v>
      </c>
      <c r="B196" s="8">
        <v>8004739</v>
      </c>
      <c r="C196" s="1" t="s">
        <v>45</v>
      </c>
      <c r="D196" s="1" t="s">
        <v>22</v>
      </c>
    </row>
    <row r="197" spans="1:4" x14ac:dyDescent="0.25">
      <c r="A197" s="1" t="s">
        <v>266</v>
      </c>
      <c r="B197" s="8">
        <v>8005657</v>
      </c>
      <c r="C197" s="1" t="s">
        <v>45</v>
      </c>
      <c r="D197" s="1" t="s">
        <v>22</v>
      </c>
    </row>
    <row r="198" spans="1:4" x14ac:dyDescent="0.25">
      <c r="A198" s="1" t="s">
        <v>267</v>
      </c>
      <c r="B198" s="8">
        <v>8006908</v>
      </c>
      <c r="C198" s="1" t="s">
        <v>45</v>
      </c>
      <c r="D198" s="1" t="s">
        <v>22</v>
      </c>
    </row>
    <row r="199" spans="1:4" x14ac:dyDescent="0.25">
      <c r="A199" s="1" t="s">
        <v>268</v>
      </c>
      <c r="B199" s="8">
        <v>8014005</v>
      </c>
      <c r="C199" s="1" t="s">
        <v>45</v>
      </c>
      <c r="D199" s="1" t="s">
        <v>22</v>
      </c>
    </row>
    <row r="200" spans="1:4" x14ac:dyDescent="0.25">
      <c r="A200" s="1" t="s">
        <v>269</v>
      </c>
      <c r="B200" s="8">
        <v>8106928</v>
      </c>
      <c r="C200" s="1" t="s">
        <v>45</v>
      </c>
      <c r="D200" s="1" t="s">
        <v>22</v>
      </c>
    </row>
    <row r="201" spans="1:4" x14ac:dyDescent="0.25">
      <c r="A201" s="1" t="s">
        <v>270</v>
      </c>
      <c r="B201" s="8">
        <v>8109142</v>
      </c>
      <c r="C201" s="1" t="s">
        <v>45</v>
      </c>
      <c r="D201" s="1" t="s">
        <v>22</v>
      </c>
    </row>
    <row r="202" spans="1:4" x14ac:dyDescent="0.25">
      <c r="A202" s="1" t="s">
        <v>271</v>
      </c>
      <c r="B202" s="8">
        <v>8109971</v>
      </c>
      <c r="C202" s="1" t="s">
        <v>45</v>
      </c>
      <c r="D202" s="1" t="s">
        <v>22</v>
      </c>
    </row>
    <row r="203" spans="1:4" x14ac:dyDescent="0.25">
      <c r="A203" s="1" t="s">
        <v>272</v>
      </c>
      <c r="B203" s="8">
        <v>8110488</v>
      </c>
      <c r="C203" s="1" t="s">
        <v>45</v>
      </c>
      <c r="D203" s="1" t="s">
        <v>22</v>
      </c>
    </row>
    <row r="204" spans="1:4" x14ac:dyDescent="0.25">
      <c r="A204" s="1" t="s">
        <v>273</v>
      </c>
      <c r="B204" s="8">
        <v>8110489</v>
      </c>
      <c r="C204" s="1" t="s">
        <v>45</v>
      </c>
      <c r="D204" s="1" t="s">
        <v>22</v>
      </c>
    </row>
    <row r="205" spans="1:4" x14ac:dyDescent="0.25">
      <c r="A205" s="1" t="s">
        <v>274</v>
      </c>
      <c r="B205" s="8">
        <v>8121073</v>
      </c>
      <c r="C205" s="1" t="s">
        <v>45</v>
      </c>
      <c r="D205" s="1" t="s">
        <v>22</v>
      </c>
    </row>
    <row r="206" spans="1:4" x14ac:dyDescent="0.25">
      <c r="A206" s="1" t="s">
        <v>275</v>
      </c>
      <c r="B206" s="8">
        <v>8121111</v>
      </c>
      <c r="C206" s="1" t="s">
        <v>45</v>
      </c>
      <c r="D206" s="1" t="s">
        <v>22</v>
      </c>
    </row>
    <row r="207" spans="1:4" x14ac:dyDescent="0.25">
      <c r="A207" s="1" t="s">
        <v>276</v>
      </c>
      <c r="B207" s="8">
        <v>36031760</v>
      </c>
      <c r="C207" s="1" t="s">
        <v>45</v>
      </c>
      <c r="D207" s="1" t="s">
        <v>22</v>
      </c>
    </row>
    <row r="208" spans="1:4" x14ac:dyDescent="0.25">
      <c r="A208" s="1" t="s">
        <v>277</v>
      </c>
      <c r="B208" s="8">
        <v>36066732</v>
      </c>
      <c r="C208" s="1" t="s">
        <v>45</v>
      </c>
      <c r="D208" s="1" t="s">
        <v>22</v>
      </c>
    </row>
    <row r="209" spans="1:4" x14ac:dyDescent="0.25">
      <c r="A209" s="1" t="s">
        <v>278</v>
      </c>
      <c r="B209" s="8">
        <v>97026080</v>
      </c>
      <c r="C209" s="1" t="s">
        <v>45</v>
      </c>
      <c r="D209" s="1" t="s">
        <v>22</v>
      </c>
    </row>
    <row r="210" spans="1:4" x14ac:dyDescent="0.25">
      <c r="A210" s="1" t="s">
        <v>279</v>
      </c>
      <c r="B210" s="8">
        <v>97045622</v>
      </c>
      <c r="C210" s="1" t="s">
        <v>45</v>
      </c>
      <c r="D210" s="1" t="s">
        <v>280</v>
      </c>
    </row>
    <row r="211" spans="1:4" x14ac:dyDescent="0.25">
      <c r="A211" s="1" t="s">
        <v>281</v>
      </c>
      <c r="B211" s="8">
        <v>97065133</v>
      </c>
      <c r="C211" s="1" t="s">
        <v>45</v>
      </c>
      <c r="D211" s="1" t="s">
        <v>22</v>
      </c>
    </row>
    <row r="212" spans="1:4" x14ac:dyDescent="0.25">
      <c r="A212" s="1" t="s">
        <v>282</v>
      </c>
      <c r="B212" s="8">
        <v>97801068</v>
      </c>
      <c r="C212" s="1" t="s">
        <v>45</v>
      </c>
      <c r="D212" s="1" t="s">
        <v>22</v>
      </c>
    </row>
    <row r="213" spans="1:4" x14ac:dyDescent="0.25">
      <c r="A213" s="1" t="s">
        <v>283</v>
      </c>
      <c r="B213" s="8">
        <v>97805715</v>
      </c>
      <c r="C213" s="1" t="s">
        <v>45</v>
      </c>
      <c r="D213" s="1" t="s">
        <v>22</v>
      </c>
    </row>
    <row r="214" spans="1:4" x14ac:dyDescent="0.25">
      <c r="A214" s="1" t="s">
        <v>284</v>
      </c>
      <c r="B214" s="8">
        <v>80217820004</v>
      </c>
      <c r="C214" s="1" t="s">
        <v>51</v>
      </c>
      <c r="D214" s="1" t="s">
        <v>22</v>
      </c>
    </row>
    <row r="215" spans="1:4" x14ac:dyDescent="0.25">
      <c r="A215" s="1" t="s">
        <v>285</v>
      </c>
      <c r="B215" s="8">
        <v>80252750003</v>
      </c>
      <c r="C215" s="1" t="s">
        <v>51</v>
      </c>
      <c r="D215" s="1" t="s">
        <v>22</v>
      </c>
    </row>
    <row r="216" spans="1:4" x14ac:dyDescent="0.25">
      <c r="A216" s="1" t="s">
        <v>286</v>
      </c>
      <c r="B216" s="8">
        <v>80310600002</v>
      </c>
      <c r="C216" s="1" t="s">
        <v>51</v>
      </c>
      <c r="D216" s="1" t="s">
        <v>287</v>
      </c>
    </row>
    <row r="217" spans="1:4" x14ac:dyDescent="0.25">
      <c r="A217" s="1" t="s">
        <v>288</v>
      </c>
      <c r="B217" s="8">
        <v>80362480005</v>
      </c>
      <c r="C217" s="1" t="s">
        <v>51</v>
      </c>
      <c r="D217" s="1" t="s">
        <v>22</v>
      </c>
    </row>
    <row r="218" spans="1:4" x14ac:dyDescent="0.25">
      <c r="A218" s="1" t="s">
        <v>231</v>
      </c>
      <c r="B218" s="8">
        <v>80416990002</v>
      </c>
      <c r="C218" s="1" t="s">
        <v>51</v>
      </c>
      <c r="D218" s="1" t="s">
        <v>22</v>
      </c>
    </row>
    <row r="219" spans="1:4" x14ac:dyDescent="0.25">
      <c r="A219" s="1" t="s">
        <v>289</v>
      </c>
      <c r="B219" s="8">
        <v>81077640002</v>
      </c>
      <c r="C219" s="1" t="s">
        <v>51</v>
      </c>
      <c r="D219" s="1" t="s">
        <v>287</v>
      </c>
    </row>
    <row r="220" spans="1:4" x14ac:dyDescent="0.25">
      <c r="A220" s="1" t="s">
        <v>290</v>
      </c>
      <c r="B220" s="8">
        <v>81122640003</v>
      </c>
      <c r="C220" s="1" t="s">
        <v>51</v>
      </c>
      <c r="D220" s="1" t="s">
        <v>22</v>
      </c>
    </row>
    <row r="221" spans="1:4" x14ac:dyDescent="0.25">
      <c r="A221" s="1" t="s">
        <v>291</v>
      </c>
      <c r="B221" s="8">
        <v>81228370002</v>
      </c>
      <c r="C221" s="1" t="s">
        <v>51</v>
      </c>
      <c r="D221" s="1" t="s">
        <v>22</v>
      </c>
    </row>
    <row r="222" spans="1:4" x14ac:dyDescent="0.25">
      <c r="A222" s="1" t="s">
        <v>292</v>
      </c>
      <c r="B222" s="8">
        <v>970257920004</v>
      </c>
      <c r="C222" s="1" t="s">
        <v>51</v>
      </c>
      <c r="D222" s="1" t="s">
        <v>22</v>
      </c>
    </row>
    <row r="223" spans="1:4" x14ac:dyDescent="0.25">
      <c r="A223" s="1" t="s">
        <v>293</v>
      </c>
      <c r="B223" s="8">
        <v>970396970002</v>
      </c>
      <c r="C223" s="1" t="s">
        <v>51</v>
      </c>
      <c r="D223" s="1" t="s">
        <v>22</v>
      </c>
    </row>
    <row r="224" spans="1:4" x14ac:dyDescent="0.25">
      <c r="A224" s="1" t="s">
        <v>294</v>
      </c>
      <c r="B224" s="8">
        <v>970693630002</v>
      </c>
      <c r="C224" s="1" t="s">
        <v>51</v>
      </c>
      <c r="D224" s="1" t="s">
        <v>22</v>
      </c>
    </row>
    <row r="225" spans="1:4" x14ac:dyDescent="0.25">
      <c r="A225" s="1" t="s">
        <v>295</v>
      </c>
      <c r="B225" s="8">
        <v>978117590003</v>
      </c>
      <c r="C225" s="1" t="s">
        <v>51</v>
      </c>
      <c r="D225" s="1" t="s">
        <v>22</v>
      </c>
    </row>
    <row r="226" spans="1:4" x14ac:dyDescent="0.25">
      <c r="A226" s="1" t="s">
        <v>296</v>
      </c>
      <c r="B226" s="8">
        <v>630520290025</v>
      </c>
      <c r="C226" s="1" t="s">
        <v>297</v>
      </c>
      <c r="D226" s="1" t="s">
        <v>22</v>
      </c>
    </row>
    <row r="227" spans="1:4" x14ac:dyDescent="0.25">
      <c r="A227" s="1" t="s">
        <v>298</v>
      </c>
      <c r="B227" s="8">
        <v>670733980047</v>
      </c>
      <c r="C227" s="1" t="s">
        <v>297</v>
      </c>
      <c r="D227" s="1" t="s">
        <v>22</v>
      </c>
    </row>
    <row r="228" spans="1:4" x14ac:dyDescent="0.25">
      <c r="A228" s="1" t="s">
        <v>299</v>
      </c>
      <c r="B228" s="8">
        <v>36119087</v>
      </c>
      <c r="C228" s="1" t="s">
        <v>21</v>
      </c>
      <c r="D228" s="1" t="s">
        <v>22</v>
      </c>
    </row>
    <row r="229" spans="1:4" x14ac:dyDescent="0.25">
      <c r="A229" s="1" t="s">
        <v>300</v>
      </c>
      <c r="B229" s="8">
        <v>41027080</v>
      </c>
      <c r="C229" s="1" t="s">
        <v>21</v>
      </c>
      <c r="D229" s="1" t="s">
        <v>22</v>
      </c>
    </row>
    <row r="230" spans="1:4" x14ac:dyDescent="0.25">
      <c r="A230" s="1" t="s">
        <v>301</v>
      </c>
      <c r="B230" s="8">
        <v>41027224</v>
      </c>
      <c r="C230" s="1" t="s">
        <v>21</v>
      </c>
      <c r="D230" s="1" t="s">
        <v>22</v>
      </c>
    </row>
    <row r="231" spans="1:4" x14ac:dyDescent="0.25">
      <c r="A231" s="1" t="s">
        <v>302</v>
      </c>
      <c r="B231" s="8">
        <v>41028010</v>
      </c>
      <c r="C231" s="1" t="s">
        <v>21</v>
      </c>
      <c r="D231" s="1" t="s">
        <v>22</v>
      </c>
    </row>
    <row r="232" spans="1:4" x14ac:dyDescent="0.25">
      <c r="A232" s="1" t="s">
        <v>303</v>
      </c>
      <c r="B232" s="8">
        <v>30133463</v>
      </c>
      <c r="C232" s="1" t="s">
        <v>21</v>
      </c>
      <c r="D232" s="1" t="s">
        <v>22</v>
      </c>
    </row>
    <row r="233" spans="1:4" x14ac:dyDescent="0.25">
      <c r="A233" s="1" t="s">
        <v>304</v>
      </c>
      <c r="B233" s="8">
        <v>36149623</v>
      </c>
      <c r="C233" s="1" t="s">
        <v>21</v>
      </c>
      <c r="D233" s="1" t="s">
        <v>22</v>
      </c>
    </row>
    <row r="234" spans="1:4" x14ac:dyDescent="0.25">
      <c r="A234" s="1" t="s">
        <v>305</v>
      </c>
      <c r="B234" s="8">
        <v>36564101</v>
      </c>
      <c r="C234" s="1" t="s">
        <v>21</v>
      </c>
      <c r="D234" s="1" t="s">
        <v>22</v>
      </c>
    </row>
    <row r="235" spans="1:4" x14ac:dyDescent="0.25">
      <c r="A235" s="1" t="s">
        <v>306</v>
      </c>
      <c r="B235" s="8">
        <v>41025345</v>
      </c>
      <c r="C235" s="1" t="s">
        <v>21</v>
      </c>
      <c r="D235" s="1" t="s">
        <v>22</v>
      </c>
    </row>
    <row r="236" spans="1:4" x14ac:dyDescent="0.25">
      <c r="A236" s="1" t="s">
        <v>307</v>
      </c>
      <c r="B236" s="8">
        <v>41105012</v>
      </c>
      <c r="C236" s="1" t="s">
        <v>21</v>
      </c>
      <c r="D236" s="1" t="s">
        <v>22</v>
      </c>
    </row>
    <row r="237" spans="1:4" x14ac:dyDescent="0.25">
      <c r="A237" s="1" t="s">
        <v>308</v>
      </c>
      <c r="B237" s="8">
        <v>41114683</v>
      </c>
      <c r="C237" s="1" t="s">
        <v>21</v>
      </c>
      <c r="D237" s="1" t="s">
        <v>22</v>
      </c>
    </row>
    <row r="238" spans="1:4" x14ac:dyDescent="0.25">
      <c r="A238" s="1" t="s">
        <v>95</v>
      </c>
      <c r="B238" s="8">
        <v>41119114</v>
      </c>
      <c r="C238" s="1" t="s">
        <v>21</v>
      </c>
      <c r="D238" s="1" t="s">
        <v>22</v>
      </c>
    </row>
    <row r="239" spans="1:4" x14ac:dyDescent="0.25">
      <c r="A239" s="1" t="s">
        <v>309</v>
      </c>
      <c r="B239" s="8">
        <v>41142208</v>
      </c>
      <c r="C239" s="1" t="s">
        <v>21</v>
      </c>
      <c r="D239" s="1" t="s">
        <v>22</v>
      </c>
    </row>
    <row r="240" spans="1:4" x14ac:dyDescent="0.25">
      <c r="A240" s="1" t="s">
        <v>310</v>
      </c>
      <c r="B240" s="8">
        <v>41144713</v>
      </c>
      <c r="C240" s="1" t="s">
        <v>21</v>
      </c>
      <c r="D240" s="1" t="s">
        <v>22</v>
      </c>
    </row>
    <row r="241" spans="1:4" x14ac:dyDescent="0.25">
      <c r="A241" s="1" t="s">
        <v>95</v>
      </c>
      <c r="B241" s="8">
        <v>41147916</v>
      </c>
      <c r="C241" s="1" t="s">
        <v>21</v>
      </c>
      <c r="D241" s="1" t="s">
        <v>22</v>
      </c>
    </row>
    <row r="242" spans="1:4" x14ac:dyDescent="0.25">
      <c r="A242" s="1" t="s">
        <v>311</v>
      </c>
      <c r="B242" s="8">
        <v>41156313</v>
      </c>
      <c r="C242" s="1" t="s">
        <v>21</v>
      </c>
      <c r="D242" s="1" t="s">
        <v>22</v>
      </c>
    </row>
    <row r="243" spans="1:4" x14ac:dyDescent="0.25">
      <c r="A243" s="1" t="s">
        <v>312</v>
      </c>
      <c r="B243" s="8">
        <v>41017554</v>
      </c>
      <c r="C243" s="1" t="s">
        <v>45</v>
      </c>
      <c r="D243" s="1" t="s">
        <v>22</v>
      </c>
    </row>
    <row r="244" spans="1:4" x14ac:dyDescent="0.25">
      <c r="A244" s="1" t="s">
        <v>313</v>
      </c>
      <c r="B244" s="8">
        <v>41037932</v>
      </c>
      <c r="C244" s="1" t="s">
        <v>45</v>
      </c>
      <c r="D244" s="1" t="s">
        <v>22</v>
      </c>
    </row>
    <row r="245" spans="1:4" x14ac:dyDescent="0.25">
      <c r="A245" s="1" t="s">
        <v>314</v>
      </c>
      <c r="B245" s="8">
        <v>41111990</v>
      </c>
      <c r="C245" s="1" t="s">
        <v>45</v>
      </c>
      <c r="D245" s="1" t="s">
        <v>22</v>
      </c>
    </row>
    <row r="246" spans="1:4" x14ac:dyDescent="0.25">
      <c r="A246" s="1" t="s">
        <v>315</v>
      </c>
      <c r="B246" s="8">
        <v>41114319</v>
      </c>
      <c r="C246" s="1" t="s">
        <v>45</v>
      </c>
      <c r="D246" s="1" t="s">
        <v>22</v>
      </c>
    </row>
    <row r="247" spans="1:4" x14ac:dyDescent="0.25">
      <c r="A247" s="1" t="s">
        <v>316</v>
      </c>
      <c r="B247" s="8">
        <v>300206820005</v>
      </c>
      <c r="C247" s="1" t="s">
        <v>51</v>
      </c>
      <c r="D247" s="1" t="s">
        <v>22</v>
      </c>
    </row>
    <row r="248" spans="1:4" x14ac:dyDescent="0.25">
      <c r="A248" s="1" t="s">
        <v>317</v>
      </c>
      <c r="B248" s="8">
        <v>410078560002</v>
      </c>
      <c r="C248" s="1" t="s">
        <v>51</v>
      </c>
      <c r="D248" s="1" t="s">
        <v>22</v>
      </c>
    </row>
    <row r="249" spans="1:4" x14ac:dyDescent="0.25">
      <c r="A249" s="1" t="s">
        <v>318</v>
      </c>
      <c r="B249" s="8">
        <v>410344510039</v>
      </c>
      <c r="C249" s="1" t="s">
        <v>51</v>
      </c>
      <c r="D249" s="1" t="s">
        <v>319</v>
      </c>
    </row>
    <row r="250" spans="1:4" x14ac:dyDescent="0.25">
      <c r="A250" s="1" t="s">
        <v>320</v>
      </c>
      <c r="B250" s="8">
        <v>411048550002</v>
      </c>
      <c r="C250" s="1" t="s">
        <v>51</v>
      </c>
      <c r="D250" s="1" t="s">
        <v>22</v>
      </c>
    </row>
    <row r="251" spans="1:4" x14ac:dyDescent="0.25">
      <c r="A251" s="1" t="s">
        <v>321</v>
      </c>
      <c r="B251" s="8">
        <v>411297310011</v>
      </c>
      <c r="C251" s="1" t="s">
        <v>51</v>
      </c>
      <c r="D251" s="1" t="s">
        <v>22</v>
      </c>
    </row>
    <row r="252" spans="1:4" x14ac:dyDescent="0.25">
      <c r="A252" s="1" t="s">
        <v>322</v>
      </c>
      <c r="B252" s="8">
        <v>977982790003</v>
      </c>
      <c r="C252" s="1" t="s">
        <v>51</v>
      </c>
      <c r="D252" s="1" t="s">
        <v>22</v>
      </c>
    </row>
    <row r="253" spans="1:4" x14ac:dyDescent="0.25">
      <c r="A253" s="1" t="s">
        <v>323</v>
      </c>
      <c r="B253" s="8">
        <v>411119900002</v>
      </c>
      <c r="C253" s="1" t="s">
        <v>297</v>
      </c>
      <c r="D253" s="1" t="s">
        <v>22</v>
      </c>
    </row>
    <row r="254" spans="1:4" x14ac:dyDescent="0.25">
      <c r="A254" s="1" t="s">
        <v>324</v>
      </c>
      <c r="B254" s="8">
        <v>334599</v>
      </c>
      <c r="C254" s="1" t="s">
        <v>21</v>
      </c>
      <c r="D254" s="1" t="s">
        <v>325</v>
      </c>
    </row>
    <row r="255" spans="1:4" x14ac:dyDescent="0.25">
      <c r="A255" s="1" t="s">
        <v>326</v>
      </c>
      <c r="B255" s="8">
        <v>334757</v>
      </c>
      <c r="C255" s="1" t="s">
        <v>21</v>
      </c>
      <c r="D255" s="1" t="s">
        <v>73</v>
      </c>
    </row>
    <row r="256" spans="1:4" x14ac:dyDescent="0.25">
      <c r="A256" s="1" t="s">
        <v>327</v>
      </c>
      <c r="B256" s="8">
        <v>335122</v>
      </c>
      <c r="C256" s="1" t="s">
        <v>21</v>
      </c>
      <c r="D256" s="1" t="s">
        <v>328</v>
      </c>
    </row>
    <row r="257" spans="1:4" x14ac:dyDescent="0.25">
      <c r="A257" s="1" t="s">
        <v>329</v>
      </c>
      <c r="B257" s="8">
        <v>825852</v>
      </c>
      <c r="C257" s="1" t="s">
        <v>21</v>
      </c>
      <c r="D257" s="1" t="s">
        <v>330</v>
      </c>
    </row>
    <row r="258" spans="1:4" x14ac:dyDescent="0.25">
      <c r="A258" s="1" t="s">
        <v>331</v>
      </c>
      <c r="B258" s="8">
        <v>10055578</v>
      </c>
      <c r="C258" s="1" t="s">
        <v>21</v>
      </c>
      <c r="D258" s="1" t="s">
        <v>332</v>
      </c>
    </row>
    <row r="259" spans="1:4" x14ac:dyDescent="0.25">
      <c r="A259" s="1" t="s">
        <v>333</v>
      </c>
      <c r="B259" s="8">
        <v>20001531</v>
      </c>
      <c r="C259" s="1" t="s">
        <v>21</v>
      </c>
      <c r="D259" s="1" t="s">
        <v>334</v>
      </c>
    </row>
    <row r="260" spans="1:4" x14ac:dyDescent="0.25">
      <c r="A260" s="1" t="s">
        <v>335</v>
      </c>
      <c r="B260" s="8">
        <v>25000465</v>
      </c>
      <c r="C260" s="1" t="s">
        <v>21</v>
      </c>
      <c r="D260" s="1" t="s">
        <v>336</v>
      </c>
    </row>
    <row r="261" spans="1:4" x14ac:dyDescent="0.25">
      <c r="A261" s="1" t="s">
        <v>337</v>
      </c>
      <c r="B261" s="8">
        <v>25002655</v>
      </c>
      <c r="C261" s="1" t="s">
        <v>21</v>
      </c>
      <c r="D261" s="1" t="s">
        <v>338</v>
      </c>
    </row>
    <row r="262" spans="1:4" x14ac:dyDescent="0.25">
      <c r="A262" s="1" t="s">
        <v>339</v>
      </c>
      <c r="B262" s="8">
        <v>25003220</v>
      </c>
      <c r="C262" s="1" t="s">
        <v>21</v>
      </c>
      <c r="D262" s="1" t="s">
        <v>22</v>
      </c>
    </row>
    <row r="263" spans="1:4" x14ac:dyDescent="0.25">
      <c r="A263" s="1" t="s">
        <v>340</v>
      </c>
      <c r="B263" s="8">
        <v>25003755</v>
      </c>
      <c r="C263" s="1" t="s">
        <v>21</v>
      </c>
      <c r="D263" s="1" t="s">
        <v>341</v>
      </c>
    </row>
    <row r="264" spans="1:4" x14ac:dyDescent="0.25">
      <c r="A264" s="1" t="s">
        <v>342</v>
      </c>
      <c r="B264" s="8">
        <v>25004373</v>
      </c>
      <c r="C264" s="1" t="s">
        <v>21</v>
      </c>
      <c r="D264" s="1" t="s">
        <v>343</v>
      </c>
    </row>
    <row r="265" spans="1:4" x14ac:dyDescent="0.25">
      <c r="A265" s="1" t="s">
        <v>344</v>
      </c>
      <c r="B265" s="8">
        <v>25004399</v>
      </c>
      <c r="C265" s="1" t="s">
        <v>21</v>
      </c>
      <c r="D265" s="1" t="s">
        <v>345</v>
      </c>
    </row>
    <row r="266" spans="1:4" x14ac:dyDescent="0.25">
      <c r="A266" s="1" t="s">
        <v>346</v>
      </c>
      <c r="B266" s="8">
        <v>25004721</v>
      </c>
      <c r="C266" s="1" t="s">
        <v>21</v>
      </c>
      <c r="D266" s="1" t="s">
        <v>73</v>
      </c>
    </row>
    <row r="267" spans="1:4" x14ac:dyDescent="0.25">
      <c r="A267" s="1" t="s">
        <v>347</v>
      </c>
      <c r="B267" s="8">
        <v>25005771</v>
      </c>
      <c r="C267" s="1" t="s">
        <v>21</v>
      </c>
      <c r="D267" s="1" t="s">
        <v>348</v>
      </c>
    </row>
    <row r="268" spans="1:4" x14ac:dyDescent="0.25">
      <c r="A268" s="1" t="s">
        <v>349</v>
      </c>
      <c r="B268" s="8">
        <v>25007753</v>
      </c>
      <c r="C268" s="1" t="s">
        <v>21</v>
      </c>
      <c r="D268" s="1" t="s">
        <v>22</v>
      </c>
    </row>
    <row r="269" spans="1:4" x14ac:dyDescent="0.25">
      <c r="A269" s="1" t="s">
        <v>350</v>
      </c>
      <c r="B269" s="8">
        <v>25012307</v>
      </c>
      <c r="C269" s="1" t="s">
        <v>21</v>
      </c>
      <c r="D269" s="1" t="s">
        <v>351</v>
      </c>
    </row>
    <row r="270" spans="1:4" x14ac:dyDescent="0.25">
      <c r="A270" s="1" t="s">
        <v>352</v>
      </c>
      <c r="B270" s="8">
        <v>25017680</v>
      </c>
      <c r="C270" s="1" t="s">
        <v>21</v>
      </c>
      <c r="D270" s="1" t="s">
        <v>22</v>
      </c>
    </row>
    <row r="271" spans="1:4" x14ac:dyDescent="0.25">
      <c r="A271" s="1" t="s">
        <v>353</v>
      </c>
      <c r="B271" s="8">
        <v>25019979</v>
      </c>
      <c r="C271" s="1" t="s">
        <v>21</v>
      </c>
      <c r="D271" s="1" t="s">
        <v>22</v>
      </c>
    </row>
    <row r="272" spans="1:4" x14ac:dyDescent="0.25">
      <c r="A272" s="1" t="s">
        <v>354</v>
      </c>
      <c r="B272" s="8">
        <v>25033184</v>
      </c>
      <c r="C272" s="1" t="s">
        <v>21</v>
      </c>
      <c r="D272" s="1" t="s">
        <v>355</v>
      </c>
    </row>
    <row r="273" spans="1:4" x14ac:dyDescent="0.25">
      <c r="A273" s="1" t="s">
        <v>356</v>
      </c>
      <c r="B273" s="8">
        <v>25033891</v>
      </c>
      <c r="C273" s="1" t="s">
        <v>21</v>
      </c>
      <c r="D273" s="1" t="s">
        <v>357</v>
      </c>
    </row>
    <row r="274" spans="1:4" x14ac:dyDescent="0.25">
      <c r="A274" s="1" t="s">
        <v>358</v>
      </c>
      <c r="B274" s="8">
        <v>25040410</v>
      </c>
      <c r="C274" s="1" t="s">
        <v>21</v>
      </c>
      <c r="D274" s="1" t="s">
        <v>359</v>
      </c>
    </row>
    <row r="275" spans="1:4" x14ac:dyDescent="0.25">
      <c r="A275" s="1" t="s">
        <v>360</v>
      </c>
      <c r="B275" s="8">
        <v>25040509</v>
      </c>
      <c r="C275" s="1" t="s">
        <v>21</v>
      </c>
      <c r="D275" s="1" t="s">
        <v>361</v>
      </c>
    </row>
    <row r="276" spans="1:4" x14ac:dyDescent="0.25">
      <c r="A276" s="1" t="s">
        <v>362</v>
      </c>
      <c r="B276" s="8">
        <v>25041312</v>
      </c>
      <c r="C276" s="1" t="s">
        <v>21</v>
      </c>
      <c r="D276" s="1" t="s">
        <v>363</v>
      </c>
    </row>
    <row r="277" spans="1:4" x14ac:dyDescent="0.25">
      <c r="A277" s="1" t="s">
        <v>364</v>
      </c>
      <c r="B277" s="8">
        <v>25041632</v>
      </c>
      <c r="C277" s="1" t="s">
        <v>21</v>
      </c>
      <c r="D277" s="1" t="s">
        <v>365</v>
      </c>
    </row>
    <row r="278" spans="1:4" x14ac:dyDescent="0.25">
      <c r="A278" s="1" t="s">
        <v>366</v>
      </c>
      <c r="B278" s="8">
        <v>25043101</v>
      </c>
      <c r="C278" s="1" t="s">
        <v>21</v>
      </c>
      <c r="D278" s="1" t="s">
        <v>22</v>
      </c>
    </row>
    <row r="279" spans="1:4" x14ac:dyDescent="0.25">
      <c r="A279" s="1" t="s">
        <v>367</v>
      </c>
      <c r="B279" s="8">
        <v>1117362</v>
      </c>
      <c r="C279" s="1" t="s">
        <v>21</v>
      </c>
      <c r="D279" s="1" t="s">
        <v>22</v>
      </c>
    </row>
    <row r="280" spans="1:4" x14ac:dyDescent="0.25">
      <c r="A280" s="1" t="s">
        <v>368</v>
      </c>
      <c r="B280" s="8">
        <v>1184631</v>
      </c>
      <c r="C280" s="1" t="s">
        <v>21</v>
      </c>
      <c r="D280" s="1" t="s">
        <v>22</v>
      </c>
    </row>
    <row r="281" spans="1:4" x14ac:dyDescent="0.25">
      <c r="A281" s="1" t="s">
        <v>369</v>
      </c>
      <c r="B281" s="8">
        <v>1235589</v>
      </c>
      <c r="C281" s="1" t="s">
        <v>21</v>
      </c>
      <c r="D281" s="1" t="s">
        <v>22</v>
      </c>
    </row>
    <row r="282" spans="1:4" x14ac:dyDescent="0.25">
      <c r="A282" s="1" t="s">
        <v>370</v>
      </c>
      <c r="B282" s="8">
        <v>1534527</v>
      </c>
      <c r="C282" s="1" t="s">
        <v>21</v>
      </c>
      <c r="D282" s="1" t="s">
        <v>22</v>
      </c>
    </row>
    <row r="283" spans="1:4" x14ac:dyDescent="0.25">
      <c r="A283" s="1" t="s">
        <v>371</v>
      </c>
      <c r="B283" s="8">
        <v>6156599</v>
      </c>
      <c r="C283" s="1" t="s">
        <v>21</v>
      </c>
      <c r="D283" s="1" t="s">
        <v>372</v>
      </c>
    </row>
    <row r="284" spans="1:4" x14ac:dyDescent="0.25">
      <c r="A284" s="1" t="s">
        <v>373</v>
      </c>
      <c r="B284" s="8">
        <v>10155876</v>
      </c>
      <c r="C284" s="1" t="s">
        <v>21</v>
      </c>
      <c r="D284" s="1" t="s">
        <v>22</v>
      </c>
    </row>
    <row r="285" spans="1:4" x14ac:dyDescent="0.25">
      <c r="A285" s="1" t="s">
        <v>374</v>
      </c>
      <c r="B285" s="8">
        <v>14012455</v>
      </c>
      <c r="C285" s="1" t="s">
        <v>21</v>
      </c>
      <c r="D285" s="1" t="s">
        <v>22</v>
      </c>
    </row>
    <row r="286" spans="1:4" x14ac:dyDescent="0.25">
      <c r="A286" s="1" t="s">
        <v>375</v>
      </c>
      <c r="B286" s="8">
        <v>14027712</v>
      </c>
      <c r="C286" s="1" t="s">
        <v>21</v>
      </c>
      <c r="D286" s="1" t="s">
        <v>22</v>
      </c>
    </row>
    <row r="287" spans="1:4" x14ac:dyDescent="0.25">
      <c r="A287" s="1" t="s">
        <v>376</v>
      </c>
      <c r="B287" s="8">
        <v>14044984</v>
      </c>
      <c r="C287" s="1" t="s">
        <v>21</v>
      </c>
      <c r="D287" s="1" t="s">
        <v>22</v>
      </c>
    </row>
    <row r="288" spans="1:4" x14ac:dyDescent="0.25">
      <c r="A288" s="1" t="s">
        <v>377</v>
      </c>
      <c r="B288" s="8">
        <v>14082345</v>
      </c>
      <c r="C288" s="1" t="s">
        <v>21</v>
      </c>
      <c r="D288" s="1" t="s">
        <v>378</v>
      </c>
    </row>
    <row r="289" spans="1:4" x14ac:dyDescent="0.25">
      <c r="A289" s="1" t="s">
        <v>379</v>
      </c>
      <c r="B289" s="8">
        <v>14626852</v>
      </c>
      <c r="C289" s="1" t="s">
        <v>21</v>
      </c>
      <c r="D289" s="1" t="s">
        <v>22</v>
      </c>
    </row>
    <row r="290" spans="1:4" x14ac:dyDescent="0.25">
      <c r="A290" s="1" t="s">
        <v>380</v>
      </c>
      <c r="B290" s="8">
        <v>14647550</v>
      </c>
      <c r="C290" s="1" t="s">
        <v>21</v>
      </c>
      <c r="D290" s="1" t="s">
        <v>381</v>
      </c>
    </row>
    <row r="291" spans="1:4" x14ac:dyDescent="0.25">
      <c r="A291" s="1" t="s">
        <v>382</v>
      </c>
      <c r="B291" s="8">
        <v>14678858</v>
      </c>
      <c r="C291" s="1" t="s">
        <v>21</v>
      </c>
      <c r="D291" s="1" t="s">
        <v>383</v>
      </c>
    </row>
    <row r="292" spans="1:4" x14ac:dyDescent="0.25">
      <c r="A292" s="1" t="s">
        <v>384</v>
      </c>
      <c r="B292" s="8">
        <v>14726354</v>
      </c>
      <c r="C292" s="1" t="s">
        <v>21</v>
      </c>
      <c r="D292" s="1" t="s">
        <v>22</v>
      </c>
    </row>
    <row r="293" spans="1:4" x14ac:dyDescent="0.25">
      <c r="A293" s="1" t="s">
        <v>385</v>
      </c>
      <c r="B293" s="8">
        <v>14737791</v>
      </c>
      <c r="C293" s="1" t="s">
        <v>21</v>
      </c>
      <c r="D293" s="1" t="s">
        <v>22</v>
      </c>
    </row>
    <row r="294" spans="1:4" x14ac:dyDescent="0.25">
      <c r="A294" s="1" t="s">
        <v>386</v>
      </c>
      <c r="B294" s="8">
        <v>22187764</v>
      </c>
      <c r="C294" s="1" t="s">
        <v>21</v>
      </c>
      <c r="D294" s="1" t="s">
        <v>22</v>
      </c>
    </row>
    <row r="295" spans="1:4" x14ac:dyDescent="0.25">
      <c r="A295" s="1" t="s">
        <v>387</v>
      </c>
      <c r="B295" s="8">
        <v>26033704</v>
      </c>
      <c r="C295" s="1" t="s">
        <v>21</v>
      </c>
      <c r="D295" s="1" t="s">
        <v>22</v>
      </c>
    </row>
    <row r="296" spans="1:4" x14ac:dyDescent="0.25">
      <c r="A296" s="1" t="s">
        <v>388</v>
      </c>
      <c r="B296" s="8">
        <v>29269089</v>
      </c>
      <c r="C296" s="1" t="s">
        <v>21</v>
      </c>
      <c r="D296" s="1" t="s">
        <v>389</v>
      </c>
    </row>
    <row r="297" spans="1:4" x14ac:dyDescent="0.25">
      <c r="A297" s="1" t="s">
        <v>390</v>
      </c>
      <c r="B297" s="8">
        <v>30278324</v>
      </c>
      <c r="C297" s="1" t="s">
        <v>21</v>
      </c>
      <c r="D297" s="1" t="s">
        <v>22</v>
      </c>
    </row>
    <row r="298" spans="1:4" x14ac:dyDescent="0.25">
      <c r="A298" s="1" t="s">
        <v>391</v>
      </c>
      <c r="B298" s="8">
        <v>32040564</v>
      </c>
      <c r="C298" s="1" t="s">
        <v>21</v>
      </c>
      <c r="D298" s="1" t="s">
        <v>22</v>
      </c>
    </row>
    <row r="299" spans="1:4" x14ac:dyDescent="0.25">
      <c r="A299" s="1" t="s">
        <v>392</v>
      </c>
      <c r="B299" s="8">
        <v>32137991</v>
      </c>
      <c r="C299" s="1" t="s">
        <v>21</v>
      </c>
      <c r="D299" s="1" t="s">
        <v>22</v>
      </c>
    </row>
    <row r="300" spans="1:4" x14ac:dyDescent="0.25">
      <c r="A300" s="1" t="s">
        <v>393</v>
      </c>
      <c r="B300" s="8">
        <v>36055273</v>
      </c>
      <c r="C300" s="1" t="s">
        <v>21</v>
      </c>
      <c r="D300" s="1" t="s">
        <v>22</v>
      </c>
    </row>
    <row r="301" spans="1:4" x14ac:dyDescent="0.25">
      <c r="A301" s="1" t="s">
        <v>394</v>
      </c>
      <c r="B301" s="8">
        <v>36083549</v>
      </c>
      <c r="C301" s="1" t="s">
        <v>21</v>
      </c>
      <c r="D301" s="1" t="s">
        <v>22</v>
      </c>
    </row>
    <row r="302" spans="1:4" x14ac:dyDescent="0.25">
      <c r="A302" s="1" t="s">
        <v>395</v>
      </c>
      <c r="B302" s="8">
        <v>36186343</v>
      </c>
      <c r="C302" s="1" t="s">
        <v>21</v>
      </c>
      <c r="D302" s="1" t="s">
        <v>22</v>
      </c>
    </row>
    <row r="303" spans="1:4" x14ac:dyDescent="0.25">
      <c r="A303" s="1" t="s">
        <v>396</v>
      </c>
      <c r="B303" s="8">
        <v>36539180</v>
      </c>
      <c r="C303" s="1" t="s">
        <v>21</v>
      </c>
      <c r="D303" s="1" t="s">
        <v>22</v>
      </c>
    </row>
    <row r="304" spans="1:4" x14ac:dyDescent="0.25">
      <c r="A304" s="1" t="s">
        <v>397</v>
      </c>
      <c r="B304" s="8">
        <v>14066515</v>
      </c>
      <c r="C304" s="1" t="s">
        <v>21</v>
      </c>
      <c r="D304" s="1" t="s">
        <v>398</v>
      </c>
    </row>
    <row r="305" spans="1:4" x14ac:dyDescent="0.25">
      <c r="A305" s="1" t="s">
        <v>399</v>
      </c>
      <c r="B305" s="8">
        <v>14101280</v>
      </c>
      <c r="C305" s="1" t="s">
        <v>21</v>
      </c>
      <c r="D305" s="1" t="s">
        <v>22</v>
      </c>
    </row>
    <row r="306" spans="1:4" x14ac:dyDescent="0.25">
      <c r="A306" s="1" t="s">
        <v>400</v>
      </c>
      <c r="B306" s="8">
        <v>14105576</v>
      </c>
      <c r="C306" s="1" t="s">
        <v>21</v>
      </c>
      <c r="D306" s="1" t="s">
        <v>401</v>
      </c>
    </row>
    <row r="307" spans="1:4" x14ac:dyDescent="0.25">
      <c r="A307" s="1" t="s">
        <v>402</v>
      </c>
      <c r="B307" s="8">
        <v>14138442</v>
      </c>
      <c r="C307" s="1" t="s">
        <v>21</v>
      </c>
      <c r="D307" s="1" t="s">
        <v>22</v>
      </c>
    </row>
    <row r="308" spans="1:4" x14ac:dyDescent="0.25">
      <c r="A308" s="1" t="s">
        <v>403</v>
      </c>
      <c r="B308" s="8">
        <v>14152271</v>
      </c>
      <c r="C308" s="1" t="s">
        <v>21</v>
      </c>
      <c r="D308" s="1" t="s">
        <v>404</v>
      </c>
    </row>
    <row r="309" spans="1:4" x14ac:dyDescent="0.25">
      <c r="A309" s="1" t="s">
        <v>405</v>
      </c>
      <c r="B309" s="8">
        <v>14189209</v>
      </c>
      <c r="C309" s="1" t="s">
        <v>21</v>
      </c>
      <c r="D309" s="1" t="s">
        <v>22</v>
      </c>
    </row>
    <row r="310" spans="1:4" x14ac:dyDescent="0.25">
      <c r="A310" s="1" t="s">
        <v>406</v>
      </c>
      <c r="B310" s="8">
        <v>14214327</v>
      </c>
      <c r="C310" s="1" t="s">
        <v>21</v>
      </c>
      <c r="D310" s="1" t="s">
        <v>407</v>
      </c>
    </row>
    <row r="311" spans="1:4" x14ac:dyDescent="0.25">
      <c r="A311" s="1" t="s">
        <v>408</v>
      </c>
      <c r="B311" s="8">
        <v>14241840</v>
      </c>
      <c r="C311" s="1" t="s">
        <v>21</v>
      </c>
      <c r="D311" s="1" t="s">
        <v>22</v>
      </c>
    </row>
    <row r="312" spans="1:4" x14ac:dyDescent="0.25">
      <c r="A312" s="1" t="s">
        <v>409</v>
      </c>
      <c r="B312" s="8">
        <v>14248689</v>
      </c>
      <c r="C312" s="1" t="s">
        <v>21</v>
      </c>
      <c r="D312" s="1" t="s">
        <v>22</v>
      </c>
    </row>
    <row r="313" spans="1:4" x14ac:dyDescent="0.25">
      <c r="A313" s="1" t="s">
        <v>410</v>
      </c>
      <c r="B313" s="8">
        <v>14250110</v>
      </c>
      <c r="C313" s="1" t="s">
        <v>21</v>
      </c>
      <c r="D313" s="1" t="s">
        <v>411</v>
      </c>
    </row>
    <row r="314" spans="1:4" x14ac:dyDescent="0.25">
      <c r="A314" s="1" t="s">
        <v>412</v>
      </c>
      <c r="B314" s="8">
        <v>14250804</v>
      </c>
      <c r="C314" s="1" t="s">
        <v>21</v>
      </c>
      <c r="D314" s="1" t="s">
        <v>22</v>
      </c>
    </row>
    <row r="315" spans="1:4" x14ac:dyDescent="0.25">
      <c r="A315" s="1" t="s">
        <v>413</v>
      </c>
      <c r="B315" s="8">
        <v>14272114</v>
      </c>
      <c r="C315" s="1" t="s">
        <v>21</v>
      </c>
      <c r="D315" s="1" t="s">
        <v>414</v>
      </c>
    </row>
    <row r="316" spans="1:4" x14ac:dyDescent="0.25">
      <c r="A316" s="1" t="s">
        <v>415</v>
      </c>
      <c r="B316" s="8">
        <v>14275992</v>
      </c>
      <c r="C316" s="1" t="s">
        <v>21</v>
      </c>
      <c r="D316" s="1" t="s">
        <v>416</v>
      </c>
    </row>
    <row r="317" spans="1:4" x14ac:dyDescent="0.25">
      <c r="A317" s="1" t="s">
        <v>417</v>
      </c>
      <c r="B317" s="8">
        <v>14295282</v>
      </c>
      <c r="C317" s="1" t="s">
        <v>21</v>
      </c>
      <c r="D317" s="1" t="s">
        <v>22</v>
      </c>
    </row>
    <row r="318" spans="1:4" x14ac:dyDescent="0.25">
      <c r="A318" s="1" t="s">
        <v>418</v>
      </c>
      <c r="B318" s="8">
        <v>14596324</v>
      </c>
      <c r="C318" s="1" t="s">
        <v>21</v>
      </c>
      <c r="D318" s="1" t="s">
        <v>22</v>
      </c>
    </row>
    <row r="319" spans="1:4" x14ac:dyDescent="0.25">
      <c r="A319" s="1" t="s">
        <v>419</v>
      </c>
      <c r="B319" s="8">
        <v>14621224</v>
      </c>
      <c r="C319" s="1" t="s">
        <v>21</v>
      </c>
      <c r="D319" s="1" t="s">
        <v>22</v>
      </c>
    </row>
    <row r="320" spans="1:4" x14ac:dyDescent="0.25">
      <c r="A320" s="1" t="s">
        <v>420</v>
      </c>
      <c r="B320" s="8">
        <v>34058947</v>
      </c>
      <c r="C320" s="1" t="s">
        <v>21</v>
      </c>
      <c r="D320" s="1" t="s">
        <v>421</v>
      </c>
    </row>
    <row r="321" spans="1:4" x14ac:dyDescent="0.25">
      <c r="A321" s="1" t="s">
        <v>422</v>
      </c>
      <c r="B321" s="8">
        <v>36022008</v>
      </c>
      <c r="C321" s="1" t="s">
        <v>21</v>
      </c>
      <c r="D321" s="1" t="s">
        <v>22</v>
      </c>
    </row>
    <row r="322" spans="1:4" x14ac:dyDescent="0.25">
      <c r="A322" s="1" t="s">
        <v>423</v>
      </c>
      <c r="B322" s="8">
        <v>36441292</v>
      </c>
      <c r="C322" s="1" t="s">
        <v>21</v>
      </c>
      <c r="D322" s="1" t="s">
        <v>22</v>
      </c>
    </row>
    <row r="323" spans="1:4" x14ac:dyDescent="0.25">
      <c r="A323" s="1" t="s">
        <v>424</v>
      </c>
      <c r="B323" s="8">
        <v>36550335</v>
      </c>
      <c r="C323" s="1" t="s">
        <v>21</v>
      </c>
      <c r="D323" s="1" t="s">
        <v>22</v>
      </c>
    </row>
    <row r="324" spans="1:4" x14ac:dyDescent="0.25">
      <c r="A324" s="1" t="s">
        <v>425</v>
      </c>
      <c r="B324" s="8">
        <v>36550348</v>
      </c>
      <c r="C324" s="1" t="s">
        <v>21</v>
      </c>
      <c r="D324" s="1" t="s">
        <v>22</v>
      </c>
    </row>
    <row r="325" spans="1:4" x14ac:dyDescent="0.25">
      <c r="A325" s="1" t="s">
        <v>426</v>
      </c>
      <c r="B325" s="8">
        <v>61001067</v>
      </c>
      <c r="C325" s="1" t="s">
        <v>21</v>
      </c>
      <c r="D325" s="1" t="s">
        <v>427</v>
      </c>
    </row>
    <row r="326" spans="1:4" x14ac:dyDescent="0.25">
      <c r="A326" s="1" t="s">
        <v>428</v>
      </c>
      <c r="B326" s="8">
        <v>61001812</v>
      </c>
      <c r="C326" s="1" t="s">
        <v>21</v>
      </c>
      <c r="D326" s="1" t="s">
        <v>22</v>
      </c>
    </row>
    <row r="327" spans="1:4" x14ac:dyDescent="0.25">
      <c r="A327" s="1" t="s">
        <v>429</v>
      </c>
      <c r="B327" s="8">
        <v>61002030</v>
      </c>
      <c r="C327" s="1" t="s">
        <v>21</v>
      </c>
      <c r="D327" s="1" t="s">
        <v>430</v>
      </c>
    </row>
    <row r="328" spans="1:4" x14ac:dyDescent="0.25">
      <c r="A328" s="1" t="s">
        <v>431</v>
      </c>
      <c r="B328" s="8">
        <v>61003331</v>
      </c>
      <c r="C328" s="1" t="s">
        <v>21</v>
      </c>
      <c r="D328" s="1" t="s">
        <v>432</v>
      </c>
    </row>
    <row r="329" spans="1:4" x14ac:dyDescent="0.25">
      <c r="A329" s="1" t="s">
        <v>433</v>
      </c>
      <c r="B329" s="8">
        <v>61003718</v>
      </c>
      <c r="C329" s="1" t="s">
        <v>21</v>
      </c>
      <c r="D329" s="1" t="s">
        <v>22</v>
      </c>
    </row>
    <row r="330" spans="1:4" x14ac:dyDescent="0.25">
      <c r="A330" s="1" t="s">
        <v>434</v>
      </c>
      <c r="B330" s="8">
        <v>61008125</v>
      </c>
      <c r="C330" s="1" t="s">
        <v>21</v>
      </c>
      <c r="D330" s="1" t="s">
        <v>435</v>
      </c>
    </row>
    <row r="331" spans="1:4" x14ac:dyDescent="0.25">
      <c r="A331" s="1" t="s">
        <v>436</v>
      </c>
      <c r="B331" s="8">
        <v>61010404</v>
      </c>
      <c r="C331" s="1" t="s">
        <v>21</v>
      </c>
      <c r="D331" s="1" t="s">
        <v>22</v>
      </c>
    </row>
    <row r="332" spans="1:4" x14ac:dyDescent="0.25">
      <c r="A332" s="1" t="s">
        <v>95</v>
      </c>
      <c r="B332" s="8">
        <v>61011188</v>
      </c>
      <c r="C332" s="1" t="s">
        <v>21</v>
      </c>
      <c r="D332" s="1" t="s">
        <v>73</v>
      </c>
    </row>
    <row r="333" spans="1:4" x14ac:dyDescent="0.25">
      <c r="A333" s="1" t="s">
        <v>437</v>
      </c>
      <c r="B333" s="8">
        <v>61014608</v>
      </c>
      <c r="C333" s="1" t="s">
        <v>21</v>
      </c>
      <c r="D333" s="1" t="s">
        <v>22</v>
      </c>
    </row>
    <row r="334" spans="1:4" x14ac:dyDescent="0.25">
      <c r="A334" s="1" t="s">
        <v>438</v>
      </c>
      <c r="B334" s="8">
        <v>61014678</v>
      </c>
      <c r="C334" s="1" t="s">
        <v>21</v>
      </c>
      <c r="D334" s="1" t="s">
        <v>439</v>
      </c>
    </row>
    <row r="335" spans="1:4" x14ac:dyDescent="0.25">
      <c r="A335" s="1" t="s">
        <v>440</v>
      </c>
      <c r="B335" s="8">
        <v>61017302</v>
      </c>
      <c r="C335" s="1" t="s">
        <v>21</v>
      </c>
      <c r="D335" s="1" t="s">
        <v>73</v>
      </c>
    </row>
    <row r="336" spans="1:4" x14ac:dyDescent="0.25">
      <c r="A336" s="1" t="s">
        <v>441</v>
      </c>
      <c r="B336" s="8">
        <v>61021035</v>
      </c>
      <c r="C336" s="1" t="s">
        <v>21</v>
      </c>
      <c r="D336" s="1" t="s">
        <v>442</v>
      </c>
    </row>
    <row r="337" spans="1:4" x14ac:dyDescent="0.25">
      <c r="A337" s="1" t="s">
        <v>443</v>
      </c>
      <c r="B337" s="8">
        <v>61021423</v>
      </c>
      <c r="C337" s="1" t="s">
        <v>21</v>
      </c>
      <c r="D337" s="1" t="s">
        <v>444</v>
      </c>
    </row>
    <row r="338" spans="1:4" x14ac:dyDescent="0.25">
      <c r="A338" s="1" t="s">
        <v>445</v>
      </c>
      <c r="B338" s="8">
        <v>61021826</v>
      </c>
      <c r="C338" s="1" t="s">
        <v>21</v>
      </c>
      <c r="D338" s="1" t="s">
        <v>446</v>
      </c>
    </row>
    <row r="339" spans="1:4" x14ac:dyDescent="0.25">
      <c r="A339" s="1" t="s">
        <v>447</v>
      </c>
      <c r="B339" s="8">
        <v>61021832</v>
      </c>
      <c r="C339" s="1" t="s">
        <v>21</v>
      </c>
      <c r="D339" s="1" t="s">
        <v>22</v>
      </c>
    </row>
    <row r="340" spans="1:4" x14ac:dyDescent="0.25">
      <c r="A340" s="1" t="s">
        <v>448</v>
      </c>
      <c r="B340" s="8">
        <v>61022755</v>
      </c>
      <c r="C340" s="1" t="s">
        <v>21</v>
      </c>
      <c r="D340" s="1" t="s">
        <v>449</v>
      </c>
    </row>
    <row r="341" spans="1:4" x14ac:dyDescent="0.25">
      <c r="A341" s="1" t="s">
        <v>450</v>
      </c>
      <c r="B341" s="8">
        <v>61023407</v>
      </c>
      <c r="C341" s="1" t="s">
        <v>21</v>
      </c>
      <c r="D341" s="1" t="s">
        <v>451</v>
      </c>
    </row>
    <row r="342" spans="1:4" x14ac:dyDescent="0.25">
      <c r="A342" s="1" t="s">
        <v>95</v>
      </c>
      <c r="B342" s="8">
        <v>61024732</v>
      </c>
      <c r="C342" s="1" t="s">
        <v>21</v>
      </c>
      <c r="D342" s="1" t="s">
        <v>22</v>
      </c>
    </row>
    <row r="343" spans="1:4" x14ac:dyDescent="0.25">
      <c r="A343" s="1" t="s">
        <v>452</v>
      </c>
      <c r="B343" s="8">
        <v>61024805</v>
      </c>
      <c r="C343" s="1" t="s">
        <v>21</v>
      </c>
      <c r="D343" s="1" t="s">
        <v>453</v>
      </c>
    </row>
    <row r="344" spans="1:4" x14ac:dyDescent="0.25">
      <c r="A344" s="1" t="s">
        <v>454</v>
      </c>
      <c r="B344" s="8">
        <v>61025296</v>
      </c>
      <c r="C344" s="1" t="s">
        <v>21</v>
      </c>
      <c r="D344" s="1" t="s">
        <v>455</v>
      </c>
    </row>
    <row r="345" spans="1:4" x14ac:dyDescent="0.25">
      <c r="A345" s="1" t="s">
        <v>456</v>
      </c>
      <c r="B345" s="8">
        <v>61025346</v>
      </c>
      <c r="C345" s="1" t="s">
        <v>21</v>
      </c>
      <c r="D345" s="1" t="s">
        <v>22</v>
      </c>
    </row>
    <row r="346" spans="1:4" x14ac:dyDescent="0.25">
      <c r="A346" s="1" t="s">
        <v>457</v>
      </c>
      <c r="B346" s="8">
        <v>61027698</v>
      </c>
      <c r="C346" s="1" t="s">
        <v>21</v>
      </c>
      <c r="D346" s="1" t="s">
        <v>22</v>
      </c>
    </row>
    <row r="347" spans="1:4" x14ac:dyDescent="0.25">
      <c r="A347" s="1" t="s">
        <v>458</v>
      </c>
      <c r="B347" s="8">
        <v>61028026</v>
      </c>
      <c r="C347" s="1" t="s">
        <v>21</v>
      </c>
      <c r="D347" s="1" t="s">
        <v>459</v>
      </c>
    </row>
    <row r="348" spans="1:4" x14ac:dyDescent="0.25">
      <c r="A348" s="1" t="s">
        <v>460</v>
      </c>
      <c r="B348" s="8">
        <v>61029536</v>
      </c>
      <c r="C348" s="1" t="s">
        <v>21</v>
      </c>
      <c r="D348" s="1" t="s">
        <v>22</v>
      </c>
    </row>
    <row r="349" spans="1:4" x14ac:dyDescent="0.25">
      <c r="A349" s="1" t="s">
        <v>461</v>
      </c>
      <c r="B349" s="8">
        <v>61030314</v>
      </c>
      <c r="C349" s="1" t="s">
        <v>21</v>
      </c>
      <c r="D349" s="1" t="s">
        <v>462</v>
      </c>
    </row>
    <row r="350" spans="1:4" x14ac:dyDescent="0.25">
      <c r="A350" s="1" t="s">
        <v>463</v>
      </c>
      <c r="B350" s="8">
        <v>61030427</v>
      </c>
      <c r="C350" s="1" t="s">
        <v>21</v>
      </c>
      <c r="D350" s="1" t="s">
        <v>464</v>
      </c>
    </row>
    <row r="351" spans="1:4" x14ac:dyDescent="0.25">
      <c r="A351" s="1" t="s">
        <v>465</v>
      </c>
      <c r="B351" s="8">
        <v>61031795</v>
      </c>
      <c r="C351" s="1" t="s">
        <v>21</v>
      </c>
      <c r="D351" s="1" t="s">
        <v>466</v>
      </c>
    </row>
    <row r="352" spans="1:4" x14ac:dyDescent="0.25">
      <c r="A352" s="1" t="s">
        <v>467</v>
      </c>
      <c r="B352" s="8">
        <v>61031872</v>
      </c>
      <c r="C352" s="1" t="s">
        <v>21</v>
      </c>
      <c r="D352" s="1" t="s">
        <v>468</v>
      </c>
    </row>
    <row r="353" spans="1:4" x14ac:dyDescent="0.25">
      <c r="A353" s="1" t="s">
        <v>95</v>
      </c>
      <c r="B353" s="8">
        <v>61034306</v>
      </c>
      <c r="C353" s="1" t="s">
        <v>21</v>
      </c>
      <c r="D353" s="1" t="s">
        <v>22</v>
      </c>
    </row>
    <row r="354" spans="1:4" x14ac:dyDescent="0.25">
      <c r="A354" s="1" t="s">
        <v>469</v>
      </c>
      <c r="B354" s="8">
        <v>61035578</v>
      </c>
      <c r="C354" s="1" t="s">
        <v>21</v>
      </c>
      <c r="D354" s="1" t="s">
        <v>22</v>
      </c>
    </row>
    <row r="355" spans="1:4" x14ac:dyDescent="0.25">
      <c r="A355" s="1" t="s">
        <v>470</v>
      </c>
      <c r="B355" s="8">
        <v>61036706</v>
      </c>
      <c r="C355" s="1" t="s">
        <v>21</v>
      </c>
      <c r="D355" s="1" t="s">
        <v>471</v>
      </c>
    </row>
    <row r="356" spans="1:4" x14ac:dyDescent="0.25">
      <c r="A356" s="1" t="s">
        <v>472</v>
      </c>
      <c r="B356" s="8">
        <v>61037259</v>
      </c>
      <c r="C356" s="1" t="s">
        <v>21</v>
      </c>
      <c r="D356" s="1" t="s">
        <v>473</v>
      </c>
    </row>
    <row r="357" spans="1:4" x14ac:dyDescent="0.25">
      <c r="A357" s="1" t="s">
        <v>474</v>
      </c>
      <c r="B357" s="8">
        <v>61037316</v>
      </c>
      <c r="C357" s="1" t="s">
        <v>21</v>
      </c>
      <c r="D357" s="1" t="s">
        <v>475</v>
      </c>
    </row>
    <row r="358" spans="1:4" x14ac:dyDescent="0.25">
      <c r="A358" s="1" t="s">
        <v>476</v>
      </c>
      <c r="B358" s="8">
        <v>61037694</v>
      </c>
      <c r="C358" s="1" t="s">
        <v>21</v>
      </c>
      <c r="D358" s="1" t="s">
        <v>477</v>
      </c>
    </row>
    <row r="359" spans="1:4" x14ac:dyDescent="0.25">
      <c r="A359" s="1" t="s">
        <v>478</v>
      </c>
      <c r="B359" s="8">
        <v>61038719</v>
      </c>
      <c r="C359" s="1" t="s">
        <v>21</v>
      </c>
      <c r="D359" s="1" t="s">
        <v>479</v>
      </c>
    </row>
    <row r="360" spans="1:4" x14ac:dyDescent="0.25">
      <c r="A360" s="1" t="s">
        <v>480</v>
      </c>
      <c r="B360" s="8">
        <v>61038968</v>
      </c>
      <c r="C360" s="1" t="s">
        <v>21</v>
      </c>
      <c r="D360" s="1" t="s">
        <v>481</v>
      </c>
    </row>
    <row r="361" spans="1:4" x14ac:dyDescent="0.25">
      <c r="A361" s="1" t="s">
        <v>482</v>
      </c>
      <c r="B361" s="8">
        <v>61041291</v>
      </c>
      <c r="C361" s="1" t="s">
        <v>21</v>
      </c>
      <c r="D361" s="1" t="s">
        <v>22</v>
      </c>
    </row>
    <row r="362" spans="1:4" x14ac:dyDescent="0.25">
      <c r="A362" s="1" t="s">
        <v>483</v>
      </c>
      <c r="B362" s="8">
        <v>61101802</v>
      </c>
      <c r="C362" s="1" t="s">
        <v>21</v>
      </c>
      <c r="D362" s="1" t="s">
        <v>484</v>
      </c>
    </row>
    <row r="363" spans="1:4" x14ac:dyDescent="0.25">
      <c r="A363" s="1" t="s">
        <v>485</v>
      </c>
      <c r="B363" s="8">
        <v>61102745</v>
      </c>
      <c r="C363" s="1" t="s">
        <v>21</v>
      </c>
      <c r="D363" s="1" t="s">
        <v>486</v>
      </c>
    </row>
    <row r="364" spans="1:4" x14ac:dyDescent="0.25">
      <c r="A364" s="1" t="s">
        <v>487</v>
      </c>
      <c r="B364" s="8">
        <v>61103404</v>
      </c>
      <c r="C364" s="1" t="s">
        <v>21</v>
      </c>
      <c r="D364" s="1" t="s">
        <v>22</v>
      </c>
    </row>
    <row r="365" spans="1:4" x14ac:dyDescent="0.25">
      <c r="A365" s="1" t="s">
        <v>488</v>
      </c>
      <c r="B365" s="8">
        <v>61103419</v>
      </c>
      <c r="C365" s="1" t="s">
        <v>21</v>
      </c>
      <c r="D365" s="1" t="s">
        <v>489</v>
      </c>
    </row>
    <row r="366" spans="1:4" x14ac:dyDescent="0.25">
      <c r="A366" s="1" t="s">
        <v>490</v>
      </c>
      <c r="B366" s="8">
        <v>61103456</v>
      </c>
      <c r="C366" s="1" t="s">
        <v>21</v>
      </c>
      <c r="D366" s="1" t="s">
        <v>22</v>
      </c>
    </row>
    <row r="367" spans="1:4" x14ac:dyDescent="0.25">
      <c r="A367" s="1" t="s">
        <v>491</v>
      </c>
      <c r="B367" s="8">
        <v>61104394</v>
      </c>
      <c r="C367" s="1" t="s">
        <v>21</v>
      </c>
      <c r="D367" s="1" t="s">
        <v>492</v>
      </c>
    </row>
    <row r="368" spans="1:4" x14ac:dyDescent="0.25">
      <c r="A368" s="1" t="s">
        <v>493</v>
      </c>
      <c r="B368" s="8">
        <v>61104903</v>
      </c>
      <c r="C368" s="1" t="s">
        <v>21</v>
      </c>
      <c r="D368" s="1" t="s">
        <v>22</v>
      </c>
    </row>
    <row r="369" spans="1:4" x14ac:dyDescent="0.25">
      <c r="A369" s="1" t="s">
        <v>494</v>
      </c>
      <c r="B369" s="8">
        <v>61106681</v>
      </c>
      <c r="C369" s="1" t="s">
        <v>21</v>
      </c>
      <c r="D369" s="1" t="s">
        <v>22</v>
      </c>
    </row>
    <row r="370" spans="1:4" x14ac:dyDescent="0.25">
      <c r="A370" s="1" t="s">
        <v>495</v>
      </c>
      <c r="B370" s="8">
        <v>61107176</v>
      </c>
      <c r="C370" s="1" t="s">
        <v>21</v>
      </c>
      <c r="D370" s="1" t="s">
        <v>496</v>
      </c>
    </row>
    <row r="371" spans="1:4" x14ac:dyDescent="0.25">
      <c r="A371" s="1" t="s">
        <v>95</v>
      </c>
      <c r="B371" s="8">
        <v>61108506</v>
      </c>
      <c r="C371" s="1" t="s">
        <v>21</v>
      </c>
      <c r="D371" s="1" t="s">
        <v>497</v>
      </c>
    </row>
    <row r="372" spans="1:4" x14ac:dyDescent="0.25">
      <c r="A372" s="1" t="s">
        <v>95</v>
      </c>
      <c r="B372" s="8">
        <v>61120958</v>
      </c>
      <c r="C372" s="1" t="s">
        <v>21</v>
      </c>
      <c r="D372" s="1" t="s">
        <v>498</v>
      </c>
    </row>
    <row r="373" spans="1:4" x14ac:dyDescent="0.25">
      <c r="A373" s="1" t="s">
        <v>499</v>
      </c>
      <c r="B373" s="8">
        <v>61131326</v>
      </c>
      <c r="C373" s="1" t="s">
        <v>21</v>
      </c>
      <c r="D373" s="1" t="s">
        <v>500</v>
      </c>
    </row>
    <row r="374" spans="1:4" x14ac:dyDescent="0.25">
      <c r="A374" s="1" t="s">
        <v>95</v>
      </c>
      <c r="B374" s="8">
        <v>61131874</v>
      </c>
      <c r="C374" s="1" t="s">
        <v>21</v>
      </c>
      <c r="D374" s="1" t="s">
        <v>22</v>
      </c>
    </row>
    <row r="375" spans="1:4" x14ac:dyDescent="0.25">
      <c r="A375" s="1" t="s">
        <v>501</v>
      </c>
      <c r="B375" s="8">
        <v>61132518</v>
      </c>
      <c r="C375" s="1" t="s">
        <v>21</v>
      </c>
      <c r="D375" s="1" t="s">
        <v>502</v>
      </c>
    </row>
    <row r="376" spans="1:4" x14ac:dyDescent="0.25">
      <c r="A376" s="1" t="s">
        <v>503</v>
      </c>
      <c r="B376" s="8">
        <v>61133222</v>
      </c>
      <c r="C376" s="1" t="s">
        <v>21</v>
      </c>
      <c r="D376" s="1" t="s">
        <v>504</v>
      </c>
    </row>
    <row r="377" spans="1:4" x14ac:dyDescent="0.25">
      <c r="A377" s="1" t="s">
        <v>505</v>
      </c>
      <c r="B377" s="8">
        <v>61133708</v>
      </c>
      <c r="C377" s="1" t="s">
        <v>21</v>
      </c>
      <c r="D377" s="1" t="s">
        <v>506</v>
      </c>
    </row>
    <row r="378" spans="1:4" x14ac:dyDescent="0.25">
      <c r="A378" s="1" t="s">
        <v>95</v>
      </c>
      <c r="B378" s="8">
        <v>61136198</v>
      </c>
      <c r="C378" s="1" t="s">
        <v>21</v>
      </c>
      <c r="D378" s="1" t="s">
        <v>22</v>
      </c>
    </row>
    <row r="379" spans="1:4" x14ac:dyDescent="0.25">
      <c r="A379" s="1" t="s">
        <v>95</v>
      </c>
      <c r="B379" s="8">
        <v>61136226</v>
      </c>
      <c r="C379" s="1" t="s">
        <v>21</v>
      </c>
      <c r="D379" s="1" t="s">
        <v>22</v>
      </c>
    </row>
    <row r="380" spans="1:4" x14ac:dyDescent="0.25">
      <c r="A380" s="1" t="s">
        <v>95</v>
      </c>
      <c r="B380" s="8">
        <v>61136242</v>
      </c>
      <c r="C380" s="1" t="s">
        <v>21</v>
      </c>
      <c r="D380" s="1" t="s">
        <v>22</v>
      </c>
    </row>
    <row r="381" spans="1:4" x14ac:dyDescent="0.25">
      <c r="A381" s="1" t="s">
        <v>95</v>
      </c>
      <c r="B381" s="8">
        <v>61136440</v>
      </c>
      <c r="C381" s="1" t="s">
        <v>21</v>
      </c>
      <c r="D381" s="1" t="s">
        <v>22</v>
      </c>
    </row>
    <row r="382" spans="1:4" x14ac:dyDescent="0.25">
      <c r="A382" s="1" t="s">
        <v>507</v>
      </c>
      <c r="B382" s="8">
        <v>61136610</v>
      </c>
      <c r="C382" s="1" t="s">
        <v>21</v>
      </c>
      <c r="D382" s="1" t="s">
        <v>22</v>
      </c>
    </row>
    <row r="383" spans="1:4" x14ac:dyDescent="0.25">
      <c r="A383" s="1" t="s">
        <v>508</v>
      </c>
      <c r="B383" s="8">
        <v>61140813</v>
      </c>
      <c r="C383" s="1" t="s">
        <v>21</v>
      </c>
      <c r="D383" s="1" t="s">
        <v>509</v>
      </c>
    </row>
    <row r="384" spans="1:4" x14ac:dyDescent="0.25">
      <c r="A384" s="1" t="s">
        <v>510</v>
      </c>
      <c r="B384" s="8">
        <v>61141487</v>
      </c>
      <c r="C384" s="1" t="s">
        <v>21</v>
      </c>
      <c r="D384" s="1" t="s">
        <v>22</v>
      </c>
    </row>
    <row r="385" spans="1:4" x14ac:dyDescent="0.25">
      <c r="A385" s="1" t="s">
        <v>511</v>
      </c>
      <c r="B385" s="8">
        <v>14687357</v>
      </c>
      <c r="C385" s="1" t="s">
        <v>45</v>
      </c>
      <c r="D385" s="1" t="s">
        <v>512</v>
      </c>
    </row>
    <row r="386" spans="1:4" x14ac:dyDescent="0.25">
      <c r="A386" s="1" t="s">
        <v>513</v>
      </c>
      <c r="B386" s="8">
        <v>61001635</v>
      </c>
      <c r="C386" s="1" t="s">
        <v>45</v>
      </c>
      <c r="D386" s="1" t="s">
        <v>22</v>
      </c>
    </row>
    <row r="387" spans="1:4" x14ac:dyDescent="0.25">
      <c r="A387" s="1" t="s">
        <v>514</v>
      </c>
      <c r="B387" s="8">
        <v>61022062</v>
      </c>
      <c r="C387" s="1" t="s">
        <v>45</v>
      </c>
      <c r="D387" s="1" t="s">
        <v>22</v>
      </c>
    </row>
    <row r="388" spans="1:4" x14ac:dyDescent="0.25">
      <c r="A388" s="1" t="s">
        <v>515</v>
      </c>
      <c r="B388" s="8">
        <v>61101617</v>
      </c>
      <c r="C388" s="1" t="s">
        <v>45</v>
      </c>
      <c r="D388" s="1" t="s">
        <v>516</v>
      </c>
    </row>
    <row r="389" spans="1:4" x14ac:dyDescent="0.25">
      <c r="A389" s="1" t="s">
        <v>517</v>
      </c>
      <c r="B389" s="8">
        <v>61141547</v>
      </c>
      <c r="C389" s="1" t="s">
        <v>45</v>
      </c>
      <c r="D389" s="1" t="s">
        <v>22</v>
      </c>
    </row>
    <row r="390" spans="1:4" x14ac:dyDescent="0.25">
      <c r="A390" s="1" t="s">
        <v>518</v>
      </c>
      <c r="B390" s="8">
        <v>142050920003</v>
      </c>
      <c r="C390" s="1" t="s">
        <v>51</v>
      </c>
      <c r="D390" s="1" t="s">
        <v>22</v>
      </c>
    </row>
    <row r="391" spans="1:4" x14ac:dyDescent="0.25">
      <c r="A391" s="1" t="s">
        <v>519</v>
      </c>
      <c r="B391" s="8">
        <v>142717130002</v>
      </c>
      <c r="C391" s="1" t="s">
        <v>51</v>
      </c>
      <c r="D391" s="1" t="s">
        <v>22</v>
      </c>
    </row>
    <row r="392" spans="1:4" x14ac:dyDescent="0.25">
      <c r="A392" s="1" t="s">
        <v>520</v>
      </c>
      <c r="B392" s="8">
        <v>362995820006</v>
      </c>
      <c r="C392" s="1" t="s">
        <v>51</v>
      </c>
      <c r="D392" s="1" t="s">
        <v>22</v>
      </c>
    </row>
    <row r="393" spans="1:4" x14ac:dyDescent="0.25">
      <c r="A393" s="1" t="s">
        <v>521</v>
      </c>
      <c r="B393" s="8">
        <v>365478080001</v>
      </c>
      <c r="C393" s="1" t="s">
        <v>51</v>
      </c>
      <c r="D393" s="1" t="s">
        <v>22</v>
      </c>
    </row>
    <row r="394" spans="1:4" x14ac:dyDescent="0.25">
      <c r="A394" s="1" t="s">
        <v>95</v>
      </c>
      <c r="B394" s="8">
        <v>610018120002</v>
      </c>
      <c r="C394" s="1" t="s">
        <v>51</v>
      </c>
      <c r="D394" s="1" t="s">
        <v>22</v>
      </c>
    </row>
    <row r="395" spans="1:4" x14ac:dyDescent="0.25">
      <c r="A395" s="1" t="s">
        <v>522</v>
      </c>
      <c r="B395" s="8">
        <v>610037180002</v>
      </c>
      <c r="C395" s="1" t="s">
        <v>51</v>
      </c>
      <c r="D395" s="1" t="s">
        <v>22</v>
      </c>
    </row>
    <row r="396" spans="1:4" x14ac:dyDescent="0.25">
      <c r="A396" s="1" t="s">
        <v>523</v>
      </c>
      <c r="B396" s="8">
        <v>610104040003</v>
      </c>
      <c r="C396" s="1" t="s">
        <v>51</v>
      </c>
      <c r="D396" s="1" t="s">
        <v>22</v>
      </c>
    </row>
    <row r="397" spans="1:4" x14ac:dyDescent="0.25">
      <c r="A397" s="1" t="s">
        <v>524</v>
      </c>
      <c r="B397" s="8">
        <v>610246520003</v>
      </c>
      <c r="C397" s="1" t="s">
        <v>51</v>
      </c>
      <c r="D397" s="1" t="s">
        <v>22</v>
      </c>
    </row>
    <row r="398" spans="1:4" x14ac:dyDescent="0.25">
      <c r="A398" s="1" t="s">
        <v>95</v>
      </c>
      <c r="B398" s="8">
        <v>610343060002</v>
      </c>
      <c r="C398" s="1" t="s">
        <v>51</v>
      </c>
      <c r="D398" s="1" t="s">
        <v>22</v>
      </c>
    </row>
    <row r="399" spans="1:4" x14ac:dyDescent="0.25">
      <c r="A399" s="1" t="s">
        <v>525</v>
      </c>
      <c r="B399" s="8">
        <v>611038120002</v>
      </c>
      <c r="C399" s="1" t="s">
        <v>51</v>
      </c>
      <c r="D399" s="1" t="s">
        <v>22</v>
      </c>
    </row>
    <row r="400" spans="1:4" x14ac:dyDescent="0.25">
      <c r="A400" s="1" t="s">
        <v>526</v>
      </c>
      <c r="B400" s="8">
        <v>1121385</v>
      </c>
      <c r="C400" s="1" t="s">
        <v>21</v>
      </c>
      <c r="D400" s="1" t="s">
        <v>527</v>
      </c>
    </row>
    <row r="401" spans="1:4" x14ac:dyDescent="0.25">
      <c r="A401" s="1" t="s">
        <v>528</v>
      </c>
      <c r="B401" s="8">
        <v>1160162</v>
      </c>
      <c r="C401" s="1" t="s">
        <v>21</v>
      </c>
      <c r="D401" s="1" t="s">
        <v>22</v>
      </c>
    </row>
    <row r="402" spans="1:4" x14ac:dyDescent="0.25">
      <c r="A402" s="1" t="s">
        <v>529</v>
      </c>
      <c r="B402" s="8">
        <v>1172707</v>
      </c>
      <c r="C402" s="1" t="s">
        <v>21</v>
      </c>
      <c r="D402" s="1" t="s">
        <v>22</v>
      </c>
    </row>
    <row r="403" spans="1:4" x14ac:dyDescent="0.25">
      <c r="A403" s="1" t="s">
        <v>530</v>
      </c>
      <c r="B403" s="8">
        <v>1216803</v>
      </c>
      <c r="C403" s="1" t="s">
        <v>21</v>
      </c>
      <c r="D403" s="1" t="s">
        <v>22</v>
      </c>
    </row>
    <row r="404" spans="1:4" x14ac:dyDescent="0.25">
      <c r="A404" s="1" t="s">
        <v>531</v>
      </c>
      <c r="B404" s="8">
        <v>1219325</v>
      </c>
      <c r="C404" s="1" t="s">
        <v>21</v>
      </c>
      <c r="D404" s="1" t="s">
        <v>22</v>
      </c>
    </row>
    <row r="405" spans="1:4" x14ac:dyDescent="0.25">
      <c r="A405" s="1" t="s">
        <v>532</v>
      </c>
      <c r="B405" s="8">
        <v>1280337</v>
      </c>
      <c r="C405" s="1" t="s">
        <v>21</v>
      </c>
      <c r="D405" s="1" t="s">
        <v>533</v>
      </c>
    </row>
    <row r="406" spans="1:4" x14ac:dyDescent="0.25">
      <c r="A406" s="1" t="s">
        <v>534</v>
      </c>
      <c r="B406" s="8">
        <v>1314760</v>
      </c>
      <c r="C406" s="1" t="s">
        <v>21</v>
      </c>
      <c r="D406" s="1" t="s">
        <v>22</v>
      </c>
    </row>
    <row r="407" spans="1:4" x14ac:dyDescent="0.25">
      <c r="A407" s="1" t="s">
        <v>535</v>
      </c>
      <c r="B407" s="8">
        <v>1319845</v>
      </c>
      <c r="C407" s="1" t="s">
        <v>21</v>
      </c>
      <c r="D407" s="1" t="s">
        <v>22</v>
      </c>
    </row>
    <row r="408" spans="1:4" x14ac:dyDescent="0.25">
      <c r="A408" s="1" t="s">
        <v>536</v>
      </c>
      <c r="B408" s="8">
        <v>1329404</v>
      </c>
      <c r="C408" s="1" t="s">
        <v>21</v>
      </c>
      <c r="D408" s="1" t="s">
        <v>22</v>
      </c>
    </row>
    <row r="409" spans="1:4" x14ac:dyDescent="0.25">
      <c r="A409" s="1" t="s">
        <v>537</v>
      </c>
      <c r="B409" s="8">
        <v>1482126</v>
      </c>
      <c r="C409" s="1" t="s">
        <v>21</v>
      </c>
      <c r="D409" s="1" t="s">
        <v>22</v>
      </c>
    </row>
    <row r="410" spans="1:4" x14ac:dyDescent="0.25">
      <c r="A410" s="1" t="s">
        <v>538</v>
      </c>
      <c r="B410" s="8">
        <v>1485229</v>
      </c>
      <c r="C410" s="1" t="s">
        <v>21</v>
      </c>
      <c r="D410" s="1" t="s">
        <v>22</v>
      </c>
    </row>
    <row r="411" spans="1:4" x14ac:dyDescent="0.25">
      <c r="A411" s="1" t="s">
        <v>539</v>
      </c>
      <c r="B411" s="8">
        <v>1498922</v>
      </c>
      <c r="C411" s="1" t="s">
        <v>21</v>
      </c>
      <c r="D411" s="1" t="s">
        <v>22</v>
      </c>
    </row>
    <row r="412" spans="1:4" x14ac:dyDescent="0.25">
      <c r="A412" s="1" t="s">
        <v>540</v>
      </c>
      <c r="B412" s="8">
        <v>1503230</v>
      </c>
      <c r="C412" s="1" t="s">
        <v>21</v>
      </c>
      <c r="D412" s="1" t="s">
        <v>22</v>
      </c>
    </row>
    <row r="413" spans="1:4" x14ac:dyDescent="0.25">
      <c r="A413" s="1" t="s">
        <v>95</v>
      </c>
      <c r="B413" s="8">
        <v>1505771</v>
      </c>
      <c r="C413" s="1" t="s">
        <v>21</v>
      </c>
      <c r="D413" s="1" t="s">
        <v>22</v>
      </c>
    </row>
    <row r="414" spans="1:4" x14ac:dyDescent="0.25">
      <c r="A414" s="1" t="s">
        <v>95</v>
      </c>
      <c r="B414" s="8">
        <v>1512156</v>
      </c>
      <c r="C414" s="1" t="s">
        <v>21</v>
      </c>
      <c r="D414" s="1" t="s">
        <v>22</v>
      </c>
    </row>
    <row r="415" spans="1:4" x14ac:dyDescent="0.25">
      <c r="A415" s="1" t="s">
        <v>95</v>
      </c>
      <c r="B415" s="8">
        <v>1512160</v>
      </c>
      <c r="C415" s="1" t="s">
        <v>21</v>
      </c>
      <c r="D415" s="1" t="s">
        <v>22</v>
      </c>
    </row>
    <row r="416" spans="1:4" x14ac:dyDescent="0.25">
      <c r="A416" s="1" t="s">
        <v>541</v>
      </c>
      <c r="B416" s="8">
        <v>1558603</v>
      </c>
      <c r="C416" s="1" t="s">
        <v>21</v>
      </c>
      <c r="D416" s="1" t="s">
        <v>22</v>
      </c>
    </row>
    <row r="417" spans="1:4" x14ac:dyDescent="0.25">
      <c r="A417" s="1" t="s">
        <v>542</v>
      </c>
      <c r="B417" s="8">
        <v>1581625</v>
      </c>
      <c r="C417" s="1" t="s">
        <v>21</v>
      </c>
      <c r="D417" s="1" t="s">
        <v>22</v>
      </c>
    </row>
    <row r="418" spans="1:4" x14ac:dyDescent="0.25">
      <c r="A418" s="1" t="s">
        <v>543</v>
      </c>
      <c r="B418" s="8">
        <v>1610533</v>
      </c>
      <c r="C418" s="1" t="s">
        <v>21</v>
      </c>
      <c r="D418" s="1" t="s">
        <v>22</v>
      </c>
    </row>
    <row r="419" spans="1:4" x14ac:dyDescent="0.25">
      <c r="A419" s="1" t="s">
        <v>544</v>
      </c>
      <c r="B419" s="8">
        <v>1618346</v>
      </c>
      <c r="C419" s="1" t="s">
        <v>21</v>
      </c>
      <c r="D419" s="1" t="s">
        <v>22</v>
      </c>
    </row>
    <row r="420" spans="1:4" x14ac:dyDescent="0.25">
      <c r="A420" s="1" t="s">
        <v>545</v>
      </c>
      <c r="B420" s="8">
        <v>1731875</v>
      </c>
      <c r="C420" s="1" t="s">
        <v>21</v>
      </c>
      <c r="D420" s="1" t="s">
        <v>22</v>
      </c>
    </row>
    <row r="421" spans="1:4" x14ac:dyDescent="0.25">
      <c r="A421" s="1" t="s">
        <v>546</v>
      </c>
      <c r="B421" s="8">
        <v>1733076</v>
      </c>
      <c r="C421" s="1" t="s">
        <v>21</v>
      </c>
      <c r="D421" s="1" t="s">
        <v>22</v>
      </c>
    </row>
    <row r="422" spans="1:4" x14ac:dyDescent="0.25">
      <c r="A422" s="1" t="s">
        <v>547</v>
      </c>
      <c r="B422" s="8">
        <v>1747166</v>
      </c>
      <c r="C422" s="1" t="s">
        <v>21</v>
      </c>
      <c r="D422" s="1" t="s">
        <v>548</v>
      </c>
    </row>
    <row r="423" spans="1:4" x14ac:dyDescent="0.25">
      <c r="A423" s="1" t="s">
        <v>549</v>
      </c>
      <c r="B423" s="8">
        <v>5224406</v>
      </c>
      <c r="C423" s="1" t="s">
        <v>21</v>
      </c>
      <c r="D423" s="1" t="s">
        <v>22</v>
      </c>
    </row>
    <row r="424" spans="1:4" x14ac:dyDescent="0.25">
      <c r="A424" s="1" t="s">
        <v>550</v>
      </c>
      <c r="B424" s="8">
        <v>14031760</v>
      </c>
      <c r="C424" s="1" t="s">
        <v>21</v>
      </c>
      <c r="D424" s="1" t="s">
        <v>22</v>
      </c>
    </row>
    <row r="425" spans="1:4" x14ac:dyDescent="0.25">
      <c r="A425" s="1" t="s">
        <v>551</v>
      </c>
      <c r="B425" s="8">
        <v>14074151</v>
      </c>
      <c r="C425" s="1" t="s">
        <v>21</v>
      </c>
      <c r="D425" s="1" t="s">
        <v>552</v>
      </c>
    </row>
    <row r="426" spans="1:4" x14ac:dyDescent="0.25">
      <c r="A426" s="1" t="s">
        <v>553</v>
      </c>
      <c r="B426" s="8">
        <v>14077494</v>
      </c>
      <c r="C426" s="1" t="s">
        <v>21</v>
      </c>
      <c r="D426" s="1" t="s">
        <v>22</v>
      </c>
    </row>
    <row r="427" spans="1:4" x14ac:dyDescent="0.25">
      <c r="A427" s="1" t="s">
        <v>554</v>
      </c>
      <c r="B427" s="8">
        <v>14081709</v>
      </c>
      <c r="C427" s="1" t="s">
        <v>21</v>
      </c>
      <c r="D427" s="1" t="s">
        <v>22</v>
      </c>
    </row>
    <row r="428" spans="1:4" x14ac:dyDescent="0.25">
      <c r="A428" s="1" t="s">
        <v>555</v>
      </c>
      <c r="B428" s="8">
        <v>14396365</v>
      </c>
      <c r="C428" s="1" t="s">
        <v>21</v>
      </c>
      <c r="D428" s="1" t="s">
        <v>22</v>
      </c>
    </row>
    <row r="429" spans="1:4" x14ac:dyDescent="0.25">
      <c r="A429" s="1" t="s">
        <v>556</v>
      </c>
      <c r="B429" s="8">
        <v>14581462</v>
      </c>
      <c r="C429" s="1" t="s">
        <v>21</v>
      </c>
      <c r="D429" s="1" t="s">
        <v>22</v>
      </c>
    </row>
    <row r="430" spans="1:4" x14ac:dyDescent="0.25">
      <c r="A430" s="1" t="s">
        <v>557</v>
      </c>
      <c r="B430" s="8">
        <v>14591549</v>
      </c>
      <c r="C430" s="1" t="s">
        <v>21</v>
      </c>
      <c r="D430" s="1" t="s">
        <v>22</v>
      </c>
    </row>
    <row r="431" spans="1:4" x14ac:dyDescent="0.25">
      <c r="A431" s="1" t="s">
        <v>558</v>
      </c>
      <c r="B431" s="8">
        <v>14602461</v>
      </c>
      <c r="C431" s="1" t="s">
        <v>21</v>
      </c>
      <c r="D431" s="1" t="s">
        <v>22</v>
      </c>
    </row>
    <row r="432" spans="1:4" x14ac:dyDescent="0.25">
      <c r="A432" s="1" t="s">
        <v>559</v>
      </c>
      <c r="B432" s="8">
        <v>14602519</v>
      </c>
      <c r="C432" s="1" t="s">
        <v>21</v>
      </c>
      <c r="D432" s="1" t="s">
        <v>22</v>
      </c>
    </row>
    <row r="433" spans="1:4" x14ac:dyDescent="0.25">
      <c r="A433" s="1" t="s">
        <v>560</v>
      </c>
      <c r="B433" s="8">
        <v>14615387</v>
      </c>
      <c r="C433" s="1" t="s">
        <v>21</v>
      </c>
      <c r="D433" s="1" t="s">
        <v>22</v>
      </c>
    </row>
    <row r="434" spans="1:4" x14ac:dyDescent="0.25">
      <c r="A434" s="1" t="s">
        <v>561</v>
      </c>
      <c r="B434" s="8">
        <v>14652220</v>
      </c>
      <c r="C434" s="1" t="s">
        <v>21</v>
      </c>
      <c r="D434" s="1" t="s">
        <v>562</v>
      </c>
    </row>
    <row r="435" spans="1:4" x14ac:dyDescent="0.25">
      <c r="A435" s="1" t="s">
        <v>563</v>
      </c>
      <c r="B435" s="8">
        <v>14657183</v>
      </c>
      <c r="C435" s="1" t="s">
        <v>21</v>
      </c>
      <c r="D435" s="1" t="s">
        <v>564</v>
      </c>
    </row>
    <row r="436" spans="1:4" x14ac:dyDescent="0.25">
      <c r="A436" s="1" t="s">
        <v>565</v>
      </c>
      <c r="B436" s="8">
        <v>14670710</v>
      </c>
      <c r="C436" s="1" t="s">
        <v>21</v>
      </c>
      <c r="D436" s="1" t="s">
        <v>22</v>
      </c>
    </row>
    <row r="437" spans="1:4" x14ac:dyDescent="0.25">
      <c r="A437" s="1" t="s">
        <v>566</v>
      </c>
      <c r="B437" s="8">
        <v>14687930</v>
      </c>
      <c r="C437" s="1" t="s">
        <v>21</v>
      </c>
      <c r="D437" s="1" t="s">
        <v>22</v>
      </c>
    </row>
    <row r="438" spans="1:4" x14ac:dyDescent="0.25">
      <c r="A438" s="1" t="s">
        <v>567</v>
      </c>
      <c r="B438" s="8">
        <v>14697793</v>
      </c>
      <c r="C438" s="1" t="s">
        <v>21</v>
      </c>
      <c r="D438" s="1" t="s">
        <v>22</v>
      </c>
    </row>
    <row r="439" spans="1:4" x14ac:dyDescent="0.25">
      <c r="A439" s="1" t="s">
        <v>568</v>
      </c>
      <c r="B439" s="8">
        <v>14709740</v>
      </c>
      <c r="C439" s="1" t="s">
        <v>21</v>
      </c>
      <c r="D439" s="1" t="s">
        <v>22</v>
      </c>
    </row>
    <row r="440" spans="1:4" x14ac:dyDescent="0.25">
      <c r="A440" s="1" t="s">
        <v>569</v>
      </c>
      <c r="B440" s="8">
        <v>14716031</v>
      </c>
      <c r="C440" s="1" t="s">
        <v>21</v>
      </c>
      <c r="D440" s="1" t="s">
        <v>22</v>
      </c>
    </row>
    <row r="441" spans="1:4" x14ac:dyDescent="0.25">
      <c r="A441" s="1" t="s">
        <v>570</v>
      </c>
      <c r="B441" s="8">
        <v>14729788</v>
      </c>
      <c r="C441" s="1" t="s">
        <v>21</v>
      </c>
      <c r="D441" s="1" t="s">
        <v>22</v>
      </c>
    </row>
    <row r="442" spans="1:4" x14ac:dyDescent="0.25">
      <c r="A442" s="1" t="s">
        <v>571</v>
      </c>
      <c r="B442" s="8">
        <v>14737509</v>
      </c>
      <c r="C442" s="1" t="s">
        <v>21</v>
      </c>
      <c r="D442" s="1" t="s">
        <v>22</v>
      </c>
    </row>
    <row r="443" spans="1:4" x14ac:dyDescent="0.25">
      <c r="A443" s="1" t="s">
        <v>572</v>
      </c>
      <c r="B443" s="8">
        <v>36060740</v>
      </c>
      <c r="C443" s="1" t="s">
        <v>21</v>
      </c>
      <c r="D443" s="1" t="s">
        <v>22</v>
      </c>
    </row>
    <row r="444" spans="1:4" x14ac:dyDescent="0.25">
      <c r="A444" s="1" t="s">
        <v>573</v>
      </c>
      <c r="B444" s="8">
        <v>36082090</v>
      </c>
      <c r="C444" s="1" t="s">
        <v>21</v>
      </c>
      <c r="D444" s="1" t="s">
        <v>22</v>
      </c>
    </row>
    <row r="445" spans="1:4" x14ac:dyDescent="0.25">
      <c r="A445" s="1" t="s">
        <v>574</v>
      </c>
      <c r="B445" s="8">
        <v>36230693</v>
      </c>
      <c r="C445" s="1" t="s">
        <v>21</v>
      </c>
      <c r="D445" s="1" t="s">
        <v>22</v>
      </c>
    </row>
    <row r="446" spans="1:4" x14ac:dyDescent="0.25">
      <c r="A446" s="1" t="s">
        <v>575</v>
      </c>
      <c r="B446" s="8">
        <v>36259843</v>
      </c>
      <c r="C446" s="1" t="s">
        <v>21</v>
      </c>
      <c r="D446" s="1" t="s">
        <v>22</v>
      </c>
    </row>
    <row r="447" spans="1:4" x14ac:dyDescent="0.25">
      <c r="A447" s="1" t="s">
        <v>576</v>
      </c>
      <c r="B447" s="8">
        <v>36394992</v>
      </c>
      <c r="C447" s="1" t="s">
        <v>21</v>
      </c>
      <c r="D447" s="1" t="s">
        <v>577</v>
      </c>
    </row>
    <row r="448" spans="1:4" x14ac:dyDescent="0.25">
      <c r="A448" s="1" t="s">
        <v>578</v>
      </c>
      <c r="B448" s="8">
        <v>36401190</v>
      </c>
      <c r="C448" s="1" t="s">
        <v>21</v>
      </c>
      <c r="D448" s="1" t="s">
        <v>22</v>
      </c>
    </row>
    <row r="449" spans="1:4" x14ac:dyDescent="0.25">
      <c r="A449" s="1" t="s">
        <v>579</v>
      </c>
      <c r="B449" s="8">
        <v>36414024</v>
      </c>
      <c r="C449" s="1" t="s">
        <v>21</v>
      </c>
      <c r="D449" s="1" t="s">
        <v>22</v>
      </c>
    </row>
    <row r="450" spans="1:4" x14ac:dyDescent="0.25">
      <c r="A450" s="1" t="s">
        <v>580</v>
      </c>
      <c r="B450" s="8">
        <v>36475741</v>
      </c>
      <c r="C450" s="1" t="s">
        <v>21</v>
      </c>
      <c r="D450" s="1" t="s">
        <v>22</v>
      </c>
    </row>
    <row r="451" spans="1:4" x14ac:dyDescent="0.25">
      <c r="A451" s="1" t="s">
        <v>581</v>
      </c>
      <c r="B451" s="8">
        <v>36522762</v>
      </c>
      <c r="C451" s="1" t="s">
        <v>21</v>
      </c>
      <c r="D451" s="1" t="s">
        <v>22</v>
      </c>
    </row>
    <row r="452" spans="1:4" x14ac:dyDescent="0.25">
      <c r="A452" s="1" t="s">
        <v>582</v>
      </c>
      <c r="B452" s="8">
        <v>43092872</v>
      </c>
      <c r="C452" s="1" t="s">
        <v>21</v>
      </c>
      <c r="D452" s="1" t="s">
        <v>22</v>
      </c>
    </row>
    <row r="453" spans="1:4" x14ac:dyDescent="0.25">
      <c r="A453" s="1" t="s">
        <v>583</v>
      </c>
      <c r="B453" s="8">
        <v>47169382</v>
      </c>
      <c r="C453" s="1" t="s">
        <v>21</v>
      </c>
      <c r="D453" s="1" t="s">
        <v>22</v>
      </c>
    </row>
    <row r="454" spans="1:4" x14ac:dyDescent="0.25">
      <c r="A454" s="1" t="s">
        <v>584</v>
      </c>
      <c r="B454" s="8">
        <v>47322011</v>
      </c>
      <c r="C454" s="1" t="s">
        <v>21</v>
      </c>
      <c r="D454" s="1" t="s">
        <v>585</v>
      </c>
    </row>
    <row r="455" spans="1:4" x14ac:dyDescent="0.25">
      <c r="A455" s="1" t="s">
        <v>586</v>
      </c>
      <c r="B455" s="8">
        <v>203899</v>
      </c>
      <c r="C455" s="1" t="s">
        <v>45</v>
      </c>
      <c r="D455" s="1" t="s">
        <v>22</v>
      </c>
    </row>
    <row r="456" spans="1:4" x14ac:dyDescent="0.25">
      <c r="A456" s="1" t="s">
        <v>587</v>
      </c>
      <c r="B456" s="8">
        <v>1000418</v>
      </c>
      <c r="C456" s="1" t="s">
        <v>45</v>
      </c>
      <c r="D456" s="1" t="s">
        <v>22</v>
      </c>
    </row>
    <row r="457" spans="1:4" x14ac:dyDescent="0.25">
      <c r="A457" s="1" t="s">
        <v>588</v>
      </c>
      <c r="B457" s="8">
        <v>1026166</v>
      </c>
      <c r="C457" s="1" t="s">
        <v>45</v>
      </c>
      <c r="D457" s="1" t="s">
        <v>22</v>
      </c>
    </row>
    <row r="458" spans="1:4" x14ac:dyDescent="0.25">
      <c r="A458" s="1" t="s">
        <v>589</v>
      </c>
      <c r="B458" s="8">
        <v>1034952</v>
      </c>
      <c r="C458" s="1" t="s">
        <v>45</v>
      </c>
      <c r="D458" s="1" t="s">
        <v>22</v>
      </c>
    </row>
    <row r="459" spans="1:4" x14ac:dyDescent="0.25">
      <c r="A459" s="1" t="s">
        <v>590</v>
      </c>
      <c r="B459" s="8">
        <v>1047985</v>
      </c>
      <c r="C459" s="1" t="s">
        <v>45</v>
      </c>
      <c r="D459" s="1" t="s">
        <v>22</v>
      </c>
    </row>
    <row r="460" spans="1:4" x14ac:dyDescent="0.25">
      <c r="A460" s="1" t="s">
        <v>591</v>
      </c>
      <c r="B460" s="8">
        <v>1056716</v>
      </c>
      <c r="C460" s="1" t="s">
        <v>45</v>
      </c>
      <c r="D460" s="1" t="s">
        <v>22</v>
      </c>
    </row>
    <row r="461" spans="1:4" x14ac:dyDescent="0.25">
      <c r="A461" s="1" t="s">
        <v>592</v>
      </c>
      <c r="B461" s="8">
        <v>1112799</v>
      </c>
      <c r="C461" s="1" t="s">
        <v>45</v>
      </c>
      <c r="D461" s="1" t="s">
        <v>22</v>
      </c>
    </row>
    <row r="462" spans="1:4" x14ac:dyDescent="0.25">
      <c r="A462" s="1" t="s">
        <v>593</v>
      </c>
      <c r="B462" s="8">
        <v>1200402</v>
      </c>
      <c r="C462" s="1" t="s">
        <v>45</v>
      </c>
      <c r="D462" s="1" t="s">
        <v>22</v>
      </c>
    </row>
    <row r="463" spans="1:4" x14ac:dyDescent="0.25">
      <c r="A463" s="1" t="s">
        <v>594</v>
      </c>
      <c r="B463" s="8">
        <v>1266905</v>
      </c>
      <c r="C463" s="1" t="s">
        <v>45</v>
      </c>
      <c r="D463" s="1" t="s">
        <v>22</v>
      </c>
    </row>
    <row r="464" spans="1:4" x14ac:dyDescent="0.25">
      <c r="A464" s="1" t="s">
        <v>595</v>
      </c>
      <c r="B464" s="8">
        <v>1271989</v>
      </c>
      <c r="C464" s="1" t="s">
        <v>45</v>
      </c>
      <c r="D464" s="1" t="s">
        <v>22</v>
      </c>
    </row>
    <row r="465" spans="1:4" x14ac:dyDescent="0.25">
      <c r="A465" s="1" t="s">
        <v>596</v>
      </c>
      <c r="B465" s="8">
        <v>1276694</v>
      </c>
      <c r="C465" s="1" t="s">
        <v>45</v>
      </c>
      <c r="D465" s="1" t="s">
        <v>22</v>
      </c>
    </row>
    <row r="466" spans="1:4" x14ac:dyDescent="0.25">
      <c r="A466" s="1" t="s">
        <v>597</v>
      </c>
      <c r="B466" s="8">
        <v>1292137</v>
      </c>
      <c r="C466" s="1" t="s">
        <v>45</v>
      </c>
      <c r="D466" s="1" t="s">
        <v>22</v>
      </c>
    </row>
    <row r="467" spans="1:4" x14ac:dyDescent="0.25">
      <c r="A467" s="1" t="s">
        <v>598</v>
      </c>
      <c r="B467" s="8">
        <v>1313391</v>
      </c>
      <c r="C467" s="1" t="s">
        <v>45</v>
      </c>
      <c r="D467" s="1" t="s">
        <v>22</v>
      </c>
    </row>
    <row r="468" spans="1:4" x14ac:dyDescent="0.25">
      <c r="A468" s="1" t="s">
        <v>599</v>
      </c>
      <c r="B468" s="8">
        <v>1607937</v>
      </c>
      <c r="C468" s="1" t="s">
        <v>45</v>
      </c>
      <c r="D468" s="1" t="s">
        <v>22</v>
      </c>
    </row>
    <row r="469" spans="1:4" x14ac:dyDescent="0.25">
      <c r="A469" s="1" t="s">
        <v>600</v>
      </c>
      <c r="B469" s="8">
        <v>1609629</v>
      </c>
      <c r="C469" s="1" t="s">
        <v>45</v>
      </c>
      <c r="D469" s="1" t="s">
        <v>22</v>
      </c>
    </row>
    <row r="470" spans="1:4" x14ac:dyDescent="0.25">
      <c r="A470" s="1" t="s">
        <v>601</v>
      </c>
      <c r="B470" s="8">
        <v>1624790</v>
      </c>
      <c r="C470" s="1" t="s">
        <v>45</v>
      </c>
      <c r="D470" s="1" t="s">
        <v>22</v>
      </c>
    </row>
    <row r="471" spans="1:4" x14ac:dyDescent="0.25">
      <c r="A471" s="1" t="s">
        <v>602</v>
      </c>
      <c r="B471" s="8">
        <v>1738027</v>
      </c>
      <c r="C471" s="1" t="s">
        <v>45</v>
      </c>
      <c r="D471" s="1" t="s">
        <v>22</v>
      </c>
    </row>
    <row r="472" spans="1:4" x14ac:dyDescent="0.25">
      <c r="A472" s="1" t="s">
        <v>603</v>
      </c>
      <c r="B472" s="8">
        <v>14113725</v>
      </c>
      <c r="C472" s="1" t="s">
        <v>45</v>
      </c>
      <c r="D472" s="1" t="s">
        <v>22</v>
      </c>
    </row>
    <row r="473" spans="1:4" x14ac:dyDescent="0.25">
      <c r="A473" s="1" t="s">
        <v>604</v>
      </c>
      <c r="B473" s="8">
        <v>14175081</v>
      </c>
      <c r="C473" s="1" t="s">
        <v>45</v>
      </c>
      <c r="D473" s="1" t="s">
        <v>22</v>
      </c>
    </row>
    <row r="474" spans="1:4" x14ac:dyDescent="0.25">
      <c r="A474" s="1" t="s">
        <v>605</v>
      </c>
      <c r="B474" s="8">
        <v>14217073</v>
      </c>
      <c r="C474" s="1" t="s">
        <v>45</v>
      </c>
      <c r="D474" s="1" t="s">
        <v>22</v>
      </c>
    </row>
    <row r="475" spans="1:4" x14ac:dyDescent="0.25">
      <c r="A475" s="1" t="s">
        <v>606</v>
      </c>
      <c r="B475" s="8">
        <v>14602437</v>
      </c>
      <c r="C475" s="1" t="s">
        <v>45</v>
      </c>
      <c r="D475" s="1" t="s">
        <v>22</v>
      </c>
    </row>
    <row r="476" spans="1:4" x14ac:dyDescent="0.25">
      <c r="A476" s="1" t="s">
        <v>607</v>
      </c>
      <c r="B476" s="8">
        <v>14705564</v>
      </c>
      <c r="C476" s="1" t="s">
        <v>45</v>
      </c>
      <c r="D476" s="1" t="s">
        <v>22</v>
      </c>
    </row>
    <row r="477" spans="1:4" x14ac:dyDescent="0.25">
      <c r="A477" s="1" t="s">
        <v>608</v>
      </c>
      <c r="B477" s="8">
        <v>14734942</v>
      </c>
      <c r="C477" s="1" t="s">
        <v>45</v>
      </c>
      <c r="D477" s="1" t="s">
        <v>22</v>
      </c>
    </row>
    <row r="478" spans="1:4" x14ac:dyDescent="0.25">
      <c r="A478" s="1" t="s">
        <v>609</v>
      </c>
      <c r="B478" s="8">
        <v>14749306</v>
      </c>
      <c r="C478" s="1" t="s">
        <v>45</v>
      </c>
      <c r="D478" s="1" t="s">
        <v>22</v>
      </c>
    </row>
    <row r="479" spans="1:4" x14ac:dyDescent="0.25">
      <c r="A479" s="1" t="s">
        <v>610</v>
      </c>
      <c r="B479" s="8">
        <v>11127120001</v>
      </c>
      <c r="C479" s="1" t="s">
        <v>51</v>
      </c>
      <c r="D479" s="1" t="s">
        <v>22</v>
      </c>
    </row>
    <row r="480" spans="1:4" x14ac:dyDescent="0.25">
      <c r="A480" s="1" t="s">
        <v>611</v>
      </c>
      <c r="B480" s="8">
        <v>16448600002</v>
      </c>
      <c r="C480" s="1" t="s">
        <v>51</v>
      </c>
      <c r="D480" s="1" t="s">
        <v>22</v>
      </c>
    </row>
    <row r="481" spans="1:4" x14ac:dyDescent="0.25">
      <c r="A481" s="1" t="s">
        <v>612</v>
      </c>
      <c r="B481" s="8">
        <v>6712010005</v>
      </c>
      <c r="C481" s="1" t="s">
        <v>297</v>
      </c>
      <c r="D481" s="1" t="s">
        <v>22</v>
      </c>
    </row>
    <row r="482" spans="1:4" x14ac:dyDescent="0.25">
      <c r="A482" s="1" t="s">
        <v>613</v>
      </c>
      <c r="B482" s="8">
        <v>6149391</v>
      </c>
      <c r="C482" s="1" t="s">
        <v>21</v>
      </c>
      <c r="D482" s="1" t="s">
        <v>22</v>
      </c>
    </row>
    <row r="483" spans="1:4" x14ac:dyDescent="0.25">
      <c r="A483" s="1" t="s">
        <v>614</v>
      </c>
      <c r="B483" s="8">
        <v>30026602</v>
      </c>
      <c r="C483" s="1" t="s">
        <v>21</v>
      </c>
      <c r="D483" s="1" t="s">
        <v>65</v>
      </c>
    </row>
    <row r="484" spans="1:4" x14ac:dyDescent="0.25">
      <c r="A484" s="1" t="s">
        <v>615</v>
      </c>
      <c r="B484" s="8">
        <v>30027826</v>
      </c>
      <c r="C484" s="1" t="s">
        <v>21</v>
      </c>
      <c r="D484" s="1" t="s">
        <v>616</v>
      </c>
    </row>
    <row r="485" spans="1:4" x14ac:dyDescent="0.25">
      <c r="A485" s="1" t="s">
        <v>617</v>
      </c>
      <c r="B485" s="8">
        <v>30039321</v>
      </c>
      <c r="C485" s="1" t="s">
        <v>21</v>
      </c>
      <c r="D485" s="1" t="s">
        <v>22</v>
      </c>
    </row>
    <row r="486" spans="1:4" x14ac:dyDescent="0.25">
      <c r="A486" s="1" t="s">
        <v>618</v>
      </c>
      <c r="B486" s="8">
        <v>30053281</v>
      </c>
      <c r="C486" s="1" t="s">
        <v>21</v>
      </c>
      <c r="D486" s="1" t="s">
        <v>619</v>
      </c>
    </row>
    <row r="487" spans="1:4" x14ac:dyDescent="0.25">
      <c r="A487" s="1" t="s">
        <v>620</v>
      </c>
      <c r="B487" s="8">
        <v>30103478</v>
      </c>
      <c r="C487" s="1" t="s">
        <v>21</v>
      </c>
      <c r="D487" s="1" t="s">
        <v>22</v>
      </c>
    </row>
    <row r="488" spans="1:4" x14ac:dyDescent="0.25">
      <c r="A488" s="1" t="s">
        <v>621</v>
      </c>
      <c r="B488" s="8">
        <v>30106484</v>
      </c>
      <c r="C488" s="1" t="s">
        <v>21</v>
      </c>
      <c r="D488" s="1" t="s">
        <v>622</v>
      </c>
    </row>
    <row r="489" spans="1:4" x14ac:dyDescent="0.25">
      <c r="A489" s="1" t="s">
        <v>623</v>
      </c>
      <c r="B489" s="8">
        <v>30167431</v>
      </c>
      <c r="C489" s="1" t="s">
        <v>21</v>
      </c>
      <c r="D489" s="1" t="s">
        <v>624</v>
      </c>
    </row>
    <row r="490" spans="1:4" x14ac:dyDescent="0.25">
      <c r="A490" s="1" t="s">
        <v>625</v>
      </c>
      <c r="B490" s="8">
        <v>30213849</v>
      </c>
      <c r="C490" s="1" t="s">
        <v>21</v>
      </c>
      <c r="D490" s="1" t="s">
        <v>626</v>
      </c>
    </row>
    <row r="491" spans="1:4" x14ac:dyDescent="0.25">
      <c r="A491" s="1" t="s">
        <v>627</v>
      </c>
      <c r="B491" s="8">
        <v>30217088</v>
      </c>
      <c r="C491" s="1" t="s">
        <v>21</v>
      </c>
      <c r="D491" s="1" t="s">
        <v>22</v>
      </c>
    </row>
    <row r="492" spans="1:4" x14ac:dyDescent="0.25">
      <c r="A492" s="1" t="s">
        <v>628</v>
      </c>
      <c r="B492" s="8">
        <v>30246267</v>
      </c>
      <c r="C492" s="1" t="s">
        <v>21</v>
      </c>
      <c r="D492" s="1" t="s">
        <v>69</v>
      </c>
    </row>
    <row r="493" spans="1:4" x14ac:dyDescent="0.25">
      <c r="A493" s="1" t="s">
        <v>629</v>
      </c>
      <c r="B493" s="8">
        <v>30251680</v>
      </c>
      <c r="C493" s="1" t="s">
        <v>21</v>
      </c>
      <c r="D493" s="1" t="s">
        <v>630</v>
      </c>
    </row>
    <row r="494" spans="1:4" x14ac:dyDescent="0.25">
      <c r="A494" s="1" t="s">
        <v>631</v>
      </c>
      <c r="B494" s="8">
        <v>30278043</v>
      </c>
      <c r="C494" s="1" t="s">
        <v>21</v>
      </c>
      <c r="D494" s="1" t="s">
        <v>632</v>
      </c>
    </row>
    <row r="495" spans="1:4" x14ac:dyDescent="0.25">
      <c r="A495" s="1" t="s">
        <v>633</v>
      </c>
      <c r="B495" s="8">
        <v>32157856</v>
      </c>
      <c r="C495" s="1" t="s">
        <v>21</v>
      </c>
      <c r="D495" s="1" t="s">
        <v>22</v>
      </c>
    </row>
    <row r="496" spans="1:4" x14ac:dyDescent="0.25">
      <c r="A496" s="1" t="s">
        <v>634</v>
      </c>
      <c r="B496" s="8">
        <v>36151901</v>
      </c>
      <c r="C496" s="1" t="s">
        <v>21</v>
      </c>
      <c r="D496" s="1" t="s">
        <v>635</v>
      </c>
    </row>
    <row r="497" spans="1:4" x14ac:dyDescent="0.25">
      <c r="A497" s="1" t="s">
        <v>636</v>
      </c>
      <c r="B497" s="8">
        <v>36198283</v>
      </c>
      <c r="C497" s="1" t="s">
        <v>21</v>
      </c>
      <c r="D497" s="1" t="s">
        <v>637</v>
      </c>
    </row>
    <row r="498" spans="1:4" x14ac:dyDescent="0.25">
      <c r="A498" s="1" t="s">
        <v>638</v>
      </c>
      <c r="B498" s="8">
        <v>36270312</v>
      </c>
      <c r="C498" s="1" t="s">
        <v>21</v>
      </c>
      <c r="D498" s="1" t="s">
        <v>639</v>
      </c>
    </row>
    <row r="499" spans="1:4" x14ac:dyDescent="0.25">
      <c r="A499" s="1" t="s">
        <v>640</v>
      </c>
      <c r="B499" s="8">
        <v>36283218</v>
      </c>
      <c r="C499" s="1" t="s">
        <v>21</v>
      </c>
      <c r="D499" s="1" t="s">
        <v>641</v>
      </c>
    </row>
    <row r="500" spans="1:4" x14ac:dyDescent="0.25">
      <c r="A500" s="1" t="s">
        <v>642</v>
      </c>
      <c r="B500" s="8">
        <v>36347905</v>
      </c>
      <c r="C500" s="1" t="s">
        <v>21</v>
      </c>
      <c r="D500" s="1" t="s">
        <v>22</v>
      </c>
    </row>
    <row r="501" spans="1:4" x14ac:dyDescent="0.25">
      <c r="A501" s="1" t="s">
        <v>643</v>
      </c>
      <c r="B501" s="8">
        <v>36445575</v>
      </c>
      <c r="C501" s="1" t="s">
        <v>21</v>
      </c>
      <c r="D501" s="1" t="s">
        <v>22</v>
      </c>
    </row>
    <row r="502" spans="1:4" x14ac:dyDescent="0.25">
      <c r="A502" s="1" t="s">
        <v>644</v>
      </c>
      <c r="B502" s="8">
        <v>63032083</v>
      </c>
      <c r="C502" s="1" t="s">
        <v>21</v>
      </c>
      <c r="D502" s="1" t="s">
        <v>22</v>
      </c>
    </row>
    <row r="503" spans="1:4" x14ac:dyDescent="0.25">
      <c r="A503" s="1" t="s">
        <v>645</v>
      </c>
      <c r="B503" s="8">
        <v>63064671</v>
      </c>
      <c r="C503" s="1" t="s">
        <v>21</v>
      </c>
      <c r="D503" s="1" t="s">
        <v>646</v>
      </c>
    </row>
    <row r="504" spans="1:4" x14ac:dyDescent="0.25">
      <c r="A504" s="1" t="s">
        <v>647</v>
      </c>
      <c r="B504" s="8">
        <v>63103030</v>
      </c>
      <c r="C504" s="1" t="s">
        <v>21</v>
      </c>
      <c r="D504" s="1" t="s">
        <v>648</v>
      </c>
    </row>
    <row r="505" spans="1:4" x14ac:dyDescent="0.25">
      <c r="A505" s="1" t="s">
        <v>649</v>
      </c>
      <c r="B505" s="8">
        <v>63111818</v>
      </c>
      <c r="C505" s="1" t="s">
        <v>21</v>
      </c>
      <c r="D505" s="1" t="s">
        <v>650</v>
      </c>
    </row>
    <row r="506" spans="1:4" x14ac:dyDescent="0.25">
      <c r="A506" s="1" t="s">
        <v>651</v>
      </c>
      <c r="B506" s="8">
        <v>63200605</v>
      </c>
      <c r="C506" s="1" t="s">
        <v>21</v>
      </c>
      <c r="D506" s="1" t="s">
        <v>65</v>
      </c>
    </row>
    <row r="507" spans="1:4" x14ac:dyDescent="0.25">
      <c r="A507" s="1" t="s">
        <v>652</v>
      </c>
      <c r="B507" s="8">
        <v>63426865</v>
      </c>
      <c r="C507" s="1" t="s">
        <v>21</v>
      </c>
      <c r="D507" s="1" t="s">
        <v>616</v>
      </c>
    </row>
    <row r="508" spans="1:4" x14ac:dyDescent="0.25">
      <c r="A508" s="1" t="s">
        <v>653</v>
      </c>
      <c r="B508" s="8">
        <v>63444022</v>
      </c>
      <c r="C508" s="1" t="s">
        <v>21</v>
      </c>
      <c r="D508" s="1" t="s">
        <v>654</v>
      </c>
    </row>
    <row r="509" spans="1:4" x14ac:dyDescent="0.25">
      <c r="A509" s="1" t="s">
        <v>655</v>
      </c>
      <c r="B509" s="8">
        <v>63455178</v>
      </c>
      <c r="C509" s="1" t="s">
        <v>21</v>
      </c>
      <c r="D509" s="1" t="s">
        <v>481</v>
      </c>
    </row>
    <row r="510" spans="1:4" x14ac:dyDescent="0.25">
      <c r="A510" s="1" t="s">
        <v>656</v>
      </c>
      <c r="B510" s="8">
        <v>63968493</v>
      </c>
      <c r="C510" s="1" t="s">
        <v>21</v>
      </c>
      <c r="D510" s="1" t="s">
        <v>657</v>
      </c>
    </row>
    <row r="511" spans="1:4" x14ac:dyDescent="0.25">
      <c r="A511" s="1" t="s">
        <v>658</v>
      </c>
      <c r="B511" s="8">
        <v>2064773</v>
      </c>
      <c r="C511" s="1" t="s">
        <v>45</v>
      </c>
      <c r="D511" s="1" t="s">
        <v>22</v>
      </c>
    </row>
    <row r="512" spans="1:4" x14ac:dyDescent="0.25">
      <c r="A512" s="1" t="s">
        <v>659</v>
      </c>
      <c r="B512" s="8">
        <v>2117115</v>
      </c>
      <c r="C512" s="1" t="s">
        <v>45</v>
      </c>
      <c r="D512" s="1" t="s">
        <v>22</v>
      </c>
    </row>
    <row r="513" spans="1:4" x14ac:dyDescent="0.25">
      <c r="A513" s="1" t="s">
        <v>660</v>
      </c>
      <c r="B513" s="8">
        <v>2213927</v>
      </c>
      <c r="C513" s="1" t="s">
        <v>45</v>
      </c>
      <c r="D513" s="1" t="s">
        <v>22</v>
      </c>
    </row>
    <row r="514" spans="1:4" x14ac:dyDescent="0.25">
      <c r="A514" s="1" t="s">
        <v>661</v>
      </c>
      <c r="B514" s="8">
        <v>2221592</v>
      </c>
      <c r="C514" s="1" t="s">
        <v>45</v>
      </c>
      <c r="D514" s="1" t="s">
        <v>22</v>
      </c>
    </row>
    <row r="515" spans="1:4" x14ac:dyDescent="0.25">
      <c r="A515" s="1" t="s">
        <v>662</v>
      </c>
      <c r="B515" s="8">
        <v>8035122</v>
      </c>
      <c r="C515" s="1" t="s">
        <v>45</v>
      </c>
      <c r="D515" s="1" t="s">
        <v>22</v>
      </c>
    </row>
    <row r="516" spans="1:4" x14ac:dyDescent="0.25">
      <c r="A516" s="1" t="s">
        <v>663</v>
      </c>
      <c r="B516" s="8">
        <v>8099045</v>
      </c>
      <c r="C516" s="1" t="s">
        <v>45</v>
      </c>
      <c r="D516" s="1" t="s">
        <v>22</v>
      </c>
    </row>
    <row r="517" spans="1:4" x14ac:dyDescent="0.25">
      <c r="A517" s="1" t="s">
        <v>664</v>
      </c>
      <c r="B517" s="8">
        <v>10176962</v>
      </c>
      <c r="C517" s="1" t="s">
        <v>45</v>
      </c>
      <c r="D517" s="1" t="s">
        <v>22</v>
      </c>
    </row>
    <row r="518" spans="1:4" x14ac:dyDescent="0.25">
      <c r="A518" s="1" t="s">
        <v>665</v>
      </c>
      <c r="B518" s="8">
        <v>12151001</v>
      </c>
      <c r="C518" s="1" t="s">
        <v>45</v>
      </c>
      <c r="D518" s="1" t="s">
        <v>22</v>
      </c>
    </row>
    <row r="519" spans="1:4" x14ac:dyDescent="0.25">
      <c r="A519" s="1" t="s">
        <v>666</v>
      </c>
      <c r="B519" s="8">
        <v>12153597</v>
      </c>
      <c r="C519" s="1" t="s">
        <v>45</v>
      </c>
      <c r="D519" s="1" t="s">
        <v>22</v>
      </c>
    </row>
    <row r="520" spans="1:4" x14ac:dyDescent="0.25">
      <c r="A520" s="1" t="s">
        <v>667</v>
      </c>
      <c r="B520" s="8">
        <v>12244583</v>
      </c>
      <c r="C520" s="1" t="s">
        <v>45</v>
      </c>
      <c r="D520" s="1" t="s">
        <v>22</v>
      </c>
    </row>
    <row r="521" spans="1:4" x14ac:dyDescent="0.25">
      <c r="A521" s="1" t="s">
        <v>668</v>
      </c>
      <c r="B521" s="8">
        <v>12255049</v>
      </c>
      <c r="C521" s="1" t="s">
        <v>45</v>
      </c>
      <c r="D521" s="1" t="s">
        <v>22</v>
      </c>
    </row>
    <row r="522" spans="1:4" x14ac:dyDescent="0.25">
      <c r="A522" s="1" t="s">
        <v>669</v>
      </c>
      <c r="B522" s="8">
        <v>12270666</v>
      </c>
      <c r="C522" s="1" t="s">
        <v>45</v>
      </c>
      <c r="D522" s="1" t="s">
        <v>22</v>
      </c>
    </row>
    <row r="523" spans="1:4" x14ac:dyDescent="0.25">
      <c r="A523" s="1" t="s">
        <v>670</v>
      </c>
      <c r="B523" s="8">
        <v>14106206</v>
      </c>
      <c r="C523" s="1" t="s">
        <v>45</v>
      </c>
      <c r="D523" s="1" t="s">
        <v>22</v>
      </c>
    </row>
    <row r="524" spans="1:4" x14ac:dyDescent="0.25">
      <c r="A524" s="1" t="s">
        <v>671</v>
      </c>
      <c r="B524" s="8">
        <v>14172928</v>
      </c>
      <c r="C524" s="1" t="s">
        <v>45</v>
      </c>
      <c r="D524" s="1" t="s">
        <v>22</v>
      </c>
    </row>
    <row r="525" spans="1:4" x14ac:dyDescent="0.25">
      <c r="A525" s="1" t="s">
        <v>672</v>
      </c>
      <c r="B525" s="8">
        <v>14200323</v>
      </c>
      <c r="C525" s="1" t="s">
        <v>45</v>
      </c>
      <c r="D525" s="1" t="s">
        <v>22</v>
      </c>
    </row>
    <row r="526" spans="1:4" x14ac:dyDescent="0.25">
      <c r="A526" s="1" t="s">
        <v>673</v>
      </c>
      <c r="B526" s="8">
        <v>14281750</v>
      </c>
      <c r="C526" s="1" t="s">
        <v>45</v>
      </c>
      <c r="D526" s="1" t="s">
        <v>22</v>
      </c>
    </row>
    <row r="527" spans="1:4" x14ac:dyDescent="0.25">
      <c r="A527" s="1" t="s">
        <v>674</v>
      </c>
      <c r="B527" s="8">
        <v>14294161</v>
      </c>
      <c r="C527" s="1" t="s">
        <v>45</v>
      </c>
      <c r="D527" s="1" t="s">
        <v>22</v>
      </c>
    </row>
    <row r="528" spans="1:4" x14ac:dyDescent="0.25">
      <c r="A528" s="1" t="s">
        <v>675</v>
      </c>
      <c r="B528" s="8">
        <v>14671848</v>
      </c>
      <c r="C528" s="1" t="s">
        <v>45</v>
      </c>
      <c r="D528" s="1" t="s">
        <v>22</v>
      </c>
    </row>
    <row r="529" spans="1:4" x14ac:dyDescent="0.25">
      <c r="A529" s="1" t="s">
        <v>676</v>
      </c>
      <c r="B529" s="8">
        <v>14749037</v>
      </c>
      <c r="C529" s="1" t="s">
        <v>45</v>
      </c>
      <c r="D529" s="1" t="s">
        <v>22</v>
      </c>
    </row>
    <row r="530" spans="1:4" x14ac:dyDescent="0.25">
      <c r="A530" s="1" t="s">
        <v>677</v>
      </c>
      <c r="B530" s="8">
        <v>19263447</v>
      </c>
      <c r="C530" s="1" t="s">
        <v>45</v>
      </c>
      <c r="D530" s="1" t="s">
        <v>22</v>
      </c>
    </row>
    <row r="531" spans="1:4" x14ac:dyDescent="0.25">
      <c r="A531" s="1" t="s">
        <v>678</v>
      </c>
      <c r="B531" s="8">
        <v>22107039</v>
      </c>
      <c r="C531" s="1" t="s">
        <v>45</v>
      </c>
      <c r="D531" s="1" t="s">
        <v>22</v>
      </c>
    </row>
    <row r="532" spans="1:4" x14ac:dyDescent="0.25">
      <c r="A532" s="1" t="s">
        <v>679</v>
      </c>
      <c r="B532" s="8">
        <v>24304721</v>
      </c>
      <c r="C532" s="1" t="s">
        <v>45</v>
      </c>
      <c r="D532" s="1" t="s">
        <v>22</v>
      </c>
    </row>
    <row r="533" spans="1:4" x14ac:dyDescent="0.25">
      <c r="A533" s="1" t="s">
        <v>680</v>
      </c>
      <c r="B533" s="8">
        <v>30007083</v>
      </c>
      <c r="C533" s="1" t="s">
        <v>45</v>
      </c>
      <c r="D533" s="1" t="s">
        <v>22</v>
      </c>
    </row>
    <row r="534" spans="1:4" x14ac:dyDescent="0.25">
      <c r="A534" s="1" t="s">
        <v>681</v>
      </c>
      <c r="B534" s="8">
        <v>30022009</v>
      </c>
      <c r="C534" s="1" t="s">
        <v>45</v>
      </c>
      <c r="D534" s="1" t="s">
        <v>22</v>
      </c>
    </row>
    <row r="535" spans="1:4" x14ac:dyDescent="0.25">
      <c r="A535" s="1" t="s">
        <v>682</v>
      </c>
      <c r="B535" s="8">
        <v>16030193</v>
      </c>
      <c r="C535" s="1" t="s">
        <v>45</v>
      </c>
      <c r="D535" s="1" t="s">
        <v>22</v>
      </c>
    </row>
    <row r="536" spans="1:4" x14ac:dyDescent="0.25">
      <c r="A536" s="1" t="s">
        <v>683</v>
      </c>
      <c r="B536" s="8">
        <v>16031108</v>
      </c>
      <c r="C536" s="1" t="s">
        <v>45</v>
      </c>
      <c r="D536" s="1" t="s">
        <v>22</v>
      </c>
    </row>
    <row r="537" spans="1:4" x14ac:dyDescent="0.25">
      <c r="A537" s="1" t="s">
        <v>684</v>
      </c>
      <c r="B537" s="8">
        <v>16032334</v>
      </c>
      <c r="C537" s="1" t="s">
        <v>45</v>
      </c>
      <c r="D537" s="1" t="s">
        <v>22</v>
      </c>
    </row>
    <row r="538" spans="1:4" x14ac:dyDescent="0.25">
      <c r="A538" s="1" t="s">
        <v>685</v>
      </c>
      <c r="B538" s="8">
        <v>16034270</v>
      </c>
      <c r="C538" s="1" t="s">
        <v>45</v>
      </c>
      <c r="D538" s="1" t="s">
        <v>22</v>
      </c>
    </row>
    <row r="539" spans="1:4" x14ac:dyDescent="0.25">
      <c r="A539" s="1" t="s">
        <v>686</v>
      </c>
      <c r="B539" s="8">
        <v>16041555</v>
      </c>
      <c r="C539" s="1" t="s">
        <v>45</v>
      </c>
      <c r="D539" s="1" t="s">
        <v>22</v>
      </c>
    </row>
    <row r="540" spans="1:4" x14ac:dyDescent="0.25">
      <c r="A540" s="1" t="s">
        <v>687</v>
      </c>
      <c r="B540" s="8">
        <v>16043795</v>
      </c>
      <c r="C540" s="1" t="s">
        <v>45</v>
      </c>
      <c r="D540" s="1" t="s">
        <v>22</v>
      </c>
    </row>
    <row r="541" spans="1:4" x14ac:dyDescent="0.25">
      <c r="A541" s="1" t="s">
        <v>688</v>
      </c>
      <c r="B541" s="8">
        <v>16050144</v>
      </c>
      <c r="C541" s="1" t="s">
        <v>45</v>
      </c>
      <c r="D541" s="1" t="s">
        <v>22</v>
      </c>
    </row>
    <row r="542" spans="1:4" x14ac:dyDescent="0.25">
      <c r="A542" s="1" t="s">
        <v>689</v>
      </c>
      <c r="B542" s="8">
        <v>16050871</v>
      </c>
      <c r="C542" s="1" t="s">
        <v>45</v>
      </c>
      <c r="D542" s="1" t="s">
        <v>22</v>
      </c>
    </row>
    <row r="543" spans="1:4" x14ac:dyDescent="0.25">
      <c r="A543" s="1" t="s">
        <v>690</v>
      </c>
      <c r="B543" s="8">
        <v>16051668</v>
      </c>
      <c r="C543" s="1" t="s">
        <v>45</v>
      </c>
      <c r="D543" s="1" t="s">
        <v>22</v>
      </c>
    </row>
    <row r="544" spans="1:4" x14ac:dyDescent="0.25">
      <c r="A544" s="1" t="s">
        <v>691</v>
      </c>
      <c r="B544" s="8">
        <v>16058855</v>
      </c>
      <c r="C544" s="1" t="s">
        <v>45</v>
      </c>
      <c r="D544" s="1" t="s">
        <v>22</v>
      </c>
    </row>
    <row r="545" spans="1:4" x14ac:dyDescent="0.25">
      <c r="A545" s="1" t="s">
        <v>692</v>
      </c>
      <c r="B545" s="8">
        <v>16059621</v>
      </c>
      <c r="C545" s="1" t="s">
        <v>45</v>
      </c>
      <c r="D545" s="1" t="s">
        <v>22</v>
      </c>
    </row>
    <row r="546" spans="1:4" x14ac:dyDescent="0.25">
      <c r="A546" s="1" t="s">
        <v>693</v>
      </c>
      <c r="B546" s="8">
        <v>16061214</v>
      </c>
      <c r="C546" s="1" t="s">
        <v>45</v>
      </c>
      <c r="D546" s="1" t="s">
        <v>22</v>
      </c>
    </row>
    <row r="547" spans="1:4" x14ac:dyDescent="0.25">
      <c r="A547" s="1" t="s">
        <v>694</v>
      </c>
      <c r="B547" s="8">
        <v>16065298</v>
      </c>
      <c r="C547" s="1" t="s">
        <v>45</v>
      </c>
      <c r="D547" s="1" t="s">
        <v>22</v>
      </c>
    </row>
    <row r="548" spans="1:4" x14ac:dyDescent="0.25">
      <c r="A548" s="1" t="s">
        <v>695</v>
      </c>
      <c r="B548" s="8">
        <v>16071107</v>
      </c>
      <c r="C548" s="1" t="s">
        <v>45</v>
      </c>
      <c r="D548" s="1" t="s">
        <v>22</v>
      </c>
    </row>
    <row r="549" spans="1:4" x14ac:dyDescent="0.25">
      <c r="A549" s="1" t="s">
        <v>696</v>
      </c>
      <c r="B549" s="8">
        <v>16091815</v>
      </c>
      <c r="C549" s="1" t="s">
        <v>45</v>
      </c>
      <c r="D549" s="1" t="s">
        <v>22</v>
      </c>
    </row>
    <row r="550" spans="1:4" x14ac:dyDescent="0.25">
      <c r="A550" s="1" t="s">
        <v>697</v>
      </c>
      <c r="B550" s="8">
        <v>16100726</v>
      </c>
      <c r="C550" s="1" t="s">
        <v>45</v>
      </c>
      <c r="D550" s="1" t="s">
        <v>22</v>
      </c>
    </row>
    <row r="551" spans="1:4" x14ac:dyDescent="0.25">
      <c r="A551" s="1" t="s">
        <v>698</v>
      </c>
      <c r="B551" s="8">
        <v>16106226</v>
      </c>
      <c r="C551" s="1" t="s">
        <v>45</v>
      </c>
      <c r="D551" s="1" t="s">
        <v>22</v>
      </c>
    </row>
    <row r="552" spans="1:4" x14ac:dyDescent="0.25">
      <c r="A552" s="1" t="s">
        <v>699</v>
      </c>
      <c r="B552" s="8">
        <v>16106707</v>
      </c>
      <c r="C552" s="1" t="s">
        <v>45</v>
      </c>
      <c r="D552" s="1" t="s">
        <v>22</v>
      </c>
    </row>
    <row r="553" spans="1:4" x14ac:dyDescent="0.25">
      <c r="A553" s="1" t="s">
        <v>700</v>
      </c>
      <c r="B553" s="8">
        <v>16119035</v>
      </c>
      <c r="C553" s="1" t="s">
        <v>45</v>
      </c>
      <c r="D553" s="1" t="s">
        <v>22</v>
      </c>
    </row>
    <row r="554" spans="1:4" x14ac:dyDescent="0.25">
      <c r="A554" s="1" t="s">
        <v>701</v>
      </c>
      <c r="B554" s="8">
        <v>16121695</v>
      </c>
      <c r="C554" s="1" t="s">
        <v>45</v>
      </c>
      <c r="D554" s="1" t="s">
        <v>22</v>
      </c>
    </row>
    <row r="555" spans="1:4" x14ac:dyDescent="0.25">
      <c r="A555" s="1" t="s">
        <v>702</v>
      </c>
      <c r="B555" s="8">
        <v>16122605</v>
      </c>
      <c r="C555" s="1" t="s">
        <v>45</v>
      </c>
      <c r="D555" s="1" t="s">
        <v>22</v>
      </c>
    </row>
    <row r="556" spans="1:4" x14ac:dyDescent="0.25">
      <c r="A556" s="1" t="s">
        <v>703</v>
      </c>
      <c r="B556" s="8">
        <v>16124842</v>
      </c>
      <c r="C556" s="1" t="s">
        <v>45</v>
      </c>
      <c r="D556" s="1" t="s">
        <v>22</v>
      </c>
    </row>
    <row r="557" spans="1:4" x14ac:dyDescent="0.25">
      <c r="A557" s="1" t="s">
        <v>704</v>
      </c>
      <c r="B557" s="8">
        <v>16141199</v>
      </c>
      <c r="C557" s="1" t="s">
        <v>45</v>
      </c>
      <c r="D557" s="1" t="s">
        <v>22</v>
      </c>
    </row>
    <row r="558" spans="1:4" x14ac:dyDescent="0.25">
      <c r="A558" s="1" t="s">
        <v>282</v>
      </c>
      <c r="B558" s="8">
        <v>16141578</v>
      </c>
      <c r="C558" s="1" t="s">
        <v>45</v>
      </c>
      <c r="D558" s="1" t="s">
        <v>22</v>
      </c>
    </row>
    <row r="559" spans="1:4" x14ac:dyDescent="0.25">
      <c r="A559" s="1" t="s">
        <v>705</v>
      </c>
      <c r="B559" s="8">
        <v>16148189</v>
      </c>
      <c r="C559" s="1" t="s">
        <v>45</v>
      </c>
      <c r="D559" s="1" t="s">
        <v>22</v>
      </c>
    </row>
    <row r="560" spans="1:4" x14ac:dyDescent="0.25">
      <c r="A560" s="1" t="s">
        <v>706</v>
      </c>
      <c r="B560" s="8">
        <v>16150042</v>
      </c>
      <c r="C560" s="1" t="s">
        <v>45</v>
      </c>
      <c r="D560" s="1" t="s">
        <v>22</v>
      </c>
    </row>
    <row r="561" spans="1:4" x14ac:dyDescent="0.25">
      <c r="A561" s="1" t="s">
        <v>707</v>
      </c>
      <c r="B561" s="8">
        <v>16150499</v>
      </c>
      <c r="C561" s="1" t="s">
        <v>45</v>
      </c>
      <c r="D561" s="1" t="s">
        <v>22</v>
      </c>
    </row>
    <row r="562" spans="1:4" x14ac:dyDescent="0.25">
      <c r="A562" s="1" t="s">
        <v>708</v>
      </c>
      <c r="B562" s="8">
        <v>16152717</v>
      </c>
      <c r="C562" s="1" t="s">
        <v>45</v>
      </c>
      <c r="D562" s="1" t="s">
        <v>22</v>
      </c>
    </row>
    <row r="563" spans="1:4" x14ac:dyDescent="0.25">
      <c r="A563" s="1" t="s">
        <v>709</v>
      </c>
      <c r="B563" s="8">
        <v>16157433</v>
      </c>
      <c r="C563" s="1" t="s">
        <v>45</v>
      </c>
      <c r="D563" s="1" t="s">
        <v>22</v>
      </c>
    </row>
    <row r="564" spans="1:4" x14ac:dyDescent="0.25">
      <c r="A564" s="1" t="s">
        <v>710</v>
      </c>
      <c r="B564" s="8">
        <v>16158691</v>
      </c>
      <c r="C564" s="1" t="s">
        <v>45</v>
      </c>
      <c r="D564" s="1" t="s">
        <v>22</v>
      </c>
    </row>
    <row r="565" spans="1:4" x14ac:dyDescent="0.25">
      <c r="A565" s="1" t="s">
        <v>711</v>
      </c>
      <c r="B565" s="8">
        <v>16158692</v>
      </c>
      <c r="C565" s="1" t="s">
        <v>45</v>
      </c>
      <c r="D565" s="1" t="s">
        <v>22</v>
      </c>
    </row>
    <row r="566" spans="1:4" x14ac:dyDescent="0.25">
      <c r="A566" s="1" t="s">
        <v>712</v>
      </c>
      <c r="B566" s="8">
        <v>30160236</v>
      </c>
      <c r="C566" s="1" t="s">
        <v>45</v>
      </c>
      <c r="D566" s="1" t="s">
        <v>22</v>
      </c>
    </row>
    <row r="567" spans="1:4" x14ac:dyDescent="0.25">
      <c r="A567" s="1" t="s">
        <v>713</v>
      </c>
      <c r="B567" s="8">
        <v>30163814</v>
      </c>
      <c r="C567" s="1" t="s">
        <v>45</v>
      </c>
      <c r="D567" s="1" t="s">
        <v>22</v>
      </c>
    </row>
    <row r="568" spans="1:4" x14ac:dyDescent="0.25">
      <c r="A568" s="1" t="s">
        <v>714</v>
      </c>
      <c r="B568" s="8">
        <v>30165042</v>
      </c>
      <c r="C568" s="1" t="s">
        <v>45</v>
      </c>
      <c r="D568" s="1" t="s">
        <v>22</v>
      </c>
    </row>
    <row r="569" spans="1:4" x14ac:dyDescent="0.25">
      <c r="A569" s="1" t="s">
        <v>715</v>
      </c>
      <c r="B569" s="8">
        <v>30165825</v>
      </c>
      <c r="C569" s="1" t="s">
        <v>45</v>
      </c>
      <c r="D569" s="1" t="s">
        <v>22</v>
      </c>
    </row>
    <row r="570" spans="1:4" x14ac:dyDescent="0.25">
      <c r="A570" s="1" t="s">
        <v>716</v>
      </c>
      <c r="B570" s="8">
        <v>30166105</v>
      </c>
      <c r="C570" s="1" t="s">
        <v>45</v>
      </c>
      <c r="D570" s="1" t="s">
        <v>22</v>
      </c>
    </row>
    <row r="571" spans="1:4" x14ac:dyDescent="0.25">
      <c r="A571" s="1" t="s">
        <v>717</v>
      </c>
      <c r="B571" s="8">
        <v>30171157</v>
      </c>
      <c r="C571" s="1" t="s">
        <v>45</v>
      </c>
      <c r="D571" s="1" t="s">
        <v>22</v>
      </c>
    </row>
    <row r="572" spans="1:4" x14ac:dyDescent="0.25">
      <c r="A572" s="1" t="s">
        <v>718</v>
      </c>
      <c r="B572" s="8">
        <v>30171790</v>
      </c>
      <c r="C572" s="1" t="s">
        <v>45</v>
      </c>
      <c r="D572" s="1" t="s">
        <v>22</v>
      </c>
    </row>
    <row r="573" spans="1:4" x14ac:dyDescent="0.25">
      <c r="A573" s="1" t="s">
        <v>719</v>
      </c>
      <c r="B573" s="8">
        <v>30171944</v>
      </c>
      <c r="C573" s="1" t="s">
        <v>45</v>
      </c>
      <c r="D573" s="1" t="s">
        <v>22</v>
      </c>
    </row>
    <row r="574" spans="1:4" x14ac:dyDescent="0.25">
      <c r="A574" s="1" t="s">
        <v>720</v>
      </c>
      <c r="B574" s="8">
        <v>30171968</v>
      </c>
      <c r="C574" s="1" t="s">
        <v>45</v>
      </c>
      <c r="D574" s="1" t="s">
        <v>22</v>
      </c>
    </row>
    <row r="575" spans="1:4" x14ac:dyDescent="0.25">
      <c r="A575" s="1" t="s">
        <v>721</v>
      </c>
      <c r="B575" s="8">
        <v>30172849</v>
      </c>
      <c r="C575" s="1" t="s">
        <v>45</v>
      </c>
      <c r="D575" s="1" t="s">
        <v>22</v>
      </c>
    </row>
    <row r="576" spans="1:4" x14ac:dyDescent="0.25">
      <c r="A576" s="1" t="s">
        <v>722</v>
      </c>
      <c r="B576" s="8">
        <v>30172855</v>
      </c>
      <c r="C576" s="1" t="s">
        <v>45</v>
      </c>
      <c r="D576" s="1" t="s">
        <v>22</v>
      </c>
    </row>
    <row r="577" spans="1:4" x14ac:dyDescent="0.25">
      <c r="A577" s="1" t="s">
        <v>723</v>
      </c>
      <c r="B577" s="8">
        <v>30173274</v>
      </c>
      <c r="C577" s="1" t="s">
        <v>45</v>
      </c>
      <c r="D577" s="1" t="s">
        <v>22</v>
      </c>
    </row>
    <row r="578" spans="1:4" x14ac:dyDescent="0.25">
      <c r="A578" s="1" t="s">
        <v>724</v>
      </c>
      <c r="B578" s="8">
        <v>30174360</v>
      </c>
      <c r="C578" s="1" t="s">
        <v>45</v>
      </c>
      <c r="D578" s="1" t="s">
        <v>22</v>
      </c>
    </row>
    <row r="579" spans="1:4" x14ac:dyDescent="0.25">
      <c r="A579" s="1" t="s">
        <v>725</v>
      </c>
      <c r="B579" s="8">
        <v>30174588</v>
      </c>
      <c r="C579" s="1" t="s">
        <v>45</v>
      </c>
      <c r="D579" s="1" t="s">
        <v>726</v>
      </c>
    </row>
    <row r="580" spans="1:4" x14ac:dyDescent="0.25">
      <c r="A580" s="1" t="s">
        <v>727</v>
      </c>
      <c r="B580" s="8">
        <v>30175858</v>
      </c>
      <c r="C580" s="1" t="s">
        <v>45</v>
      </c>
      <c r="D580" s="1" t="s">
        <v>22</v>
      </c>
    </row>
    <row r="581" spans="1:4" x14ac:dyDescent="0.25">
      <c r="A581" s="1" t="s">
        <v>728</v>
      </c>
      <c r="B581" s="8">
        <v>30175896</v>
      </c>
      <c r="C581" s="1" t="s">
        <v>45</v>
      </c>
      <c r="D581" s="1" t="s">
        <v>22</v>
      </c>
    </row>
    <row r="582" spans="1:4" x14ac:dyDescent="0.25">
      <c r="A582" s="1" t="s">
        <v>729</v>
      </c>
      <c r="B582" s="8">
        <v>30175989</v>
      </c>
      <c r="C582" s="1" t="s">
        <v>45</v>
      </c>
      <c r="D582" s="1" t="s">
        <v>22</v>
      </c>
    </row>
    <row r="583" spans="1:4" x14ac:dyDescent="0.25">
      <c r="A583" s="1" t="s">
        <v>730</v>
      </c>
      <c r="B583" s="8">
        <v>30176729</v>
      </c>
      <c r="C583" s="1" t="s">
        <v>45</v>
      </c>
      <c r="D583" s="1" t="s">
        <v>22</v>
      </c>
    </row>
    <row r="584" spans="1:4" x14ac:dyDescent="0.25">
      <c r="A584" s="1" t="s">
        <v>731</v>
      </c>
      <c r="B584" s="8">
        <v>30176750</v>
      </c>
      <c r="C584" s="1" t="s">
        <v>45</v>
      </c>
      <c r="D584" s="1" t="s">
        <v>22</v>
      </c>
    </row>
    <row r="585" spans="1:4" x14ac:dyDescent="0.25">
      <c r="A585" s="1" t="s">
        <v>732</v>
      </c>
      <c r="B585" s="8">
        <v>30176827</v>
      </c>
      <c r="C585" s="1" t="s">
        <v>45</v>
      </c>
      <c r="D585" s="1" t="s">
        <v>22</v>
      </c>
    </row>
    <row r="586" spans="1:4" x14ac:dyDescent="0.25">
      <c r="A586" s="1" t="s">
        <v>733</v>
      </c>
      <c r="B586" s="8">
        <v>30177710</v>
      </c>
      <c r="C586" s="1" t="s">
        <v>45</v>
      </c>
      <c r="D586" s="1" t="s">
        <v>22</v>
      </c>
    </row>
    <row r="587" spans="1:4" x14ac:dyDescent="0.25">
      <c r="A587" s="1" t="s">
        <v>734</v>
      </c>
      <c r="B587" s="8">
        <v>30178486</v>
      </c>
      <c r="C587" s="1" t="s">
        <v>45</v>
      </c>
      <c r="D587" s="1" t="s">
        <v>22</v>
      </c>
    </row>
    <row r="588" spans="1:4" x14ac:dyDescent="0.25">
      <c r="A588" s="1" t="s">
        <v>735</v>
      </c>
      <c r="B588" s="8">
        <v>30192385</v>
      </c>
      <c r="C588" s="1" t="s">
        <v>45</v>
      </c>
      <c r="D588" s="1" t="s">
        <v>22</v>
      </c>
    </row>
    <row r="589" spans="1:4" x14ac:dyDescent="0.25">
      <c r="A589" s="1" t="s">
        <v>736</v>
      </c>
      <c r="B589" s="8">
        <v>30193214</v>
      </c>
      <c r="C589" s="1" t="s">
        <v>45</v>
      </c>
      <c r="D589" s="1" t="s">
        <v>22</v>
      </c>
    </row>
    <row r="590" spans="1:4" x14ac:dyDescent="0.25">
      <c r="A590" s="1" t="s">
        <v>737</v>
      </c>
      <c r="B590" s="8">
        <v>30193316</v>
      </c>
      <c r="C590" s="1" t="s">
        <v>45</v>
      </c>
      <c r="D590" s="1" t="s">
        <v>22</v>
      </c>
    </row>
    <row r="591" spans="1:4" x14ac:dyDescent="0.25">
      <c r="A591" s="1" t="s">
        <v>738</v>
      </c>
      <c r="B591" s="8">
        <v>30193620</v>
      </c>
      <c r="C591" s="1" t="s">
        <v>45</v>
      </c>
      <c r="D591" s="1" t="s">
        <v>22</v>
      </c>
    </row>
    <row r="592" spans="1:4" x14ac:dyDescent="0.25">
      <c r="A592" s="1" t="s">
        <v>739</v>
      </c>
      <c r="B592" s="8">
        <v>30194269</v>
      </c>
      <c r="C592" s="1" t="s">
        <v>45</v>
      </c>
      <c r="D592" s="1" t="s">
        <v>22</v>
      </c>
    </row>
    <row r="593" spans="1:4" x14ac:dyDescent="0.25">
      <c r="A593" s="1" t="s">
        <v>740</v>
      </c>
      <c r="B593" s="8">
        <v>30195097</v>
      </c>
      <c r="C593" s="1" t="s">
        <v>45</v>
      </c>
      <c r="D593" s="1" t="s">
        <v>22</v>
      </c>
    </row>
    <row r="594" spans="1:4" x14ac:dyDescent="0.25">
      <c r="A594" s="1" t="s">
        <v>741</v>
      </c>
      <c r="B594" s="8">
        <v>30199168</v>
      </c>
      <c r="C594" s="1" t="s">
        <v>45</v>
      </c>
      <c r="D594" s="1" t="s">
        <v>22</v>
      </c>
    </row>
    <row r="595" spans="1:4" x14ac:dyDescent="0.25">
      <c r="A595" s="1" t="s">
        <v>742</v>
      </c>
      <c r="B595" s="8">
        <v>30199768</v>
      </c>
      <c r="C595" s="1" t="s">
        <v>45</v>
      </c>
      <c r="D595" s="1" t="s">
        <v>22</v>
      </c>
    </row>
    <row r="596" spans="1:4" x14ac:dyDescent="0.25">
      <c r="A596" s="1" t="s">
        <v>743</v>
      </c>
      <c r="B596" s="8">
        <v>30201341</v>
      </c>
      <c r="C596" s="1" t="s">
        <v>45</v>
      </c>
      <c r="D596" s="1" t="s">
        <v>22</v>
      </c>
    </row>
    <row r="597" spans="1:4" x14ac:dyDescent="0.25">
      <c r="A597" s="1" t="s">
        <v>744</v>
      </c>
      <c r="B597" s="8">
        <v>30201734</v>
      </c>
      <c r="C597" s="1" t="s">
        <v>45</v>
      </c>
      <c r="D597" s="1" t="s">
        <v>22</v>
      </c>
    </row>
    <row r="598" spans="1:4" x14ac:dyDescent="0.25">
      <c r="A598" s="1" t="s">
        <v>745</v>
      </c>
      <c r="B598" s="8">
        <v>30202168</v>
      </c>
      <c r="C598" s="1" t="s">
        <v>45</v>
      </c>
      <c r="D598" s="1" t="s">
        <v>22</v>
      </c>
    </row>
    <row r="599" spans="1:4" x14ac:dyDescent="0.25">
      <c r="A599" s="1" t="s">
        <v>746</v>
      </c>
      <c r="B599" s="8">
        <v>30202391</v>
      </c>
      <c r="C599" s="1" t="s">
        <v>45</v>
      </c>
      <c r="D599" s="1" t="s">
        <v>22</v>
      </c>
    </row>
    <row r="600" spans="1:4" x14ac:dyDescent="0.25">
      <c r="A600" s="1" t="s">
        <v>747</v>
      </c>
      <c r="B600" s="8">
        <v>30202522</v>
      </c>
      <c r="C600" s="1" t="s">
        <v>45</v>
      </c>
      <c r="D600" s="1" t="s">
        <v>22</v>
      </c>
    </row>
    <row r="601" spans="1:4" x14ac:dyDescent="0.25">
      <c r="A601" s="1" t="s">
        <v>748</v>
      </c>
      <c r="B601" s="8">
        <v>30202895</v>
      </c>
      <c r="C601" s="1" t="s">
        <v>45</v>
      </c>
      <c r="D601" s="1" t="s">
        <v>22</v>
      </c>
    </row>
    <row r="602" spans="1:4" x14ac:dyDescent="0.25">
      <c r="A602" s="1" t="s">
        <v>749</v>
      </c>
      <c r="B602" s="8">
        <v>30203205</v>
      </c>
      <c r="C602" s="1" t="s">
        <v>45</v>
      </c>
      <c r="D602" s="1" t="s">
        <v>22</v>
      </c>
    </row>
    <row r="603" spans="1:4" x14ac:dyDescent="0.25">
      <c r="A603" s="1" t="s">
        <v>750</v>
      </c>
      <c r="B603" s="8">
        <v>30203907</v>
      </c>
      <c r="C603" s="1" t="s">
        <v>45</v>
      </c>
      <c r="D603" s="1" t="s">
        <v>22</v>
      </c>
    </row>
    <row r="604" spans="1:4" x14ac:dyDescent="0.25">
      <c r="A604" s="1" t="s">
        <v>751</v>
      </c>
      <c r="B604" s="8">
        <v>30203923</v>
      </c>
      <c r="C604" s="1" t="s">
        <v>45</v>
      </c>
      <c r="D604" s="1" t="s">
        <v>22</v>
      </c>
    </row>
    <row r="605" spans="1:4" x14ac:dyDescent="0.25">
      <c r="A605" s="1" t="s">
        <v>752</v>
      </c>
      <c r="B605" s="8">
        <v>30205047</v>
      </c>
      <c r="C605" s="1" t="s">
        <v>45</v>
      </c>
      <c r="D605" s="1" t="s">
        <v>22</v>
      </c>
    </row>
    <row r="606" spans="1:4" x14ac:dyDescent="0.25">
      <c r="A606" s="1" t="s">
        <v>753</v>
      </c>
      <c r="B606" s="8">
        <v>30206066</v>
      </c>
      <c r="C606" s="1" t="s">
        <v>45</v>
      </c>
      <c r="D606" s="1" t="s">
        <v>22</v>
      </c>
    </row>
    <row r="607" spans="1:4" x14ac:dyDescent="0.25">
      <c r="A607" s="1" t="s">
        <v>754</v>
      </c>
      <c r="B607" s="8">
        <v>30207214</v>
      </c>
      <c r="C607" s="1" t="s">
        <v>45</v>
      </c>
      <c r="D607" s="1" t="s">
        <v>22</v>
      </c>
    </row>
    <row r="608" spans="1:4" x14ac:dyDescent="0.25">
      <c r="A608" s="1" t="s">
        <v>755</v>
      </c>
      <c r="B608" s="8">
        <v>67207222</v>
      </c>
      <c r="C608" s="1" t="s">
        <v>45</v>
      </c>
      <c r="D608" s="1" t="s">
        <v>22</v>
      </c>
    </row>
    <row r="609" spans="1:4" x14ac:dyDescent="0.25">
      <c r="A609" s="1" t="s">
        <v>756</v>
      </c>
      <c r="B609" s="8">
        <v>67207223</v>
      </c>
      <c r="C609" s="1" t="s">
        <v>45</v>
      </c>
      <c r="D609" s="1" t="s">
        <v>22</v>
      </c>
    </row>
    <row r="610" spans="1:4" x14ac:dyDescent="0.25">
      <c r="A610" s="1" t="s">
        <v>757</v>
      </c>
      <c r="B610" s="8">
        <v>67207569</v>
      </c>
      <c r="C610" s="1" t="s">
        <v>45</v>
      </c>
      <c r="D610" s="1" t="s">
        <v>22</v>
      </c>
    </row>
    <row r="611" spans="1:4" x14ac:dyDescent="0.25">
      <c r="A611" s="1" t="s">
        <v>758</v>
      </c>
      <c r="B611" s="8">
        <v>67207572</v>
      </c>
      <c r="C611" s="1" t="s">
        <v>45</v>
      </c>
      <c r="D611" s="1" t="s">
        <v>22</v>
      </c>
    </row>
    <row r="612" spans="1:4" x14ac:dyDescent="0.25">
      <c r="A612" s="1" t="s">
        <v>759</v>
      </c>
      <c r="B612" s="8">
        <v>67207578</v>
      </c>
      <c r="C612" s="1" t="s">
        <v>45</v>
      </c>
      <c r="D612" s="1" t="s">
        <v>22</v>
      </c>
    </row>
    <row r="613" spans="1:4" x14ac:dyDescent="0.25">
      <c r="A613" s="1" t="s">
        <v>760</v>
      </c>
      <c r="B613" s="8">
        <v>67207583</v>
      </c>
      <c r="C613" s="1" t="s">
        <v>45</v>
      </c>
      <c r="D613" s="1" t="s">
        <v>22</v>
      </c>
    </row>
    <row r="614" spans="1:4" x14ac:dyDescent="0.25">
      <c r="A614" s="1" t="s">
        <v>761</v>
      </c>
      <c r="B614" s="8">
        <v>67210789</v>
      </c>
      <c r="C614" s="1" t="s">
        <v>45</v>
      </c>
      <c r="D614" s="1" t="s">
        <v>22</v>
      </c>
    </row>
    <row r="615" spans="1:4" x14ac:dyDescent="0.25">
      <c r="A615" s="1" t="s">
        <v>762</v>
      </c>
      <c r="B615" s="8">
        <v>67211413</v>
      </c>
      <c r="C615" s="1" t="s">
        <v>45</v>
      </c>
      <c r="D615" s="1" t="s">
        <v>22</v>
      </c>
    </row>
    <row r="616" spans="1:4" x14ac:dyDescent="0.25">
      <c r="A616" s="1" t="s">
        <v>763</v>
      </c>
      <c r="B616" s="8">
        <v>67211972</v>
      </c>
      <c r="C616" s="1" t="s">
        <v>45</v>
      </c>
      <c r="D616" s="1" t="s">
        <v>22</v>
      </c>
    </row>
    <row r="617" spans="1:4" x14ac:dyDescent="0.25">
      <c r="A617" s="1" t="s">
        <v>764</v>
      </c>
      <c r="B617" s="8">
        <v>67212195</v>
      </c>
      <c r="C617" s="1" t="s">
        <v>45</v>
      </c>
      <c r="D617" s="1" t="s">
        <v>22</v>
      </c>
    </row>
    <row r="618" spans="1:4" x14ac:dyDescent="0.25">
      <c r="A618" s="1" t="s">
        <v>765</v>
      </c>
      <c r="B618" s="8">
        <v>67212616</v>
      </c>
      <c r="C618" s="1" t="s">
        <v>45</v>
      </c>
      <c r="D618" s="1" t="s">
        <v>22</v>
      </c>
    </row>
    <row r="619" spans="1:4" x14ac:dyDescent="0.25">
      <c r="A619" s="1" t="s">
        <v>766</v>
      </c>
      <c r="B619" s="8">
        <v>67213386</v>
      </c>
      <c r="C619" s="1" t="s">
        <v>45</v>
      </c>
      <c r="D619" s="1" t="s">
        <v>22</v>
      </c>
    </row>
    <row r="620" spans="1:4" x14ac:dyDescent="0.25">
      <c r="A620" s="1" t="s">
        <v>767</v>
      </c>
      <c r="B620" s="8">
        <v>67213866</v>
      </c>
      <c r="C620" s="1" t="s">
        <v>45</v>
      </c>
      <c r="D620" s="1" t="s">
        <v>22</v>
      </c>
    </row>
    <row r="621" spans="1:4" x14ac:dyDescent="0.25">
      <c r="A621" s="1" t="s">
        <v>768</v>
      </c>
      <c r="B621" s="8">
        <v>67214380</v>
      </c>
      <c r="C621" s="1" t="s">
        <v>45</v>
      </c>
      <c r="D621" s="1" t="s">
        <v>22</v>
      </c>
    </row>
    <row r="622" spans="1:4" x14ac:dyDescent="0.25">
      <c r="A622" s="1" t="s">
        <v>769</v>
      </c>
      <c r="B622" s="8">
        <v>67215497</v>
      </c>
      <c r="C622" s="1" t="s">
        <v>45</v>
      </c>
      <c r="D622" s="1" t="s">
        <v>22</v>
      </c>
    </row>
    <row r="623" spans="1:4" x14ac:dyDescent="0.25">
      <c r="A623" s="1" t="s">
        <v>770</v>
      </c>
      <c r="B623" s="8">
        <v>67217725</v>
      </c>
      <c r="C623" s="1" t="s">
        <v>45</v>
      </c>
      <c r="D623" s="1" t="s">
        <v>22</v>
      </c>
    </row>
    <row r="624" spans="1:4" x14ac:dyDescent="0.25">
      <c r="A624" s="1" t="s">
        <v>771</v>
      </c>
      <c r="B624" s="8">
        <v>67217819</v>
      </c>
      <c r="C624" s="1" t="s">
        <v>45</v>
      </c>
      <c r="D624" s="1" t="s">
        <v>22</v>
      </c>
    </row>
    <row r="625" spans="1:4" x14ac:dyDescent="0.25">
      <c r="A625" s="1" t="s">
        <v>772</v>
      </c>
      <c r="B625" s="8">
        <v>67217821</v>
      </c>
      <c r="C625" s="1" t="s">
        <v>45</v>
      </c>
      <c r="D625" s="1" t="s">
        <v>22</v>
      </c>
    </row>
    <row r="626" spans="1:4" x14ac:dyDescent="0.25">
      <c r="A626" s="1" t="s">
        <v>773</v>
      </c>
      <c r="B626" s="8">
        <v>67218541</v>
      </c>
      <c r="C626" s="1" t="s">
        <v>45</v>
      </c>
      <c r="D626" s="1" t="s">
        <v>22</v>
      </c>
    </row>
    <row r="627" spans="1:4" x14ac:dyDescent="0.25">
      <c r="A627" s="1" t="s">
        <v>774</v>
      </c>
      <c r="B627" s="8">
        <v>67218725</v>
      </c>
      <c r="C627" s="1" t="s">
        <v>45</v>
      </c>
      <c r="D627" s="1" t="s">
        <v>22</v>
      </c>
    </row>
    <row r="628" spans="1:4" x14ac:dyDescent="0.25">
      <c r="A628" s="1" t="s">
        <v>775</v>
      </c>
      <c r="B628" s="8">
        <v>67219750</v>
      </c>
      <c r="C628" s="1" t="s">
        <v>45</v>
      </c>
      <c r="D628" s="1" t="s">
        <v>22</v>
      </c>
    </row>
    <row r="629" spans="1:4" x14ac:dyDescent="0.25">
      <c r="A629" s="1" t="s">
        <v>776</v>
      </c>
      <c r="B629" s="8">
        <v>67219940</v>
      </c>
      <c r="C629" s="1" t="s">
        <v>45</v>
      </c>
      <c r="D629" s="1" t="s">
        <v>22</v>
      </c>
    </row>
    <row r="630" spans="1:4" x14ac:dyDescent="0.25">
      <c r="A630" s="1" t="s">
        <v>777</v>
      </c>
      <c r="B630" s="8">
        <v>67220353</v>
      </c>
      <c r="C630" s="1" t="s">
        <v>45</v>
      </c>
      <c r="D630" s="1" t="s">
        <v>22</v>
      </c>
    </row>
    <row r="631" spans="1:4" x14ac:dyDescent="0.25">
      <c r="A631" s="1" t="s">
        <v>778</v>
      </c>
      <c r="B631" s="8">
        <v>67220358</v>
      </c>
      <c r="C631" s="1" t="s">
        <v>45</v>
      </c>
      <c r="D631" s="1" t="s">
        <v>22</v>
      </c>
    </row>
    <row r="632" spans="1:4" x14ac:dyDescent="0.25">
      <c r="A632" s="1" t="s">
        <v>779</v>
      </c>
      <c r="B632" s="8">
        <v>67220964</v>
      </c>
      <c r="C632" s="1" t="s">
        <v>45</v>
      </c>
      <c r="D632" s="1" t="s">
        <v>22</v>
      </c>
    </row>
    <row r="633" spans="1:4" x14ac:dyDescent="0.25">
      <c r="A633" s="1" t="s">
        <v>780</v>
      </c>
      <c r="B633" s="8">
        <v>67222153</v>
      </c>
      <c r="C633" s="1" t="s">
        <v>45</v>
      </c>
      <c r="D633" s="1" t="s">
        <v>22</v>
      </c>
    </row>
    <row r="634" spans="1:4" x14ac:dyDescent="0.25">
      <c r="A634" s="1" t="s">
        <v>781</v>
      </c>
      <c r="B634" s="8">
        <v>67223044</v>
      </c>
      <c r="C634" s="1" t="s">
        <v>45</v>
      </c>
      <c r="D634" s="1" t="s">
        <v>22</v>
      </c>
    </row>
    <row r="635" spans="1:4" x14ac:dyDescent="0.25">
      <c r="A635" s="1" t="s">
        <v>782</v>
      </c>
      <c r="B635" s="8">
        <v>67226790</v>
      </c>
      <c r="C635" s="1" t="s">
        <v>45</v>
      </c>
      <c r="D635" s="1" t="s">
        <v>22</v>
      </c>
    </row>
    <row r="636" spans="1:4" x14ac:dyDescent="0.25">
      <c r="A636" s="1" t="s">
        <v>783</v>
      </c>
      <c r="B636" s="8">
        <v>67226802</v>
      </c>
      <c r="C636" s="1" t="s">
        <v>45</v>
      </c>
      <c r="D636" s="1" t="s">
        <v>22</v>
      </c>
    </row>
    <row r="637" spans="1:4" x14ac:dyDescent="0.25">
      <c r="A637" s="1" t="s">
        <v>784</v>
      </c>
      <c r="B637" s="8">
        <v>67227723</v>
      </c>
      <c r="C637" s="1" t="s">
        <v>45</v>
      </c>
      <c r="D637" s="1" t="s">
        <v>22</v>
      </c>
    </row>
    <row r="638" spans="1:4" x14ac:dyDescent="0.25">
      <c r="A638" s="1" t="s">
        <v>785</v>
      </c>
      <c r="B638" s="8">
        <v>67227749</v>
      </c>
      <c r="C638" s="1" t="s">
        <v>45</v>
      </c>
      <c r="D638" s="1" t="s">
        <v>22</v>
      </c>
    </row>
    <row r="639" spans="1:4" x14ac:dyDescent="0.25">
      <c r="A639" s="1" t="s">
        <v>786</v>
      </c>
      <c r="B639" s="8">
        <v>67227800</v>
      </c>
      <c r="C639" s="1" t="s">
        <v>45</v>
      </c>
      <c r="D639" s="1" t="s">
        <v>22</v>
      </c>
    </row>
    <row r="640" spans="1:4" x14ac:dyDescent="0.25">
      <c r="A640" s="1" t="s">
        <v>787</v>
      </c>
      <c r="B640" s="8">
        <v>67229053</v>
      </c>
      <c r="C640" s="1" t="s">
        <v>45</v>
      </c>
      <c r="D640" s="1" t="s">
        <v>22</v>
      </c>
    </row>
    <row r="641" spans="1:4" x14ac:dyDescent="0.25">
      <c r="A641" s="1" t="s">
        <v>788</v>
      </c>
      <c r="B641" s="8">
        <v>67230085</v>
      </c>
      <c r="C641" s="1" t="s">
        <v>45</v>
      </c>
      <c r="D641" s="1" t="s">
        <v>22</v>
      </c>
    </row>
    <row r="642" spans="1:4" x14ac:dyDescent="0.25">
      <c r="A642" s="1" t="s">
        <v>789</v>
      </c>
      <c r="B642" s="8">
        <v>67231695</v>
      </c>
      <c r="C642" s="1" t="s">
        <v>45</v>
      </c>
      <c r="D642" s="1" t="s">
        <v>22</v>
      </c>
    </row>
    <row r="643" spans="1:4" x14ac:dyDescent="0.25">
      <c r="A643" s="1" t="s">
        <v>790</v>
      </c>
      <c r="B643" s="8">
        <v>67231696</v>
      </c>
      <c r="C643" s="1" t="s">
        <v>45</v>
      </c>
      <c r="D643" s="1" t="s">
        <v>22</v>
      </c>
    </row>
    <row r="644" spans="1:4" x14ac:dyDescent="0.25">
      <c r="A644" s="1" t="s">
        <v>791</v>
      </c>
      <c r="B644" s="8">
        <v>67231722</v>
      </c>
      <c r="C644" s="1" t="s">
        <v>45</v>
      </c>
      <c r="D644" s="1" t="s">
        <v>22</v>
      </c>
    </row>
    <row r="645" spans="1:4" x14ac:dyDescent="0.25">
      <c r="A645" s="1" t="s">
        <v>792</v>
      </c>
      <c r="B645" s="8">
        <v>67233327</v>
      </c>
      <c r="C645" s="1" t="s">
        <v>45</v>
      </c>
      <c r="D645" s="1" t="s">
        <v>22</v>
      </c>
    </row>
    <row r="646" spans="1:4" x14ac:dyDescent="0.25">
      <c r="A646" s="1" t="s">
        <v>793</v>
      </c>
      <c r="B646" s="8">
        <v>67233328</v>
      </c>
      <c r="C646" s="1" t="s">
        <v>45</v>
      </c>
      <c r="D646" s="1" t="s">
        <v>22</v>
      </c>
    </row>
    <row r="647" spans="1:4" x14ac:dyDescent="0.25">
      <c r="A647" s="1" t="s">
        <v>794</v>
      </c>
      <c r="B647" s="8">
        <v>67233329</v>
      </c>
      <c r="C647" s="1" t="s">
        <v>45</v>
      </c>
      <c r="D647" s="1" t="s">
        <v>22</v>
      </c>
    </row>
    <row r="648" spans="1:4" x14ac:dyDescent="0.25">
      <c r="A648" s="1" t="s">
        <v>795</v>
      </c>
      <c r="B648" s="8">
        <v>67233341</v>
      </c>
      <c r="C648" s="1" t="s">
        <v>45</v>
      </c>
      <c r="D648" s="1" t="s">
        <v>22</v>
      </c>
    </row>
    <row r="649" spans="1:4" x14ac:dyDescent="0.25">
      <c r="A649" s="1" t="s">
        <v>796</v>
      </c>
      <c r="B649" s="8">
        <v>67234224</v>
      </c>
      <c r="C649" s="1" t="s">
        <v>45</v>
      </c>
      <c r="D649" s="1" t="s">
        <v>22</v>
      </c>
    </row>
    <row r="650" spans="1:4" x14ac:dyDescent="0.25">
      <c r="A650" s="1" t="s">
        <v>797</v>
      </c>
      <c r="B650" s="8">
        <v>67234984</v>
      </c>
      <c r="C650" s="1" t="s">
        <v>45</v>
      </c>
      <c r="D650" s="1" t="s">
        <v>22</v>
      </c>
    </row>
    <row r="651" spans="1:4" x14ac:dyDescent="0.25">
      <c r="A651" s="1" t="s">
        <v>798</v>
      </c>
      <c r="B651" s="8">
        <v>67235000</v>
      </c>
      <c r="C651" s="1" t="s">
        <v>45</v>
      </c>
      <c r="D651" s="1" t="s">
        <v>22</v>
      </c>
    </row>
    <row r="652" spans="1:4" x14ac:dyDescent="0.25">
      <c r="A652" s="1" t="s">
        <v>799</v>
      </c>
      <c r="B652" s="8">
        <v>67235254</v>
      </c>
      <c r="C652" s="1" t="s">
        <v>45</v>
      </c>
      <c r="D652" s="1" t="s">
        <v>22</v>
      </c>
    </row>
    <row r="653" spans="1:4" x14ac:dyDescent="0.25">
      <c r="A653" s="1" t="s">
        <v>800</v>
      </c>
      <c r="B653" s="8">
        <v>67236011</v>
      </c>
      <c r="C653" s="1" t="s">
        <v>45</v>
      </c>
      <c r="D653" s="1" t="s">
        <v>22</v>
      </c>
    </row>
    <row r="654" spans="1:4" x14ac:dyDescent="0.25">
      <c r="A654" s="1" t="s">
        <v>801</v>
      </c>
      <c r="B654" s="8">
        <v>67237820</v>
      </c>
      <c r="C654" s="1" t="s">
        <v>45</v>
      </c>
      <c r="D654" s="1" t="s">
        <v>22</v>
      </c>
    </row>
    <row r="655" spans="1:4" x14ac:dyDescent="0.25">
      <c r="A655" s="1" t="s">
        <v>802</v>
      </c>
      <c r="B655" s="8">
        <v>67237987</v>
      </c>
      <c r="C655" s="1" t="s">
        <v>45</v>
      </c>
      <c r="D655" s="1" t="s">
        <v>22</v>
      </c>
    </row>
    <row r="656" spans="1:4" x14ac:dyDescent="0.25">
      <c r="A656" s="1" t="s">
        <v>803</v>
      </c>
      <c r="B656" s="8">
        <v>67237999</v>
      </c>
      <c r="C656" s="1" t="s">
        <v>45</v>
      </c>
      <c r="D656" s="1" t="s">
        <v>22</v>
      </c>
    </row>
    <row r="657" spans="1:4" x14ac:dyDescent="0.25">
      <c r="A657" s="1" t="s">
        <v>804</v>
      </c>
      <c r="B657" s="8">
        <v>67238088</v>
      </c>
      <c r="C657" s="1" t="s">
        <v>45</v>
      </c>
      <c r="D657" s="1" t="s">
        <v>22</v>
      </c>
    </row>
    <row r="658" spans="1:4" x14ac:dyDescent="0.25">
      <c r="A658" s="1" t="s">
        <v>805</v>
      </c>
      <c r="B658" s="8">
        <v>67238277</v>
      </c>
      <c r="C658" s="1" t="s">
        <v>45</v>
      </c>
      <c r="D658" s="1" t="s">
        <v>22</v>
      </c>
    </row>
    <row r="659" spans="1:4" x14ac:dyDescent="0.25">
      <c r="A659" s="1" t="s">
        <v>806</v>
      </c>
      <c r="B659" s="8">
        <v>67241962</v>
      </c>
      <c r="C659" s="1" t="s">
        <v>45</v>
      </c>
      <c r="D659" s="1" t="s">
        <v>22</v>
      </c>
    </row>
    <row r="660" spans="1:4" x14ac:dyDescent="0.25">
      <c r="A660" s="1" t="s">
        <v>807</v>
      </c>
      <c r="B660" s="8">
        <v>67242204</v>
      </c>
      <c r="C660" s="1" t="s">
        <v>45</v>
      </c>
      <c r="D660" s="1" t="s">
        <v>22</v>
      </c>
    </row>
    <row r="661" spans="1:4" x14ac:dyDescent="0.25">
      <c r="A661" s="1" t="s">
        <v>808</v>
      </c>
      <c r="B661" s="8">
        <v>67242208</v>
      </c>
      <c r="C661" s="1" t="s">
        <v>45</v>
      </c>
      <c r="D661" s="1" t="s">
        <v>22</v>
      </c>
    </row>
    <row r="662" spans="1:4" x14ac:dyDescent="0.25">
      <c r="A662" s="1" t="s">
        <v>809</v>
      </c>
      <c r="B662" s="8">
        <v>67243041</v>
      </c>
      <c r="C662" s="1" t="s">
        <v>45</v>
      </c>
      <c r="D662" s="1" t="s">
        <v>22</v>
      </c>
    </row>
    <row r="663" spans="1:4" x14ac:dyDescent="0.25">
      <c r="A663" s="1" t="s">
        <v>810</v>
      </c>
      <c r="B663" s="8">
        <v>67243264</v>
      </c>
      <c r="C663" s="1" t="s">
        <v>45</v>
      </c>
      <c r="D663" s="1" t="s">
        <v>22</v>
      </c>
    </row>
    <row r="664" spans="1:4" x14ac:dyDescent="0.25">
      <c r="A664" s="1" t="s">
        <v>811</v>
      </c>
      <c r="B664" s="8">
        <v>67245817</v>
      </c>
      <c r="C664" s="1" t="s">
        <v>45</v>
      </c>
      <c r="D664" s="1" t="s">
        <v>22</v>
      </c>
    </row>
    <row r="665" spans="1:4" x14ac:dyDescent="0.25">
      <c r="A665" s="1" t="s">
        <v>812</v>
      </c>
      <c r="B665" s="8">
        <v>67245824</v>
      </c>
      <c r="C665" s="1" t="s">
        <v>45</v>
      </c>
      <c r="D665" s="1" t="s">
        <v>22</v>
      </c>
    </row>
    <row r="666" spans="1:4" x14ac:dyDescent="0.25">
      <c r="A666" s="1" t="s">
        <v>813</v>
      </c>
      <c r="B666" s="8">
        <v>67245830</v>
      </c>
      <c r="C666" s="1" t="s">
        <v>45</v>
      </c>
      <c r="D666" s="1" t="s">
        <v>22</v>
      </c>
    </row>
    <row r="667" spans="1:4" x14ac:dyDescent="0.25">
      <c r="A667" s="1" t="s">
        <v>814</v>
      </c>
      <c r="B667" s="8">
        <v>67246734</v>
      </c>
      <c r="C667" s="1" t="s">
        <v>45</v>
      </c>
      <c r="D667" s="1" t="s">
        <v>22</v>
      </c>
    </row>
    <row r="668" spans="1:4" x14ac:dyDescent="0.25">
      <c r="A668" s="1" t="s">
        <v>815</v>
      </c>
      <c r="B668" s="8">
        <v>67246739</v>
      </c>
      <c r="C668" s="1" t="s">
        <v>45</v>
      </c>
      <c r="D668" s="1" t="s">
        <v>22</v>
      </c>
    </row>
    <row r="669" spans="1:4" x14ac:dyDescent="0.25">
      <c r="A669" s="1" t="s">
        <v>816</v>
      </c>
      <c r="B669" s="8">
        <v>67246796</v>
      </c>
      <c r="C669" s="1" t="s">
        <v>45</v>
      </c>
      <c r="D669" s="1" t="s">
        <v>22</v>
      </c>
    </row>
    <row r="670" spans="1:4" x14ac:dyDescent="0.25">
      <c r="A670" s="1" t="s">
        <v>817</v>
      </c>
      <c r="B670" s="8">
        <v>67247465</v>
      </c>
      <c r="C670" s="1" t="s">
        <v>45</v>
      </c>
      <c r="D670" s="1" t="s">
        <v>22</v>
      </c>
    </row>
    <row r="671" spans="1:4" x14ac:dyDescent="0.25">
      <c r="A671" s="1" t="s">
        <v>818</v>
      </c>
      <c r="B671" s="8">
        <v>67247729</v>
      </c>
      <c r="C671" s="1" t="s">
        <v>45</v>
      </c>
      <c r="D671" s="1" t="s">
        <v>22</v>
      </c>
    </row>
    <row r="672" spans="1:4" x14ac:dyDescent="0.25">
      <c r="A672" s="1" t="s">
        <v>819</v>
      </c>
      <c r="B672" s="8">
        <v>67247750</v>
      </c>
      <c r="C672" s="1" t="s">
        <v>45</v>
      </c>
      <c r="D672" s="1" t="s">
        <v>22</v>
      </c>
    </row>
    <row r="673" spans="1:4" x14ac:dyDescent="0.25">
      <c r="A673" s="1" t="s">
        <v>820</v>
      </c>
      <c r="B673" s="8">
        <v>30247927</v>
      </c>
      <c r="C673" s="1" t="s">
        <v>45</v>
      </c>
      <c r="D673" s="1" t="s">
        <v>22</v>
      </c>
    </row>
    <row r="674" spans="1:4" x14ac:dyDescent="0.25">
      <c r="A674" s="1" t="s">
        <v>821</v>
      </c>
      <c r="B674" s="8">
        <v>30247929</v>
      </c>
      <c r="C674" s="1" t="s">
        <v>45</v>
      </c>
      <c r="D674" s="1" t="s">
        <v>22</v>
      </c>
    </row>
    <row r="675" spans="1:4" x14ac:dyDescent="0.25">
      <c r="A675" s="1" t="s">
        <v>822</v>
      </c>
      <c r="B675" s="8">
        <v>30247954</v>
      </c>
      <c r="C675" s="1" t="s">
        <v>45</v>
      </c>
      <c r="D675" s="1" t="s">
        <v>22</v>
      </c>
    </row>
    <row r="676" spans="1:4" x14ac:dyDescent="0.25">
      <c r="A676" s="1" t="s">
        <v>823</v>
      </c>
      <c r="B676" s="8">
        <v>30247955</v>
      </c>
      <c r="C676" s="1" t="s">
        <v>45</v>
      </c>
      <c r="D676" s="1" t="s">
        <v>22</v>
      </c>
    </row>
    <row r="677" spans="1:4" x14ac:dyDescent="0.25">
      <c r="A677" s="1" t="s">
        <v>824</v>
      </c>
      <c r="B677" s="8">
        <v>30247964</v>
      </c>
      <c r="C677" s="1" t="s">
        <v>45</v>
      </c>
      <c r="D677" s="1" t="s">
        <v>22</v>
      </c>
    </row>
    <row r="678" spans="1:4" x14ac:dyDescent="0.25">
      <c r="A678" s="1" t="s">
        <v>825</v>
      </c>
      <c r="B678" s="8">
        <v>30248620</v>
      </c>
      <c r="C678" s="1" t="s">
        <v>45</v>
      </c>
      <c r="D678" s="1" t="s">
        <v>22</v>
      </c>
    </row>
    <row r="679" spans="1:4" x14ac:dyDescent="0.25">
      <c r="A679" s="1" t="s">
        <v>826</v>
      </c>
      <c r="B679" s="8">
        <v>30249167</v>
      </c>
      <c r="C679" s="1" t="s">
        <v>45</v>
      </c>
      <c r="D679" s="1" t="s">
        <v>22</v>
      </c>
    </row>
    <row r="680" spans="1:4" x14ac:dyDescent="0.25">
      <c r="A680" s="1" t="s">
        <v>827</v>
      </c>
      <c r="B680" s="8">
        <v>30250870</v>
      </c>
      <c r="C680" s="1" t="s">
        <v>45</v>
      </c>
      <c r="D680" s="1" t="s">
        <v>22</v>
      </c>
    </row>
    <row r="681" spans="1:4" x14ac:dyDescent="0.25">
      <c r="A681" s="1" t="s">
        <v>828</v>
      </c>
      <c r="B681" s="8">
        <v>30251003</v>
      </c>
      <c r="C681" s="1" t="s">
        <v>45</v>
      </c>
      <c r="D681" s="1" t="s">
        <v>22</v>
      </c>
    </row>
    <row r="682" spans="1:4" x14ac:dyDescent="0.25">
      <c r="A682" s="1" t="s">
        <v>829</v>
      </c>
      <c r="B682" s="8">
        <v>30251005</v>
      </c>
      <c r="C682" s="1" t="s">
        <v>45</v>
      </c>
      <c r="D682" s="1" t="s">
        <v>22</v>
      </c>
    </row>
    <row r="683" spans="1:4" x14ac:dyDescent="0.25">
      <c r="A683" s="1" t="s">
        <v>830</v>
      </c>
      <c r="B683" s="8">
        <v>30251010</v>
      </c>
      <c r="C683" s="1" t="s">
        <v>45</v>
      </c>
      <c r="D683" s="1" t="s">
        <v>22</v>
      </c>
    </row>
    <row r="684" spans="1:4" x14ac:dyDescent="0.25">
      <c r="A684" s="1" t="s">
        <v>831</v>
      </c>
      <c r="B684" s="8">
        <v>30251011</v>
      </c>
      <c r="C684" s="1" t="s">
        <v>45</v>
      </c>
      <c r="D684" s="1" t="s">
        <v>22</v>
      </c>
    </row>
    <row r="685" spans="1:4" x14ac:dyDescent="0.25">
      <c r="A685" s="1" t="s">
        <v>832</v>
      </c>
      <c r="B685" s="8">
        <v>30251999</v>
      </c>
      <c r="C685" s="1" t="s">
        <v>45</v>
      </c>
      <c r="D685" s="1" t="s">
        <v>22</v>
      </c>
    </row>
    <row r="686" spans="1:4" x14ac:dyDescent="0.25">
      <c r="A686" s="1" t="s">
        <v>833</v>
      </c>
      <c r="B686" s="8">
        <v>30252026</v>
      </c>
      <c r="C686" s="1" t="s">
        <v>45</v>
      </c>
      <c r="D686" s="1" t="s">
        <v>22</v>
      </c>
    </row>
    <row r="687" spans="1:4" x14ac:dyDescent="0.25">
      <c r="A687" s="1" t="s">
        <v>834</v>
      </c>
      <c r="B687" s="8">
        <v>30252411</v>
      </c>
      <c r="C687" s="1" t="s">
        <v>45</v>
      </c>
      <c r="D687" s="1" t="s">
        <v>22</v>
      </c>
    </row>
    <row r="688" spans="1:4" x14ac:dyDescent="0.25">
      <c r="A688" s="1" t="s">
        <v>835</v>
      </c>
      <c r="B688" s="8">
        <v>30253712</v>
      </c>
      <c r="C688" s="1" t="s">
        <v>45</v>
      </c>
      <c r="D688" s="1" t="s">
        <v>22</v>
      </c>
    </row>
    <row r="689" spans="1:4" x14ac:dyDescent="0.25">
      <c r="A689" s="1" t="s">
        <v>836</v>
      </c>
      <c r="B689" s="8">
        <v>30254226</v>
      </c>
      <c r="C689" s="1" t="s">
        <v>45</v>
      </c>
      <c r="D689" s="1" t="s">
        <v>22</v>
      </c>
    </row>
    <row r="690" spans="1:4" x14ac:dyDescent="0.25">
      <c r="A690" s="1" t="s">
        <v>837</v>
      </c>
      <c r="B690" s="8">
        <v>30255050</v>
      </c>
      <c r="C690" s="1" t="s">
        <v>45</v>
      </c>
      <c r="D690" s="1" t="s">
        <v>22</v>
      </c>
    </row>
    <row r="691" spans="1:4" x14ac:dyDescent="0.25">
      <c r="A691" s="1" t="s">
        <v>838</v>
      </c>
      <c r="B691" s="8">
        <v>22255523</v>
      </c>
      <c r="C691" s="1" t="s">
        <v>45</v>
      </c>
      <c r="D691" s="1" t="s">
        <v>22</v>
      </c>
    </row>
    <row r="692" spans="1:4" x14ac:dyDescent="0.25">
      <c r="A692" s="1" t="s">
        <v>839</v>
      </c>
      <c r="B692" s="8">
        <v>22255526</v>
      </c>
      <c r="C692" s="1" t="s">
        <v>45</v>
      </c>
      <c r="D692" s="1" t="s">
        <v>22</v>
      </c>
    </row>
    <row r="693" spans="1:4" x14ac:dyDescent="0.25">
      <c r="A693" s="1" t="s">
        <v>840</v>
      </c>
      <c r="B693" s="8">
        <v>22255835</v>
      </c>
      <c r="C693" s="1" t="s">
        <v>45</v>
      </c>
      <c r="D693" s="1" t="s">
        <v>22</v>
      </c>
    </row>
    <row r="694" spans="1:4" x14ac:dyDescent="0.25">
      <c r="A694" s="1" t="s">
        <v>841</v>
      </c>
      <c r="B694" s="8">
        <v>22255951</v>
      </c>
      <c r="C694" s="1" t="s">
        <v>45</v>
      </c>
      <c r="D694" s="1" t="s">
        <v>22</v>
      </c>
    </row>
    <row r="695" spans="1:4" x14ac:dyDescent="0.25">
      <c r="A695" s="1" t="s">
        <v>842</v>
      </c>
      <c r="B695" s="8">
        <v>22256668</v>
      </c>
      <c r="C695" s="1" t="s">
        <v>45</v>
      </c>
      <c r="D695" s="1" t="s">
        <v>22</v>
      </c>
    </row>
    <row r="696" spans="1:4" x14ac:dyDescent="0.25">
      <c r="A696" s="1" t="s">
        <v>843</v>
      </c>
      <c r="B696" s="8">
        <v>22257897</v>
      </c>
      <c r="C696" s="1" t="s">
        <v>45</v>
      </c>
      <c r="D696" s="1" t="s">
        <v>22</v>
      </c>
    </row>
    <row r="697" spans="1:4" x14ac:dyDescent="0.25">
      <c r="A697" s="1" t="s">
        <v>844</v>
      </c>
      <c r="B697" s="8">
        <v>22258613</v>
      </c>
      <c r="C697" s="1" t="s">
        <v>45</v>
      </c>
      <c r="D697" s="1" t="s">
        <v>22</v>
      </c>
    </row>
    <row r="698" spans="1:4" x14ac:dyDescent="0.25">
      <c r="A698" s="1" t="s">
        <v>845</v>
      </c>
      <c r="B698" s="8">
        <v>22259517</v>
      </c>
      <c r="C698" s="1" t="s">
        <v>45</v>
      </c>
      <c r="D698" s="1" t="s">
        <v>22</v>
      </c>
    </row>
    <row r="699" spans="1:4" x14ac:dyDescent="0.25">
      <c r="A699" s="1" t="s">
        <v>846</v>
      </c>
      <c r="B699" s="8">
        <v>22259898</v>
      </c>
      <c r="C699" s="1" t="s">
        <v>45</v>
      </c>
      <c r="D699" s="1" t="s">
        <v>22</v>
      </c>
    </row>
    <row r="700" spans="1:4" x14ac:dyDescent="0.25">
      <c r="A700" s="1" t="s">
        <v>847</v>
      </c>
      <c r="B700" s="8">
        <v>22260170</v>
      </c>
      <c r="C700" s="1" t="s">
        <v>45</v>
      </c>
      <c r="D700" s="1" t="s">
        <v>22</v>
      </c>
    </row>
    <row r="701" spans="1:4" x14ac:dyDescent="0.25">
      <c r="A701" s="1" t="s">
        <v>848</v>
      </c>
      <c r="B701" s="8">
        <v>22261238</v>
      </c>
      <c r="C701" s="1" t="s">
        <v>45</v>
      </c>
      <c r="D701" s="1" t="s">
        <v>22</v>
      </c>
    </row>
    <row r="702" spans="1:4" x14ac:dyDescent="0.25">
      <c r="A702" s="1" t="s">
        <v>849</v>
      </c>
      <c r="B702" s="8">
        <v>22261766</v>
      </c>
      <c r="C702" s="1" t="s">
        <v>45</v>
      </c>
      <c r="D702" s="1" t="s">
        <v>22</v>
      </c>
    </row>
    <row r="703" spans="1:4" x14ac:dyDescent="0.25">
      <c r="A703" s="1" t="s">
        <v>850</v>
      </c>
      <c r="B703" s="8">
        <v>22262563</v>
      </c>
      <c r="C703" s="1" t="s">
        <v>45</v>
      </c>
      <c r="D703" s="1" t="s">
        <v>22</v>
      </c>
    </row>
    <row r="704" spans="1:4" x14ac:dyDescent="0.25">
      <c r="A704" s="1" t="s">
        <v>851</v>
      </c>
      <c r="B704" s="8">
        <v>22262620</v>
      </c>
      <c r="C704" s="1" t="s">
        <v>45</v>
      </c>
      <c r="D704" s="1" t="s">
        <v>22</v>
      </c>
    </row>
    <row r="705" spans="1:4" x14ac:dyDescent="0.25">
      <c r="A705" s="1" t="s">
        <v>852</v>
      </c>
      <c r="B705" s="8">
        <v>22262622</v>
      </c>
      <c r="C705" s="1" t="s">
        <v>45</v>
      </c>
      <c r="D705" s="1" t="s">
        <v>22</v>
      </c>
    </row>
    <row r="706" spans="1:4" x14ac:dyDescent="0.25">
      <c r="A706" s="1" t="s">
        <v>853</v>
      </c>
      <c r="B706" s="8">
        <v>22039619</v>
      </c>
      <c r="C706" s="1" t="s">
        <v>21</v>
      </c>
      <c r="D706" s="1" t="s">
        <v>22</v>
      </c>
    </row>
    <row r="707" spans="1:4" x14ac:dyDescent="0.25">
      <c r="A707" s="1" t="s">
        <v>854</v>
      </c>
      <c r="B707" s="8">
        <v>22075759</v>
      </c>
      <c r="C707" s="1" t="s">
        <v>21</v>
      </c>
      <c r="D707" s="1" t="s">
        <v>22</v>
      </c>
    </row>
    <row r="708" spans="1:4" x14ac:dyDescent="0.25">
      <c r="A708" s="1" t="s">
        <v>855</v>
      </c>
      <c r="B708" s="8">
        <v>22131648</v>
      </c>
      <c r="C708" s="1" t="s">
        <v>21</v>
      </c>
      <c r="D708" s="1" t="s">
        <v>856</v>
      </c>
    </row>
    <row r="709" spans="1:4" x14ac:dyDescent="0.25">
      <c r="A709" s="1" t="s">
        <v>857</v>
      </c>
      <c r="B709" s="8">
        <v>22110925</v>
      </c>
      <c r="C709" s="1" t="s">
        <v>21</v>
      </c>
      <c r="D709" s="1" t="s">
        <v>22</v>
      </c>
    </row>
    <row r="710" spans="1:4" x14ac:dyDescent="0.25">
      <c r="A710" s="1" t="s">
        <v>858</v>
      </c>
      <c r="B710" s="8">
        <v>22045259</v>
      </c>
      <c r="C710" s="1" t="s">
        <v>21</v>
      </c>
      <c r="D710" s="1" t="s">
        <v>859</v>
      </c>
    </row>
    <row r="711" spans="1:4" x14ac:dyDescent="0.25">
      <c r="A711" s="1" t="s">
        <v>860</v>
      </c>
      <c r="B711" s="8">
        <v>36175947</v>
      </c>
      <c r="C711" s="1" t="s">
        <v>21</v>
      </c>
      <c r="D711" s="1" t="s">
        <v>22</v>
      </c>
    </row>
    <row r="712" spans="1:4" x14ac:dyDescent="0.25">
      <c r="A712" s="1" t="s">
        <v>861</v>
      </c>
      <c r="B712" s="8">
        <v>36334310</v>
      </c>
      <c r="C712" s="1" t="s">
        <v>21</v>
      </c>
      <c r="D712" s="1" t="s">
        <v>22</v>
      </c>
    </row>
    <row r="713" spans="1:4" x14ac:dyDescent="0.25">
      <c r="A713" s="1" t="s">
        <v>862</v>
      </c>
      <c r="B713" s="8">
        <v>63033559</v>
      </c>
      <c r="C713" s="1" t="s">
        <v>21</v>
      </c>
      <c r="D713" s="1" t="s">
        <v>22</v>
      </c>
    </row>
    <row r="714" spans="1:4" x14ac:dyDescent="0.25">
      <c r="A714" s="1" t="s">
        <v>863</v>
      </c>
      <c r="B714" s="8">
        <v>63084903</v>
      </c>
      <c r="C714" s="1" t="s">
        <v>21</v>
      </c>
      <c r="D714" s="1" t="s">
        <v>73</v>
      </c>
    </row>
    <row r="715" spans="1:4" x14ac:dyDescent="0.25">
      <c r="A715" s="1" t="s">
        <v>864</v>
      </c>
      <c r="B715" s="8">
        <v>63107176</v>
      </c>
      <c r="C715" s="1" t="s">
        <v>21</v>
      </c>
      <c r="D715" s="1" t="s">
        <v>865</v>
      </c>
    </row>
    <row r="716" spans="1:4" x14ac:dyDescent="0.25">
      <c r="A716" s="1" t="s">
        <v>866</v>
      </c>
      <c r="B716" s="8">
        <v>63425918</v>
      </c>
      <c r="C716" s="1" t="s">
        <v>21</v>
      </c>
      <c r="D716" s="1" t="s">
        <v>867</v>
      </c>
    </row>
    <row r="717" spans="1:4" x14ac:dyDescent="0.25">
      <c r="A717" s="1" t="s">
        <v>95</v>
      </c>
      <c r="B717" s="8">
        <v>63433010</v>
      </c>
      <c r="C717" s="1" t="s">
        <v>21</v>
      </c>
      <c r="D717" s="1" t="s">
        <v>868</v>
      </c>
    </row>
    <row r="718" spans="1:4" x14ac:dyDescent="0.25">
      <c r="A718" s="1" t="s">
        <v>869</v>
      </c>
      <c r="B718" s="8">
        <v>63453589</v>
      </c>
      <c r="C718" s="1" t="s">
        <v>21</v>
      </c>
      <c r="D718" s="1" t="s">
        <v>870</v>
      </c>
    </row>
    <row r="719" spans="1:4" x14ac:dyDescent="0.25">
      <c r="A719" s="1" t="s">
        <v>871</v>
      </c>
      <c r="B719" s="8">
        <v>63977447</v>
      </c>
      <c r="C719" s="1" t="s">
        <v>21</v>
      </c>
      <c r="D719" s="1" t="s">
        <v>22</v>
      </c>
    </row>
    <row r="720" spans="1:4" x14ac:dyDescent="0.25">
      <c r="A720" s="1" t="s">
        <v>872</v>
      </c>
      <c r="B720" s="8">
        <v>63979648</v>
      </c>
      <c r="C720" s="1" t="s">
        <v>21</v>
      </c>
      <c r="D720" s="1" t="s">
        <v>873</v>
      </c>
    </row>
    <row r="721" spans="1:4" x14ac:dyDescent="0.25">
      <c r="A721" s="1" t="s">
        <v>874</v>
      </c>
      <c r="B721" s="8">
        <v>63030895</v>
      </c>
      <c r="C721" s="1" t="s">
        <v>45</v>
      </c>
      <c r="D721" s="1" t="s">
        <v>22</v>
      </c>
    </row>
    <row r="722" spans="1:4" x14ac:dyDescent="0.25">
      <c r="A722" s="1" t="s">
        <v>875</v>
      </c>
      <c r="B722" s="8">
        <v>63083191</v>
      </c>
      <c r="C722" s="1" t="s">
        <v>45</v>
      </c>
      <c r="D722" s="1" t="s">
        <v>876</v>
      </c>
    </row>
    <row r="723" spans="1:4" x14ac:dyDescent="0.25">
      <c r="A723" s="1" t="s">
        <v>877</v>
      </c>
      <c r="B723" s="8">
        <v>301135450004</v>
      </c>
      <c r="C723" s="1" t="s">
        <v>51</v>
      </c>
      <c r="D723" s="1" t="s">
        <v>22</v>
      </c>
    </row>
    <row r="724" spans="1:4" x14ac:dyDescent="0.25">
      <c r="A724" s="1" t="s">
        <v>878</v>
      </c>
      <c r="B724" s="8">
        <v>380569</v>
      </c>
      <c r="C724" s="1" t="s">
        <v>21</v>
      </c>
      <c r="D724" s="1" t="s">
        <v>22</v>
      </c>
    </row>
    <row r="725" spans="1:4" x14ac:dyDescent="0.25">
      <c r="A725" s="1" t="s">
        <v>879</v>
      </c>
      <c r="B725" s="8">
        <v>381267</v>
      </c>
      <c r="C725" s="1" t="s">
        <v>21</v>
      </c>
      <c r="D725" s="1" t="s">
        <v>22</v>
      </c>
    </row>
    <row r="726" spans="1:4" x14ac:dyDescent="0.25">
      <c r="A726" s="1" t="s">
        <v>880</v>
      </c>
      <c r="B726" s="8">
        <v>381312</v>
      </c>
      <c r="C726" s="1" t="s">
        <v>21</v>
      </c>
      <c r="D726" s="1" t="s">
        <v>22</v>
      </c>
    </row>
    <row r="727" spans="1:4" x14ac:dyDescent="0.25">
      <c r="A727" s="1" t="s">
        <v>881</v>
      </c>
      <c r="B727" s="8">
        <v>381859</v>
      </c>
      <c r="C727" s="1" t="s">
        <v>21</v>
      </c>
      <c r="D727" s="1" t="s">
        <v>882</v>
      </c>
    </row>
    <row r="728" spans="1:4" x14ac:dyDescent="0.25">
      <c r="A728" s="1" t="s">
        <v>883</v>
      </c>
      <c r="B728" s="8">
        <v>382111</v>
      </c>
      <c r="C728" s="1" t="s">
        <v>21</v>
      </c>
      <c r="D728" s="1" t="s">
        <v>884</v>
      </c>
    </row>
    <row r="729" spans="1:4" x14ac:dyDescent="0.25">
      <c r="A729" s="1" t="s">
        <v>885</v>
      </c>
      <c r="B729" s="8">
        <v>382125</v>
      </c>
      <c r="C729" s="1" t="s">
        <v>21</v>
      </c>
      <c r="D729" s="1" t="s">
        <v>886</v>
      </c>
    </row>
    <row r="730" spans="1:4" x14ac:dyDescent="0.25">
      <c r="A730" s="1" t="s">
        <v>887</v>
      </c>
      <c r="B730" s="8">
        <v>382635</v>
      </c>
      <c r="C730" s="1" t="s">
        <v>21</v>
      </c>
      <c r="D730" s="1" t="s">
        <v>22</v>
      </c>
    </row>
    <row r="731" spans="1:4" x14ac:dyDescent="0.25">
      <c r="A731" s="1" t="s">
        <v>888</v>
      </c>
      <c r="B731" s="8">
        <v>383185</v>
      </c>
      <c r="C731" s="1" t="s">
        <v>21</v>
      </c>
      <c r="D731" s="1" t="s">
        <v>22</v>
      </c>
    </row>
    <row r="732" spans="1:4" x14ac:dyDescent="0.25">
      <c r="A732" s="1" t="s">
        <v>889</v>
      </c>
      <c r="B732" s="8">
        <v>383186</v>
      </c>
      <c r="C732" s="1" t="s">
        <v>21</v>
      </c>
      <c r="D732" s="1" t="s">
        <v>890</v>
      </c>
    </row>
    <row r="733" spans="1:4" x14ac:dyDescent="0.25">
      <c r="A733" s="1" t="s">
        <v>891</v>
      </c>
      <c r="B733" s="8">
        <v>812188</v>
      </c>
      <c r="C733" s="1" t="s">
        <v>21</v>
      </c>
      <c r="D733" s="1" t="s">
        <v>892</v>
      </c>
    </row>
    <row r="734" spans="1:4" x14ac:dyDescent="0.25">
      <c r="A734" s="1" t="s">
        <v>893</v>
      </c>
      <c r="B734" s="8">
        <v>819848</v>
      </c>
      <c r="C734" s="1" t="s">
        <v>21</v>
      </c>
      <c r="D734" s="1" t="s">
        <v>73</v>
      </c>
    </row>
    <row r="735" spans="1:4" x14ac:dyDescent="0.25">
      <c r="A735" s="1" t="s">
        <v>894</v>
      </c>
      <c r="B735" s="8">
        <v>820197</v>
      </c>
      <c r="C735" s="1" t="s">
        <v>21</v>
      </c>
      <c r="D735" s="1" t="s">
        <v>98</v>
      </c>
    </row>
    <row r="736" spans="1:4" x14ac:dyDescent="0.25">
      <c r="A736" s="1" t="s">
        <v>895</v>
      </c>
      <c r="B736" s="8">
        <v>820224</v>
      </c>
      <c r="C736" s="1" t="s">
        <v>21</v>
      </c>
      <c r="D736" s="1" t="s">
        <v>896</v>
      </c>
    </row>
    <row r="737" spans="1:4" x14ac:dyDescent="0.25">
      <c r="A737" s="1" t="s">
        <v>897</v>
      </c>
      <c r="B737" s="8">
        <v>9244050</v>
      </c>
      <c r="C737" s="1" t="s">
        <v>21</v>
      </c>
      <c r="D737" s="1" t="s">
        <v>898</v>
      </c>
    </row>
    <row r="738" spans="1:4" x14ac:dyDescent="0.25">
      <c r="A738" s="1" t="s">
        <v>899</v>
      </c>
      <c r="B738" s="8">
        <v>22116346</v>
      </c>
      <c r="C738" s="1" t="s">
        <v>21</v>
      </c>
      <c r="D738" s="1" t="s">
        <v>900</v>
      </c>
    </row>
    <row r="739" spans="1:4" x14ac:dyDescent="0.25">
      <c r="A739" s="1" t="s">
        <v>901</v>
      </c>
      <c r="B739" s="8">
        <v>22164332</v>
      </c>
      <c r="C739" s="1" t="s">
        <v>21</v>
      </c>
      <c r="D739" s="1" t="s">
        <v>22</v>
      </c>
    </row>
    <row r="740" spans="1:4" x14ac:dyDescent="0.25">
      <c r="A740" s="1" t="s">
        <v>902</v>
      </c>
      <c r="B740" s="8">
        <v>27761772</v>
      </c>
      <c r="C740" s="1" t="s">
        <v>21</v>
      </c>
      <c r="D740" s="1" t="s">
        <v>903</v>
      </c>
    </row>
    <row r="741" spans="1:4" x14ac:dyDescent="0.25">
      <c r="A741" s="1" t="s">
        <v>904</v>
      </c>
      <c r="B741" s="8">
        <v>28010028</v>
      </c>
      <c r="C741" s="1" t="s">
        <v>21</v>
      </c>
      <c r="D741" s="1" t="s">
        <v>22</v>
      </c>
    </row>
    <row r="742" spans="1:4" x14ac:dyDescent="0.25">
      <c r="A742" s="1" t="s">
        <v>905</v>
      </c>
      <c r="B742" s="8">
        <v>32000341</v>
      </c>
      <c r="C742" s="1" t="s">
        <v>21</v>
      </c>
      <c r="D742" s="1" t="s">
        <v>906</v>
      </c>
    </row>
    <row r="743" spans="1:4" x14ac:dyDescent="0.25">
      <c r="A743" s="1" t="s">
        <v>907</v>
      </c>
      <c r="B743" s="8">
        <v>32002312</v>
      </c>
      <c r="C743" s="1" t="s">
        <v>21</v>
      </c>
      <c r="D743" s="1" t="s">
        <v>22</v>
      </c>
    </row>
    <row r="744" spans="1:4" x14ac:dyDescent="0.25">
      <c r="A744" s="1" t="s">
        <v>908</v>
      </c>
      <c r="B744" s="8">
        <v>32006928</v>
      </c>
      <c r="C744" s="1" t="s">
        <v>21</v>
      </c>
      <c r="D744" s="1" t="s">
        <v>359</v>
      </c>
    </row>
    <row r="745" spans="1:4" x14ac:dyDescent="0.25">
      <c r="A745" s="1" t="s">
        <v>909</v>
      </c>
      <c r="B745" s="8">
        <v>32007841</v>
      </c>
      <c r="C745" s="1" t="s">
        <v>21</v>
      </c>
      <c r="D745" s="1" t="s">
        <v>910</v>
      </c>
    </row>
    <row r="746" spans="1:4" x14ac:dyDescent="0.25">
      <c r="A746" s="1" t="s">
        <v>911</v>
      </c>
      <c r="B746" s="8">
        <v>32008471</v>
      </c>
      <c r="C746" s="1" t="s">
        <v>21</v>
      </c>
      <c r="D746" s="1" t="s">
        <v>912</v>
      </c>
    </row>
    <row r="747" spans="1:4" x14ac:dyDescent="0.25">
      <c r="A747" s="1" t="s">
        <v>913</v>
      </c>
      <c r="B747" s="8">
        <v>32009997</v>
      </c>
      <c r="C747" s="1" t="s">
        <v>21</v>
      </c>
      <c r="D747" s="1" t="s">
        <v>914</v>
      </c>
    </row>
    <row r="748" spans="1:4" x14ac:dyDescent="0.25">
      <c r="A748" s="1" t="s">
        <v>915</v>
      </c>
      <c r="B748" s="8">
        <v>32011055</v>
      </c>
      <c r="C748" s="1" t="s">
        <v>21</v>
      </c>
      <c r="D748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A18B-8EA2-48A4-B6C6-D113169557C1}">
  <dimension ref="A1:H748"/>
  <sheetViews>
    <sheetView tabSelected="1" topLeftCell="A4" workbookViewId="0">
      <selection activeCell="G4" sqref="G4"/>
    </sheetView>
  </sheetViews>
  <sheetFormatPr defaultRowHeight="15" x14ac:dyDescent="0.25"/>
  <cols>
    <col min="1" max="1" width="81.140625" bestFit="1" customWidth="1"/>
    <col min="2" max="2" width="25.5703125" style="11" customWidth="1"/>
    <col min="3" max="3" width="6.42578125" bestFit="1" customWidth="1"/>
    <col min="4" max="4" width="25.7109375" bestFit="1" customWidth="1"/>
    <col min="5" max="5" width="25.7109375" style="12" customWidth="1"/>
    <col min="6" max="6" width="34.7109375" customWidth="1"/>
    <col min="7" max="7" width="20" customWidth="1"/>
  </cols>
  <sheetData>
    <row r="1" spans="1:8" x14ac:dyDescent="0.25">
      <c r="A1" t="s">
        <v>16</v>
      </c>
      <c r="B1" s="11" t="s">
        <v>17</v>
      </c>
      <c r="C1" t="s">
        <v>18</v>
      </c>
      <c r="D1" t="s">
        <v>19</v>
      </c>
      <c r="E1" s="13" t="s">
        <v>969</v>
      </c>
      <c r="F1" t="s">
        <v>967</v>
      </c>
      <c r="G1" t="s">
        <v>971</v>
      </c>
      <c r="H1" t="s">
        <v>968</v>
      </c>
    </row>
    <row r="2" spans="1:8" x14ac:dyDescent="0.25">
      <c r="A2" s="1" t="s">
        <v>20</v>
      </c>
      <c r="B2" s="11">
        <v>2008151</v>
      </c>
      <c r="C2" s="1" t="s">
        <v>21</v>
      </c>
      <c r="D2" s="1" t="s">
        <v>22</v>
      </c>
      <c r="E2" s="12" t="str">
        <f>IF(LEN(regon9[[#This Row],[Regon]]) = 7,TEXT(regon9[[#This Row],[Regon]],"000000000"),regon9[[#This Row],[Regon]])</f>
        <v>002008151</v>
      </c>
      <c r="F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2" s="1"/>
      <c r="H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" spans="1:8" x14ac:dyDescent="0.25">
      <c r="A3" s="1" t="s">
        <v>23</v>
      </c>
      <c r="B3" s="11">
        <v>2019436</v>
      </c>
      <c r="C3" s="1" t="s">
        <v>21</v>
      </c>
      <c r="D3" s="1" t="s">
        <v>24</v>
      </c>
      <c r="E3" s="12" t="str">
        <f>IF(LEN(regon9[[#This Row],[Regon]]) = 7,TEXT(regon9[[#This Row],[Regon]],"000000000"),regon9[[#This Row],[Regon]])</f>
        <v>002019436</v>
      </c>
      <c r="F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3" s="1"/>
      <c r="H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" spans="1:8" x14ac:dyDescent="0.25">
      <c r="A4" s="1" t="s">
        <v>25</v>
      </c>
      <c r="B4" s="11">
        <v>2061568</v>
      </c>
      <c r="C4" s="1" t="s">
        <v>21</v>
      </c>
      <c r="D4" s="1" t="s">
        <v>26</v>
      </c>
      <c r="E4" s="12" t="str">
        <f>IF(LEN(regon9[[#This Row],[Regon]]) = 7,TEXT(regon9[[#This Row],[Regon]],"000000000"),regon9[[#This Row],[Regon]])</f>
        <v>002061568</v>
      </c>
      <c r="F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" s="1"/>
      <c r="H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" spans="1:8" x14ac:dyDescent="0.25">
      <c r="A5" s="1" t="s">
        <v>27</v>
      </c>
      <c r="B5" s="11">
        <v>2109823</v>
      </c>
      <c r="C5" s="1" t="s">
        <v>21</v>
      </c>
      <c r="D5" s="1" t="s">
        <v>28</v>
      </c>
      <c r="E5" s="12" t="str">
        <f>IF(LEN(regon9[[#This Row],[Regon]]) = 7,TEXT(regon9[[#This Row],[Regon]],"000000000"),regon9[[#This Row],[Regon]])</f>
        <v>002109823</v>
      </c>
      <c r="F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" s="1"/>
      <c r="H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" spans="1:8" x14ac:dyDescent="0.25">
      <c r="A6" s="1" t="s">
        <v>29</v>
      </c>
      <c r="B6" s="11">
        <v>2191168</v>
      </c>
      <c r="C6" s="1" t="s">
        <v>21</v>
      </c>
      <c r="D6" s="1" t="s">
        <v>30</v>
      </c>
      <c r="E6" s="12" t="str">
        <f>IF(LEN(regon9[[#This Row],[Regon]]) = 7,TEXT(regon9[[#This Row],[Regon]],"000000000"),regon9[[#This Row],[Regon]])</f>
        <v>002191168</v>
      </c>
      <c r="F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6" s="1"/>
      <c r="H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" spans="1:8" x14ac:dyDescent="0.25">
      <c r="A7" s="1" t="s">
        <v>31</v>
      </c>
      <c r="B7" s="11">
        <v>2201296</v>
      </c>
      <c r="C7" s="1" t="s">
        <v>21</v>
      </c>
      <c r="D7" s="1" t="s">
        <v>22</v>
      </c>
      <c r="E7" s="12" t="str">
        <f>IF(LEN(regon9[[#This Row],[Regon]]) = 7,TEXT(regon9[[#This Row],[Regon]],"000000000"),regon9[[#This Row],[Regon]])</f>
        <v>002201296</v>
      </c>
      <c r="F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7" s="1"/>
      <c r="H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8" spans="1:8" x14ac:dyDescent="0.25">
      <c r="A8" s="1" t="s">
        <v>32</v>
      </c>
      <c r="B8" s="11">
        <v>2203576</v>
      </c>
      <c r="C8" s="1" t="s">
        <v>21</v>
      </c>
      <c r="D8" s="1" t="s">
        <v>33</v>
      </c>
      <c r="E8" s="12" t="str">
        <f>IF(LEN(regon9[[#This Row],[Regon]]) = 7,TEXT(regon9[[#This Row],[Regon]],"000000000"),regon9[[#This Row],[Regon]])</f>
        <v>002203576</v>
      </c>
      <c r="F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8" s="1"/>
      <c r="H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9" spans="1:8" x14ac:dyDescent="0.25">
      <c r="A9" s="1" t="s">
        <v>34</v>
      </c>
      <c r="B9" s="11">
        <v>2249210</v>
      </c>
      <c r="C9" s="1" t="s">
        <v>21</v>
      </c>
      <c r="D9" s="1" t="s">
        <v>35</v>
      </c>
      <c r="E9" s="12" t="str">
        <f>IF(LEN(regon9[[#This Row],[Regon]]) = 7,TEXT(regon9[[#This Row],[Regon]],"000000000"),regon9[[#This Row],[Regon]])</f>
        <v>002249210</v>
      </c>
      <c r="F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9" s="1"/>
      <c r="H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0" spans="1:8" x14ac:dyDescent="0.25">
      <c r="A10" s="1" t="s">
        <v>36</v>
      </c>
      <c r="B10" s="11">
        <v>23040999</v>
      </c>
      <c r="C10" s="1" t="s">
        <v>21</v>
      </c>
      <c r="D10" s="1" t="s">
        <v>37</v>
      </c>
      <c r="E10" s="12">
        <f>IF(LEN(regon9[[#This Row],[Regon]]) = 7,TEXT(regon9[[#This Row],[Regon]],"000000000"),regon9[[#This Row],[Regon]])</f>
        <v>23040999</v>
      </c>
      <c r="F1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10" s="1"/>
      <c r="H1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1" spans="1:8" x14ac:dyDescent="0.25">
      <c r="A11" s="1" t="s">
        <v>38</v>
      </c>
      <c r="B11" s="11">
        <v>23084392</v>
      </c>
      <c r="C11" s="1" t="s">
        <v>21</v>
      </c>
      <c r="D11" s="1" t="s">
        <v>39</v>
      </c>
      <c r="E11" s="12">
        <f>IF(LEN(regon9[[#This Row],[Regon]]) = 7,TEXT(regon9[[#This Row],[Regon]],"000000000"),regon9[[#This Row],[Regon]])</f>
        <v>23084392</v>
      </c>
      <c r="F1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11" s="1"/>
      <c r="H1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2" spans="1:8" x14ac:dyDescent="0.25">
      <c r="A12" s="1" t="s">
        <v>40</v>
      </c>
      <c r="B12" s="11">
        <v>23108642</v>
      </c>
      <c r="C12" s="1" t="s">
        <v>21</v>
      </c>
      <c r="D12" s="1" t="s">
        <v>41</v>
      </c>
      <c r="E12" s="12">
        <f>IF(LEN(regon9[[#This Row],[Regon]]) = 7,TEXT(regon9[[#This Row],[Regon]],"000000000"),regon9[[#This Row],[Regon]])</f>
        <v>23108642</v>
      </c>
      <c r="F1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12" s="1"/>
      <c r="H1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3" spans="1:8" x14ac:dyDescent="0.25">
      <c r="A13" s="1" t="s">
        <v>42</v>
      </c>
      <c r="B13" s="11">
        <v>53239008</v>
      </c>
      <c r="C13" s="1" t="s">
        <v>21</v>
      </c>
      <c r="D13" s="1" t="s">
        <v>43</v>
      </c>
      <c r="E13" s="12">
        <f>IF(LEN(regon9[[#This Row],[Regon]]) = 7,TEXT(regon9[[#This Row],[Regon]],"000000000"),regon9[[#This Row],[Regon]])</f>
        <v>53239008</v>
      </c>
      <c r="F1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13" s="1"/>
      <c r="H1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4" spans="1:8" x14ac:dyDescent="0.25">
      <c r="A14" s="1" t="s">
        <v>44</v>
      </c>
      <c r="B14" s="11">
        <v>2087966</v>
      </c>
      <c r="C14" s="1" t="s">
        <v>45</v>
      </c>
      <c r="D14" s="1" t="s">
        <v>22</v>
      </c>
      <c r="E14" s="12" t="str">
        <f>IF(LEN(regon9[[#This Row],[Regon]]) = 7,TEXT(regon9[[#This Row],[Regon]],"000000000"),regon9[[#This Row],[Regon]])</f>
        <v>002087966</v>
      </c>
      <c r="F1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4" s="1"/>
      <c r="H1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5" spans="1:8" x14ac:dyDescent="0.25">
      <c r="A15" s="1" t="s">
        <v>46</v>
      </c>
      <c r="B15" s="11">
        <v>2092877</v>
      </c>
      <c r="C15" s="1" t="s">
        <v>45</v>
      </c>
      <c r="D15" s="1" t="s">
        <v>22</v>
      </c>
      <c r="E15" s="12" t="str">
        <f>IF(LEN(regon9[[#This Row],[Regon]]) = 7,TEXT(regon9[[#This Row],[Regon]],"000000000"),regon9[[#This Row],[Regon]])</f>
        <v>002092877</v>
      </c>
      <c r="F1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5" s="1"/>
      <c r="H1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6" spans="1:8" x14ac:dyDescent="0.25">
      <c r="A16" s="1" t="s">
        <v>47</v>
      </c>
      <c r="B16" s="11">
        <v>23005016</v>
      </c>
      <c r="C16" s="1" t="s">
        <v>45</v>
      </c>
      <c r="D16" s="1" t="s">
        <v>22</v>
      </c>
      <c r="E16" s="12">
        <f>IF(LEN(regon9[[#This Row],[Regon]]) = 7,TEXT(regon9[[#This Row],[Regon]],"000000000"),regon9[[#This Row],[Regon]])</f>
        <v>23005016</v>
      </c>
      <c r="F1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16" s="1"/>
      <c r="H1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7" spans="1:8" x14ac:dyDescent="0.25">
      <c r="A17" s="1" t="s">
        <v>48</v>
      </c>
      <c r="B17" s="11">
        <v>97132022</v>
      </c>
      <c r="C17" s="1" t="s">
        <v>45</v>
      </c>
      <c r="D17" s="1" t="s">
        <v>49</v>
      </c>
      <c r="E17" s="12">
        <f>IF(LEN(regon9[[#This Row],[Regon]]) = 7,TEXT(regon9[[#This Row],[Regon]],"000000000"),regon9[[#This Row],[Regon]])</f>
        <v>97132022</v>
      </c>
      <c r="F1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17" s="1"/>
      <c r="H1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8" spans="1:8" x14ac:dyDescent="0.25">
      <c r="A18" s="1" t="s">
        <v>50</v>
      </c>
      <c r="B18" s="11" t="s">
        <v>970</v>
      </c>
      <c r="C18" s="1" t="s">
        <v>51</v>
      </c>
      <c r="D18" s="1" t="s">
        <v>52</v>
      </c>
      <c r="E18" s="12" t="str">
        <f>IF(LEN(regon9[[#This Row],[Regon]]) = 7,TEXT(regon9[[#This Row],[Regon]],"000000000"),regon9[[#This Row],[Regon]])</f>
        <v>20554160007</v>
      </c>
      <c r="F1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8" s="1"/>
      <c r="H1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9" spans="1:8" x14ac:dyDescent="0.25">
      <c r="A19" s="1" t="s">
        <v>53</v>
      </c>
      <c r="B19" s="11">
        <v>21264720003</v>
      </c>
      <c r="C19" s="1" t="s">
        <v>51</v>
      </c>
      <c r="D19" s="1" t="s">
        <v>54</v>
      </c>
      <c r="E19" s="12">
        <f>IF(LEN(regon9[[#This Row],[Regon]]) = 7,TEXT(regon9[[#This Row],[Regon]],"000000000"),regon9[[#This Row],[Regon]])</f>
        <v>21264720003</v>
      </c>
      <c r="F1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9" s="1"/>
      <c r="H1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0" spans="1:8" x14ac:dyDescent="0.25">
      <c r="A20" s="1" t="s">
        <v>55</v>
      </c>
      <c r="B20" s="11">
        <v>21338890002</v>
      </c>
      <c r="C20" s="1" t="s">
        <v>51</v>
      </c>
      <c r="D20" s="1" t="s">
        <v>56</v>
      </c>
      <c r="E20" s="12">
        <f>IF(LEN(regon9[[#This Row],[Regon]]) = 7,TEXT(regon9[[#This Row],[Regon]],"000000000"),regon9[[#This Row],[Regon]])</f>
        <v>21338890002</v>
      </c>
      <c r="F2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20" s="1"/>
      <c r="H2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1" spans="1:8" x14ac:dyDescent="0.25">
      <c r="A21" s="1" t="s">
        <v>57</v>
      </c>
      <c r="B21" s="11">
        <v>21484950002</v>
      </c>
      <c r="C21" s="1" t="s">
        <v>51</v>
      </c>
      <c r="D21" s="1" t="s">
        <v>22</v>
      </c>
      <c r="E21" s="12">
        <f>IF(LEN(regon9[[#This Row],[Regon]]) = 7,TEXT(regon9[[#This Row],[Regon]],"000000000"),regon9[[#This Row],[Regon]])</f>
        <v>21484950002</v>
      </c>
      <c r="F2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21" s="1"/>
      <c r="H2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2" spans="1:8" x14ac:dyDescent="0.25">
      <c r="A22" s="1" t="s">
        <v>58</v>
      </c>
      <c r="B22" s="11">
        <v>230018360003</v>
      </c>
      <c r="C22" s="1" t="s">
        <v>51</v>
      </c>
      <c r="D22" s="1" t="s">
        <v>22</v>
      </c>
      <c r="E22" s="12">
        <f>IF(LEN(regon9[[#This Row],[Regon]]) = 7,TEXT(regon9[[#This Row],[Regon]],"000000000"),regon9[[#This Row],[Regon]])</f>
        <v>230018360003</v>
      </c>
      <c r="F2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22" s="1"/>
      <c r="H22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3" spans="1:8" x14ac:dyDescent="0.25">
      <c r="A23" s="1" t="s">
        <v>59</v>
      </c>
      <c r="B23" s="11">
        <v>230184330018</v>
      </c>
      <c r="C23" s="1" t="s">
        <v>51</v>
      </c>
      <c r="D23" s="1" t="s">
        <v>22</v>
      </c>
      <c r="E23" s="12">
        <f>IF(LEN(regon9[[#This Row],[Regon]]) = 7,TEXT(regon9[[#This Row],[Regon]],"000000000"),regon9[[#This Row],[Regon]])</f>
        <v>230184330018</v>
      </c>
      <c r="F2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23" s="1"/>
      <c r="H23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4" spans="1:8" x14ac:dyDescent="0.25">
      <c r="A24" s="1" t="s">
        <v>60</v>
      </c>
      <c r="B24" s="11">
        <v>230456480005</v>
      </c>
      <c r="C24" s="1" t="s">
        <v>51</v>
      </c>
      <c r="D24" s="1" t="s">
        <v>22</v>
      </c>
      <c r="E24" s="12">
        <f>IF(LEN(regon9[[#This Row],[Regon]]) = 7,TEXT(regon9[[#This Row],[Regon]],"000000000"),regon9[[#This Row],[Regon]])</f>
        <v>230456480005</v>
      </c>
      <c r="F2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24" s="1"/>
      <c r="H24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5" spans="1:8" x14ac:dyDescent="0.25">
      <c r="A25" s="1" t="s">
        <v>61</v>
      </c>
      <c r="B25" s="11">
        <v>230831400003</v>
      </c>
      <c r="C25" s="1" t="s">
        <v>51</v>
      </c>
      <c r="D25" s="1" t="s">
        <v>22</v>
      </c>
      <c r="E25" s="12">
        <f>IF(LEN(regon9[[#This Row],[Regon]]) = 7,TEXT(regon9[[#This Row],[Regon]],"000000000"),regon9[[#This Row],[Regon]])</f>
        <v>230831400003</v>
      </c>
      <c r="F2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25" s="1"/>
      <c r="H25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6" spans="1:8" x14ac:dyDescent="0.25">
      <c r="A26" s="1" t="s">
        <v>62</v>
      </c>
      <c r="B26" s="11">
        <v>230939400006</v>
      </c>
      <c r="C26" s="1" t="s">
        <v>51</v>
      </c>
      <c r="D26" s="1" t="s">
        <v>22</v>
      </c>
      <c r="E26" s="12">
        <f>IF(LEN(regon9[[#This Row],[Regon]]) = 7,TEXT(regon9[[#This Row],[Regon]],"000000000"),regon9[[#This Row],[Regon]])</f>
        <v>230939400006</v>
      </c>
      <c r="F2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26" s="1"/>
      <c r="H26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7" spans="1:8" x14ac:dyDescent="0.25">
      <c r="A27" s="1" t="s">
        <v>63</v>
      </c>
      <c r="B27" s="11">
        <v>231093660015</v>
      </c>
      <c r="C27" s="1" t="s">
        <v>51</v>
      </c>
      <c r="D27" s="1" t="s">
        <v>22</v>
      </c>
      <c r="E27" s="12">
        <f>IF(LEN(regon9[[#This Row],[Regon]]) = 7,TEXT(regon9[[#This Row],[Regon]],"000000000"),regon9[[#This Row],[Regon]])</f>
        <v>231093660015</v>
      </c>
      <c r="F2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27" s="1"/>
      <c r="H27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8" spans="1:8" x14ac:dyDescent="0.25">
      <c r="A28" s="1" t="s">
        <v>64</v>
      </c>
      <c r="B28" s="11">
        <v>302857630003</v>
      </c>
      <c r="C28" s="1" t="s">
        <v>51</v>
      </c>
      <c r="D28" s="1" t="s">
        <v>65</v>
      </c>
      <c r="E28" s="12">
        <f>IF(LEN(regon9[[#This Row],[Regon]]) = 7,TEXT(regon9[[#This Row],[Regon]],"000000000"),regon9[[#This Row],[Regon]])</f>
        <v>302857630003</v>
      </c>
      <c r="F2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28" s="1"/>
      <c r="H28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9" spans="1:8" x14ac:dyDescent="0.25">
      <c r="A29" s="1" t="s">
        <v>66</v>
      </c>
      <c r="B29" s="11">
        <v>630187930013</v>
      </c>
      <c r="C29" s="1" t="s">
        <v>51</v>
      </c>
      <c r="D29" s="1" t="s">
        <v>67</v>
      </c>
      <c r="E29" s="12">
        <f>IF(LEN(regon9[[#This Row],[Regon]]) = 7,TEXT(regon9[[#This Row],[Regon]],"000000000"),regon9[[#This Row],[Regon]])</f>
        <v>630187930013</v>
      </c>
      <c r="F2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29" s="1"/>
      <c r="H29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30" spans="1:8" x14ac:dyDescent="0.25">
      <c r="A30" s="1" t="s">
        <v>68</v>
      </c>
      <c r="B30" s="11">
        <v>930921570004</v>
      </c>
      <c r="C30" s="1" t="s">
        <v>51</v>
      </c>
      <c r="D30" s="1" t="s">
        <v>69</v>
      </c>
      <c r="E30" s="12">
        <f>IF(LEN(regon9[[#This Row],[Regon]]) = 7,TEXT(regon9[[#This Row],[Regon]],"000000000"),regon9[[#This Row],[Regon]])</f>
        <v>930921570004</v>
      </c>
      <c r="F3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30" s="1"/>
      <c r="H30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31" spans="1:8" x14ac:dyDescent="0.25">
      <c r="A31" s="1" t="s">
        <v>70</v>
      </c>
      <c r="B31" s="11">
        <v>9004341</v>
      </c>
      <c r="C31" s="1" t="s">
        <v>21</v>
      </c>
      <c r="D31" s="1" t="s">
        <v>71</v>
      </c>
      <c r="E31" s="12" t="str">
        <f>IF(LEN(regon9[[#This Row],[Regon]]) = 7,TEXT(regon9[[#This Row],[Regon]],"000000000"),regon9[[#This Row],[Regon]])</f>
        <v>009004341</v>
      </c>
      <c r="F3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31" s="1"/>
      <c r="H3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2" spans="1:8" x14ac:dyDescent="0.25">
      <c r="A32" s="1" t="s">
        <v>72</v>
      </c>
      <c r="B32" s="11">
        <v>9048196</v>
      </c>
      <c r="C32" s="1" t="s">
        <v>21</v>
      </c>
      <c r="D32" s="1" t="s">
        <v>73</v>
      </c>
      <c r="E32" s="12" t="str">
        <f>IF(LEN(regon9[[#This Row],[Regon]]) = 7,TEXT(regon9[[#This Row],[Regon]],"000000000"),regon9[[#This Row],[Regon]])</f>
        <v>009048196</v>
      </c>
      <c r="F3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32" s="1"/>
      <c r="H3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3" spans="1:8" x14ac:dyDescent="0.25">
      <c r="A33" s="1" t="s">
        <v>74</v>
      </c>
      <c r="B33" s="11">
        <v>9049594</v>
      </c>
      <c r="C33" s="1" t="s">
        <v>21</v>
      </c>
      <c r="D33" s="1" t="s">
        <v>75</v>
      </c>
      <c r="E33" s="12" t="str">
        <f>IF(LEN(regon9[[#This Row],[Regon]]) = 7,TEXT(regon9[[#This Row],[Regon]],"000000000"),regon9[[#This Row],[Regon]])</f>
        <v>009049594</v>
      </c>
      <c r="F3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33" s="1"/>
      <c r="H3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4" spans="1:8" x14ac:dyDescent="0.25">
      <c r="A34" s="1" t="s">
        <v>76</v>
      </c>
      <c r="B34" s="11">
        <v>9057590</v>
      </c>
      <c r="C34" s="1" t="s">
        <v>21</v>
      </c>
      <c r="D34" s="1" t="s">
        <v>22</v>
      </c>
      <c r="E34" s="12" t="str">
        <f>IF(LEN(regon9[[#This Row],[Regon]]) = 7,TEXT(regon9[[#This Row],[Regon]],"000000000"),regon9[[#This Row],[Regon]])</f>
        <v>009057590</v>
      </c>
      <c r="F3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34" s="1"/>
      <c r="H3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5" spans="1:8" x14ac:dyDescent="0.25">
      <c r="A35" s="1" t="s">
        <v>77</v>
      </c>
      <c r="B35" s="11">
        <v>9113890</v>
      </c>
      <c r="C35" s="1" t="s">
        <v>21</v>
      </c>
      <c r="D35" s="1" t="s">
        <v>22</v>
      </c>
      <c r="E35" s="12" t="str">
        <f>IF(LEN(regon9[[#This Row],[Regon]]) = 7,TEXT(regon9[[#This Row],[Regon]],"000000000"),regon9[[#This Row],[Regon]])</f>
        <v>009113890</v>
      </c>
      <c r="F3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35" s="1"/>
      <c r="H3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6" spans="1:8" x14ac:dyDescent="0.25">
      <c r="A36" s="1" t="s">
        <v>78</v>
      </c>
      <c r="B36" s="11">
        <v>9114495</v>
      </c>
      <c r="C36" s="1" t="s">
        <v>21</v>
      </c>
      <c r="D36" s="1" t="s">
        <v>79</v>
      </c>
      <c r="E36" s="12" t="str">
        <f>IF(LEN(regon9[[#This Row],[Regon]]) = 7,TEXT(regon9[[#This Row],[Regon]],"000000000"),regon9[[#This Row],[Regon]])</f>
        <v>009114495</v>
      </c>
      <c r="F3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36" s="1"/>
      <c r="H3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7" spans="1:8" x14ac:dyDescent="0.25">
      <c r="A37" s="1" t="s">
        <v>80</v>
      </c>
      <c r="B37" s="11">
        <v>9116222</v>
      </c>
      <c r="C37" s="1" t="s">
        <v>21</v>
      </c>
      <c r="D37" s="1" t="s">
        <v>81</v>
      </c>
      <c r="E37" s="12" t="str">
        <f>IF(LEN(regon9[[#This Row],[Regon]]) = 7,TEXT(regon9[[#This Row],[Regon]],"000000000"),regon9[[#This Row],[Regon]])</f>
        <v>009116222</v>
      </c>
      <c r="F3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37" s="1"/>
      <c r="H3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8" spans="1:8" x14ac:dyDescent="0.25">
      <c r="A38" s="1" t="s">
        <v>82</v>
      </c>
      <c r="B38" s="11">
        <v>9127321</v>
      </c>
      <c r="C38" s="1" t="s">
        <v>21</v>
      </c>
      <c r="D38" s="1" t="s">
        <v>22</v>
      </c>
      <c r="E38" s="12" t="str">
        <f>IF(LEN(regon9[[#This Row],[Regon]]) = 7,TEXT(regon9[[#This Row],[Regon]],"000000000"),regon9[[#This Row],[Regon]])</f>
        <v>009127321</v>
      </c>
      <c r="F3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38" s="1"/>
      <c r="H3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9" spans="1:8" x14ac:dyDescent="0.25">
      <c r="A39" s="1" t="s">
        <v>83</v>
      </c>
      <c r="B39" s="11">
        <v>9136892</v>
      </c>
      <c r="C39" s="1" t="s">
        <v>21</v>
      </c>
      <c r="D39" s="1" t="s">
        <v>84</v>
      </c>
      <c r="E39" s="12" t="str">
        <f>IF(LEN(regon9[[#This Row],[Regon]]) = 7,TEXT(regon9[[#This Row],[Regon]],"000000000"),regon9[[#This Row],[Regon]])</f>
        <v>009136892</v>
      </c>
      <c r="F3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39" s="1"/>
      <c r="H3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0" spans="1:8" x14ac:dyDescent="0.25">
      <c r="A40" s="1" t="s">
        <v>85</v>
      </c>
      <c r="B40" s="11">
        <v>9140191</v>
      </c>
      <c r="C40" s="1" t="s">
        <v>21</v>
      </c>
      <c r="D40" s="1" t="s">
        <v>22</v>
      </c>
      <c r="E40" s="12" t="str">
        <f>IF(LEN(regon9[[#This Row],[Regon]]) = 7,TEXT(regon9[[#This Row],[Regon]],"000000000"),regon9[[#This Row],[Regon]])</f>
        <v>009140191</v>
      </c>
      <c r="F4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0" s="1"/>
      <c r="H4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1" spans="1:8" x14ac:dyDescent="0.25">
      <c r="A41" s="1" t="s">
        <v>86</v>
      </c>
      <c r="B41" s="11">
        <v>9141873</v>
      </c>
      <c r="C41" s="1" t="s">
        <v>21</v>
      </c>
      <c r="D41" s="1" t="s">
        <v>22</v>
      </c>
      <c r="E41" s="12" t="str">
        <f>IF(LEN(regon9[[#This Row],[Regon]]) = 7,TEXT(regon9[[#This Row],[Regon]],"000000000"),regon9[[#This Row],[Regon]])</f>
        <v>009141873</v>
      </c>
      <c r="F4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1" s="1"/>
      <c r="H4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2" spans="1:8" x14ac:dyDescent="0.25">
      <c r="A42" s="1" t="s">
        <v>87</v>
      </c>
      <c r="B42" s="11">
        <v>9155822</v>
      </c>
      <c r="C42" s="1" t="s">
        <v>21</v>
      </c>
      <c r="D42" s="1" t="s">
        <v>88</v>
      </c>
      <c r="E42" s="12" t="str">
        <f>IF(LEN(regon9[[#This Row],[Regon]]) = 7,TEXT(regon9[[#This Row],[Regon]],"000000000"),regon9[[#This Row],[Regon]])</f>
        <v>009155822</v>
      </c>
      <c r="F4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2" s="1"/>
      <c r="H4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3" spans="1:8" x14ac:dyDescent="0.25">
      <c r="A43" s="1" t="s">
        <v>89</v>
      </c>
      <c r="B43" s="11">
        <v>9162777</v>
      </c>
      <c r="C43" s="1" t="s">
        <v>21</v>
      </c>
      <c r="D43" s="1" t="s">
        <v>90</v>
      </c>
      <c r="E43" s="12" t="str">
        <f>IF(LEN(regon9[[#This Row],[Regon]]) = 7,TEXT(regon9[[#This Row],[Regon]],"000000000"),regon9[[#This Row],[Regon]])</f>
        <v>009162777</v>
      </c>
      <c r="F4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3" s="1"/>
      <c r="H4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4" spans="1:8" x14ac:dyDescent="0.25">
      <c r="A44" s="1" t="s">
        <v>91</v>
      </c>
      <c r="B44" s="11">
        <v>9235988</v>
      </c>
      <c r="C44" s="1" t="s">
        <v>21</v>
      </c>
      <c r="D44" s="1" t="s">
        <v>22</v>
      </c>
      <c r="E44" s="12" t="str">
        <f>IF(LEN(regon9[[#This Row],[Regon]]) = 7,TEXT(regon9[[#This Row],[Regon]],"000000000"),regon9[[#This Row],[Regon]])</f>
        <v>009235988</v>
      </c>
      <c r="F4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4" s="1"/>
      <c r="H4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5" spans="1:8" x14ac:dyDescent="0.25">
      <c r="A45" s="1" t="s">
        <v>92</v>
      </c>
      <c r="B45" s="11">
        <v>9250839</v>
      </c>
      <c r="C45" s="1" t="s">
        <v>21</v>
      </c>
      <c r="D45" s="1" t="s">
        <v>22</v>
      </c>
      <c r="E45" s="12" t="str">
        <f>IF(LEN(regon9[[#This Row],[Regon]]) = 7,TEXT(regon9[[#This Row],[Regon]],"000000000"),regon9[[#This Row],[Regon]])</f>
        <v>009250839</v>
      </c>
      <c r="F4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5" s="1"/>
      <c r="H4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6" spans="1:8" x14ac:dyDescent="0.25">
      <c r="A46" s="1" t="s">
        <v>93</v>
      </c>
      <c r="B46" s="11">
        <v>9257291</v>
      </c>
      <c r="C46" s="1" t="s">
        <v>21</v>
      </c>
      <c r="D46" s="1" t="s">
        <v>22</v>
      </c>
      <c r="E46" s="12" t="str">
        <f>IF(LEN(regon9[[#This Row],[Regon]]) = 7,TEXT(regon9[[#This Row],[Regon]],"000000000"),regon9[[#This Row],[Regon]])</f>
        <v>009257291</v>
      </c>
      <c r="F4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6" s="1"/>
      <c r="H4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7" spans="1:8" x14ac:dyDescent="0.25">
      <c r="A47" s="1" t="s">
        <v>94</v>
      </c>
      <c r="B47" s="11">
        <v>9257474</v>
      </c>
      <c r="C47" s="1" t="s">
        <v>21</v>
      </c>
      <c r="D47" s="1" t="s">
        <v>22</v>
      </c>
      <c r="E47" s="12" t="str">
        <f>IF(LEN(regon9[[#This Row],[Regon]]) = 7,TEXT(regon9[[#This Row],[Regon]],"000000000"),regon9[[#This Row],[Regon]])</f>
        <v>009257474</v>
      </c>
      <c r="F4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7" s="1"/>
      <c r="H4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8" spans="1:8" x14ac:dyDescent="0.25">
      <c r="A48" s="1" t="s">
        <v>95</v>
      </c>
      <c r="B48" s="11">
        <v>9283914</v>
      </c>
      <c r="C48" s="1" t="s">
        <v>21</v>
      </c>
      <c r="D48" s="1" t="s">
        <v>96</v>
      </c>
      <c r="E48" s="12" t="str">
        <f>IF(LEN(regon9[[#This Row],[Regon]]) = 7,TEXT(regon9[[#This Row],[Regon]],"000000000"),regon9[[#This Row],[Regon]])</f>
        <v>009283914</v>
      </c>
      <c r="F4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8" s="1"/>
      <c r="H4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9" spans="1:8" x14ac:dyDescent="0.25">
      <c r="A49" s="1" t="s">
        <v>97</v>
      </c>
      <c r="B49" s="11">
        <v>9283915</v>
      </c>
      <c r="C49" s="1" t="s">
        <v>21</v>
      </c>
      <c r="D49" s="1" t="s">
        <v>22</v>
      </c>
      <c r="E49" s="12" t="str">
        <f>IF(LEN(regon9[[#This Row],[Regon]]) = 7,TEXT(regon9[[#This Row],[Regon]],"000000000"),regon9[[#This Row],[Regon]])</f>
        <v>009283915</v>
      </c>
      <c r="F4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9" s="1"/>
      <c r="H4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0" spans="1:8" x14ac:dyDescent="0.25">
      <c r="A50" s="1" t="s">
        <v>95</v>
      </c>
      <c r="B50" s="11">
        <v>9283916</v>
      </c>
      <c r="C50" s="1" t="s">
        <v>21</v>
      </c>
      <c r="D50" s="1" t="s">
        <v>22</v>
      </c>
      <c r="E50" s="12" t="str">
        <f>IF(LEN(regon9[[#This Row],[Regon]]) = 7,TEXT(regon9[[#This Row],[Regon]],"000000000"),regon9[[#This Row],[Regon]])</f>
        <v>009283916</v>
      </c>
      <c r="F5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0" s="1"/>
      <c r="H5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1" spans="1:8" x14ac:dyDescent="0.25">
      <c r="A51" s="1" t="s">
        <v>95</v>
      </c>
      <c r="B51" s="11">
        <v>9283917</v>
      </c>
      <c r="C51" s="1" t="s">
        <v>21</v>
      </c>
      <c r="D51" s="1" t="s">
        <v>22</v>
      </c>
      <c r="E51" s="12" t="str">
        <f>IF(LEN(regon9[[#This Row],[Regon]]) = 7,TEXT(regon9[[#This Row],[Regon]],"000000000"),regon9[[#This Row],[Regon]])</f>
        <v>009283917</v>
      </c>
      <c r="F5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1" s="1"/>
      <c r="H5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2" spans="1:8" x14ac:dyDescent="0.25">
      <c r="A52" s="1" t="s">
        <v>95</v>
      </c>
      <c r="B52" s="11">
        <v>9283918</v>
      </c>
      <c r="C52" s="1" t="s">
        <v>21</v>
      </c>
      <c r="D52" s="1" t="s">
        <v>22</v>
      </c>
      <c r="E52" s="12" t="str">
        <f>IF(LEN(regon9[[#This Row],[Regon]]) = 7,TEXT(regon9[[#This Row],[Regon]],"000000000"),regon9[[#This Row],[Regon]])</f>
        <v>009283918</v>
      </c>
      <c r="F5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2" s="1"/>
      <c r="H5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3" spans="1:8" x14ac:dyDescent="0.25">
      <c r="A53" s="1" t="s">
        <v>95</v>
      </c>
      <c r="B53" s="11">
        <v>9283919</v>
      </c>
      <c r="C53" s="1" t="s">
        <v>21</v>
      </c>
      <c r="D53" s="1" t="s">
        <v>22</v>
      </c>
      <c r="E53" s="12" t="str">
        <f>IF(LEN(regon9[[#This Row],[Regon]]) = 7,TEXT(regon9[[#This Row],[Regon]],"000000000"),regon9[[#This Row],[Regon]])</f>
        <v>009283919</v>
      </c>
      <c r="F5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3" s="1"/>
      <c r="H5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4" spans="1:8" x14ac:dyDescent="0.25">
      <c r="A54" s="1" t="s">
        <v>95</v>
      </c>
      <c r="B54" s="11">
        <v>9283921</v>
      </c>
      <c r="C54" s="1" t="s">
        <v>21</v>
      </c>
      <c r="D54" s="1" t="s">
        <v>96</v>
      </c>
      <c r="E54" s="12" t="str">
        <f>IF(LEN(regon9[[#This Row],[Regon]]) = 7,TEXT(regon9[[#This Row],[Regon]],"000000000"),regon9[[#This Row],[Regon]])</f>
        <v>009283921</v>
      </c>
      <c r="F5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4" s="1"/>
      <c r="H5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5" spans="1:8" x14ac:dyDescent="0.25">
      <c r="A55" s="1" t="s">
        <v>95</v>
      </c>
      <c r="B55" s="11">
        <v>9283922</v>
      </c>
      <c r="C55" s="1" t="s">
        <v>21</v>
      </c>
      <c r="D55" s="1" t="s">
        <v>98</v>
      </c>
      <c r="E55" s="12" t="str">
        <f>IF(LEN(regon9[[#This Row],[Regon]]) = 7,TEXT(regon9[[#This Row],[Regon]],"000000000"),regon9[[#This Row],[Regon]])</f>
        <v>009283922</v>
      </c>
      <c r="F5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5" s="1"/>
      <c r="H5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6" spans="1:8" x14ac:dyDescent="0.25">
      <c r="A56" s="1" t="s">
        <v>95</v>
      </c>
      <c r="B56" s="11">
        <v>9283923</v>
      </c>
      <c r="C56" s="1" t="s">
        <v>21</v>
      </c>
      <c r="D56" s="1" t="s">
        <v>22</v>
      </c>
      <c r="E56" s="12" t="str">
        <f>IF(LEN(regon9[[#This Row],[Regon]]) = 7,TEXT(regon9[[#This Row],[Regon]],"000000000"),regon9[[#This Row],[Regon]])</f>
        <v>009283923</v>
      </c>
      <c r="F5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6" s="1"/>
      <c r="H5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7" spans="1:8" x14ac:dyDescent="0.25">
      <c r="A57" s="1" t="s">
        <v>95</v>
      </c>
      <c r="B57" s="11">
        <v>9283924</v>
      </c>
      <c r="C57" s="1" t="s">
        <v>21</v>
      </c>
      <c r="D57" s="1" t="s">
        <v>96</v>
      </c>
      <c r="E57" s="12" t="str">
        <f>IF(LEN(regon9[[#This Row],[Regon]]) = 7,TEXT(regon9[[#This Row],[Regon]],"000000000"),regon9[[#This Row],[Regon]])</f>
        <v>009283924</v>
      </c>
      <c r="F5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7" s="1"/>
      <c r="H5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8" spans="1:8" x14ac:dyDescent="0.25">
      <c r="A58" s="1" t="s">
        <v>95</v>
      </c>
      <c r="B58" s="11">
        <v>9283925</v>
      </c>
      <c r="C58" s="1" t="s">
        <v>21</v>
      </c>
      <c r="D58" s="1" t="s">
        <v>22</v>
      </c>
      <c r="E58" s="12" t="str">
        <f>IF(LEN(regon9[[#This Row],[Regon]]) = 7,TEXT(regon9[[#This Row],[Regon]],"000000000"),regon9[[#This Row],[Regon]])</f>
        <v>009283925</v>
      </c>
      <c r="F5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8" s="1"/>
      <c r="H5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9" spans="1:8" x14ac:dyDescent="0.25">
      <c r="A59" s="1" t="s">
        <v>95</v>
      </c>
      <c r="B59" s="11">
        <v>9283926</v>
      </c>
      <c r="C59" s="1" t="s">
        <v>21</v>
      </c>
      <c r="D59" s="1" t="s">
        <v>22</v>
      </c>
      <c r="E59" s="12" t="str">
        <f>IF(LEN(regon9[[#This Row],[Regon]]) = 7,TEXT(regon9[[#This Row],[Regon]],"000000000"),regon9[[#This Row],[Regon]])</f>
        <v>009283926</v>
      </c>
      <c r="F5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9" s="1"/>
      <c r="H5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0" spans="1:8" x14ac:dyDescent="0.25">
      <c r="A60" s="1" t="s">
        <v>95</v>
      </c>
      <c r="B60" s="11">
        <v>9283927</v>
      </c>
      <c r="C60" s="1" t="s">
        <v>21</v>
      </c>
      <c r="D60" s="1" t="s">
        <v>22</v>
      </c>
      <c r="E60" s="12" t="str">
        <f>IF(LEN(regon9[[#This Row],[Regon]]) = 7,TEXT(regon9[[#This Row],[Regon]],"000000000"),regon9[[#This Row],[Regon]])</f>
        <v>009283927</v>
      </c>
      <c r="F6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60" s="1"/>
      <c r="H6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1" spans="1:8" x14ac:dyDescent="0.25">
      <c r="A61" s="1" t="s">
        <v>95</v>
      </c>
      <c r="B61" s="11">
        <v>9283928</v>
      </c>
      <c r="C61" s="1" t="s">
        <v>21</v>
      </c>
      <c r="D61" s="1" t="s">
        <v>22</v>
      </c>
      <c r="E61" s="12" t="str">
        <f>IF(LEN(regon9[[#This Row],[Regon]]) = 7,TEXT(regon9[[#This Row],[Regon]],"000000000"),regon9[[#This Row],[Regon]])</f>
        <v>009283928</v>
      </c>
      <c r="F6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61" s="1"/>
      <c r="H6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2" spans="1:8" x14ac:dyDescent="0.25">
      <c r="A62" s="1" t="s">
        <v>99</v>
      </c>
      <c r="B62" s="11">
        <v>9283929</v>
      </c>
      <c r="C62" s="1" t="s">
        <v>21</v>
      </c>
      <c r="D62" s="1" t="s">
        <v>22</v>
      </c>
      <c r="E62" s="12" t="str">
        <f>IF(LEN(regon9[[#This Row],[Regon]]) = 7,TEXT(regon9[[#This Row],[Regon]],"000000000"),regon9[[#This Row],[Regon]])</f>
        <v>009283929</v>
      </c>
      <c r="F6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62" s="1"/>
      <c r="H6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3" spans="1:8" x14ac:dyDescent="0.25">
      <c r="A63" s="1" t="s">
        <v>95</v>
      </c>
      <c r="B63" s="11">
        <v>9283930</v>
      </c>
      <c r="C63" s="1" t="s">
        <v>21</v>
      </c>
      <c r="D63" s="1" t="s">
        <v>22</v>
      </c>
      <c r="E63" s="12" t="str">
        <f>IF(LEN(regon9[[#This Row],[Regon]]) = 7,TEXT(regon9[[#This Row],[Regon]],"000000000"),regon9[[#This Row],[Regon]])</f>
        <v>009283930</v>
      </c>
      <c r="F6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63" s="1"/>
      <c r="H6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4" spans="1:8" x14ac:dyDescent="0.25">
      <c r="A64" s="1" t="s">
        <v>95</v>
      </c>
      <c r="B64" s="11">
        <v>9283931</v>
      </c>
      <c r="C64" s="1" t="s">
        <v>21</v>
      </c>
      <c r="D64" s="1" t="s">
        <v>22</v>
      </c>
      <c r="E64" s="12" t="str">
        <f>IF(LEN(regon9[[#This Row],[Regon]]) = 7,TEXT(regon9[[#This Row],[Regon]],"000000000"),regon9[[#This Row],[Regon]])</f>
        <v>009283931</v>
      </c>
      <c r="F6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64" s="1"/>
      <c r="H6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5" spans="1:8" x14ac:dyDescent="0.25">
      <c r="A65" s="1" t="s">
        <v>100</v>
      </c>
      <c r="B65" s="11">
        <v>9283932</v>
      </c>
      <c r="C65" s="1" t="s">
        <v>21</v>
      </c>
      <c r="D65" s="1" t="s">
        <v>22</v>
      </c>
      <c r="E65" s="12" t="str">
        <f>IF(LEN(regon9[[#This Row],[Regon]]) = 7,TEXT(regon9[[#This Row],[Regon]],"000000000"),regon9[[#This Row],[Regon]])</f>
        <v>009283932</v>
      </c>
      <c r="F6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65" s="1"/>
      <c r="H6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6" spans="1:8" x14ac:dyDescent="0.25">
      <c r="A66" s="1" t="s">
        <v>95</v>
      </c>
      <c r="B66" s="11">
        <v>9283933</v>
      </c>
      <c r="C66" s="1" t="s">
        <v>21</v>
      </c>
      <c r="D66" s="1" t="s">
        <v>22</v>
      </c>
      <c r="E66" s="12" t="str">
        <f>IF(LEN(regon9[[#This Row],[Regon]]) = 7,TEXT(regon9[[#This Row],[Regon]],"000000000"),regon9[[#This Row],[Regon]])</f>
        <v>009283933</v>
      </c>
      <c r="F6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66" s="1"/>
      <c r="H6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7" spans="1:8" x14ac:dyDescent="0.25">
      <c r="A67" s="1" t="s">
        <v>101</v>
      </c>
      <c r="B67" s="11">
        <v>9299910</v>
      </c>
      <c r="C67" s="1" t="s">
        <v>21</v>
      </c>
      <c r="D67" s="1" t="s">
        <v>22</v>
      </c>
      <c r="E67" s="12" t="str">
        <f>IF(LEN(regon9[[#This Row],[Regon]]) = 7,TEXT(regon9[[#This Row],[Regon]],"000000000"),regon9[[#This Row],[Regon]])</f>
        <v>009299910</v>
      </c>
      <c r="F6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67" s="1"/>
      <c r="H6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8" spans="1:8" x14ac:dyDescent="0.25">
      <c r="A68" s="1" t="s">
        <v>102</v>
      </c>
      <c r="B68" s="11">
        <v>9300260</v>
      </c>
      <c r="C68" s="1" t="s">
        <v>21</v>
      </c>
      <c r="D68" s="1" t="s">
        <v>22</v>
      </c>
      <c r="E68" s="12" t="str">
        <f>IF(LEN(regon9[[#This Row],[Regon]]) = 7,TEXT(regon9[[#This Row],[Regon]],"000000000"),regon9[[#This Row],[Regon]])</f>
        <v>009300260</v>
      </c>
      <c r="F6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68" s="1"/>
      <c r="H6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9" spans="1:8" x14ac:dyDescent="0.25">
      <c r="A69" s="1" t="s">
        <v>103</v>
      </c>
      <c r="B69" s="11">
        <v>9305690</v>
      </c>
      <c r="C69" s="1" t="s">
        <v>21</v>
      </c>
      <c r="D69" s="1" t="s">
        <v>22</v>
      </c>
      <c r="E69" s="12" t="str">
        <f>IF(LEN(regon9[[#This Row],[Regon]]) = 7,TEXT(regon9[[#This Row],[Regon]],"000000000"),regon9[[#This Row],[Regon]])</f>
        <v>009305690</v>
      </c>
      <c r="F6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69" s="1"/>
      <c r="H6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0" spans="1:8" x14ac:dyDescent="0.25">
      <c r="A70" s="1" t="s">
        <v>104</v>
      </c>
      <c r="B70" s="11">
        <v>9308256</v>
      </c>
      <c r="C70" s="1" t="s">
        <v>21</v>
      </c>
      <c r="D70" s="1" t="s">
        <v>22</v>
      </c>
      <c r="E70" s="12" t="str">
        <f>IF(LEN(regon9[[#This Row],[Regon]]) = 7,TEXT(regon9[[#This Row],[Regon]],"000000000"),regon9[[#This Row],[Regon]])</f>
        <v>009308256</v>
      </c>
      <c r="F7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70" s="1"/>
      <c r="H7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1" spans="1:8" x14ac:dyDescent="0.25">
      <c r="A71" s="1" t="s">
        <v>95</v>
      </c>
      <c r="B71" s="11">
        <v>9308990</v>
      </c>
      <c r="C71" s="1" t="s">
        <v>21</v>
      </c>
      <c r="D71" s="1" t="s">
        <v>22</v>
      </c>
      <c r="E71" s="12" t="str">
        <f>IF(LEN(regon9[[#This Row],[Regon]]) = 7,TEXT(regon9[[#This Row],[Regon]],"000000000"),regon9[[#This Row],[Regon]])</f>
        <v>009308990</v>
      </c>
      <c r="F7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71" s="1"/>
      <c r="H7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2" spans="1:8" x14ac:dyDescent="0.25">
      <c r="A72" s="1" t="s">
        <v>105</v>
      </c>
      <c r="B72" s="11">
        <v>9309410</v>
      </c>
      <c r="C72" s="1" t="s">
        <v>21</v>
      </c>
      <c r="D72" s="1" t="s">
        <v>22</v>
      </c>
      <c r="E72" s="12" t="str">
        <f>IF(LEN(regon9[[#This Row],[Regon]]) = 7,TEXT(regon9[[#This Row],[Regon]],"000000000"),regon9[[#This Row],[Regon]])</f>
        <v>009309410</v>
      </c>
      <c r="F7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72" s="1"/>
      <c r="H7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3" spans="1:8" x14ac:dyDescent="0.25">
      <c r="A73" s="1" t="s">
        <v>95</v>
      </c>
      <c r="B73" s="11">
        <v>9310082</v>
      </c>
      <c r="C73" s="1" t="s">
        <v>21</v>
      </c>
      <c r="D73" s="1" t="s">
        <v>22</v>
      </c>
      <c r="E73" s="12" t="str">
        <f>IF(LEN(regon9[[#This Row],[Regon]]) = 7,TEXT(regon9[[#This Row],[Regon]],"000000000"),regon9[[#This Row],[Regon]])</f>
        <v>009310082</v>
      </c>
      <c r="F7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73" s="1"/>
      <c r="H7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4" spans="1:8" x14ac:dyDescent="0.25">
      <c r="A74" s="1" t="s">
        <v>95</v>
      </c>
      <c r="B74" s="11">
        <v>9310132</v>
      </c>
      <c r="C74" s="1" t="s">
        <v>21</v>
      </c>
      <c r="D74" s="1" t="s">
        <v>22</v>
      </c>
      <c r="E74" s="12" t="str">
        <f>IF(LEN(regon9[[#This Row],[Regon]]) = 7,TEXT(regon9[[#This Row],[Regon]],"000000000"),regon9[[#This Row],[Regon]])</f>
        <v>009310132</v>
      </c>
      <c r="F7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74" s="1"/>
      <c r="H7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5" spans="1:8" x14ac:dyDescent="0.25">
      <c r="A75" s="1" t="s">
        <v>95</v>
      </c>
      <c r="B75" s="11">
        <v>9310150</v>
      </c>
      <c r="C75" s="1" t="s">
        <v>21</v>
      </c>
      <c r="D75" s="1" t="s">
        <v>73</v>
      </c>
      <c r="E75" s="12" t="str">
        <f>IF(LEN(regon9[[#This Row],[Regon]]) = 7,TEXT(regon9[[#This Row],[Regon]],"000000000"),regon9[[#This Row],[Regon]])</f>
        <v>009310150</v>
      </c>
      <c r="F7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75" s="1"/>
      <c r="H7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6" spans="1:8" x14ac:dyDescent="0.25">
      <c r="A76" s="1" t="s">
        <v>106</v>
      </c>
      <c r="B76" s="11">
        <v>9313302</v>
      </c>
      <c r="C76" s="1" t="s">
        <v>21</v>
      </c>
      <c r="D76" s="1" t="s">
        <v>22</v>
      </c>
      <c r="E76" s="12" t="str">
        <f>IF(LEN(regon9[[#This Row],[Regon]]) = 7,TEXT(regon9[[#This Row],[Regon]],"000000000"),regon9[[#This Row],[Regon]])</f>
        <v>009313302</v>
      </c>
      <c r="F7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76" s="1"/>
      <c r="H7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7" spans="1:8" x14ac:dyDescent="0.25">
      <c r="A77" s="1" t="s">
        <v>107</v>
      </c>
      <c r="B77" s="11">
        <v>9316025</v>
      </c>
      <c r="C77" s="1" t="s">
        <v>21</v>
      </c>
      <c r="D77" s="1" t="s">
        <v>22</v>
      </c>
      <c r="E77" s="12" t="str">
        <f>IF(LEN(regon9[[#This Row],[Regon]]) = 7,TEXT(regon9[[#This Row],[Regon]],"000000000"),regon9[[#This Row],[Regon]])</f>
        <v>009316025</v>
      </c>
      <c r="F7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77" s="1"/>
      <c r="H7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8" spans="1:8" x14ac:dyDescent="0.25">
      <c r="A78" s="1" t="s">
        <v>108</v>
      </c>
      <c r="B78" s="11">
        <v>34014176</v>
      </c>
      <c r="C78" s="1" t="s">
        <v>21</v>
      </c>
      <c r="D78" s="1" t="s">
        <v>22</v>
      </c>
      <c r="E78" s="12">
        <f>IF(LEN(regon9[[#This Row],[Regon]]) = 7,TEXT(regon9[[#This Row],[Regon]],"000000000"),regon9[[#This Row],[Regon]])</f>
        <v>34014176</v>
      </c>
      <c r="F7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78" s="1"/>
      <c r="H7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9" spans="1:8" x14ac:dyDescent="0.25">
      <c r="A79" s="1" t="s">
        <v>109</v>
      </c>
      <c r="B79" s="11">
        <v>34014350</v>
      </c>
      <c r="C79" s="1" t="s">
        <v>21</v>
      </c>
      <c r="D79" s="1" t="s">
        <v>22</v>
      </c>
      <c r="E79" s="12">
        <f>IF(LEN(regon9[[#This Row],[Regon]]) = 7,TEXT(regon9[[#This Row],[Regon]],"000000000"),regon9[[#This Row],[Regon]])</f>
        <v>34014350</v>
      </c>
      <c r="F7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79" s="1"/>
      <c r="H7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80" spans="1:8" x14ac:dyDescent="0.25">
      <c r="A80" s="1" t="s">
        <v>110</v>
      </c>
      <c r="B80" s="11">
        <v>34044062</v>
      </c>
      <c r="C80" s="1" t="s">
        <v>21</v>
      </c>
      <c r="D80" s="1" t="s">
        <v>111</v>
      </c>
      <c r="E80" s="12">
        <f>IF(LEN(regon9[[#This Row],[Regon]]) = 7,TEXT(regon9[[#This Row],[Regon]],"000000000"),regon9[[#This Row],[Regon]])</f>
        <v>34044062</v>
      </c>
      <c r="F8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80" s="1"/>
      <c r="H8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81" spans="1:8" x14ac:dyDescent="0.25">
      <c r="A81" s="1" t="s">
        <v>112</v>
      </c>
      <c r="B81" s="11">
        <v>34050162</v>
      </c>
      <c r="C81" s="1" t="s">
        <v>21</v>
      </c>
      <c r="D81" s="1" t="s">
        <v>22</v>
      </c>
      <c r="E81" s="12">
        <f>IF(LEN(regon9[[#This Row],[Regon]]) = 7,TEXT(regon9[[#This Row],[Regon]],"000000000"),regon9[[#This Row],[Regon]])</f>
        <v>34050162</v>
      </c>
      <c r="F8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81" s="1"/>
      <c r="H8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82" spans="1:8" x14ac:dyDescent="0.25">
      <c r="A82" s="1" t="s">
        <v>113</v>
      </c>
      <c r="B82" s="11">
        <v>34062339</v>
      </c>
      <c r="C82" s="1" t="s">
        <v>21</v>
      </c>
      <c r="D82" s="1" t="s">
        <v>22</v>
      </c>
      <c r="E82" s="12">
        <f>IF(LEN(regon9[[#This Row],[Regon]]) = 7,TEXT(regon9[[#This Row],[Regon]],"000000000"),regon9[[#This Row],[Regon]])</f>
        <v>34062339</v>
      </c>
      <c r="F8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82" s="1"/>
      <c r="H8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83" spans="1:8" x14ac:dyDescent="0.25">
      <c r="A83" s="1" t="s">
        <v>114</v>
      </c>
      <c r="B83" s="11">
        <v>34071850</v>
      </c>
      <c r="C83" s="1" t="s">
        <v>21</v>
      </c>
      <c r="D83" s="1" t="s">
        <v>22</v>
      </c>
      <c r="E83" s="12">
        <f>IF(LEN(regon9[[#This Row],[Regon]]) = 7,TEXT(regon9[[#This Row],[Regon]],"000000000"),regon9[[#This Row],[Regon]])</f>
        <v>34071850</v>
      </c>
      <c r="F8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83" s="1"/>
      <c r="H8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84" spans="1:8" x14ac:dyDescent="0.25">
      <c r="A84" s="1" t="s">
        <v>115</v>
      </c>
      <c r="B84" s="11">
        <v>34081835</v>
      </c>
      <c r="C84" s="1" t="s">
        <v>21</v>
      </c>
      <c r="D84" s="1" t="s">
        <v>22</v>
      </c>
      <c r="E84" s="12">
        <f>IF(LEN(regon9[[#This Row],[Regon]]) = 7,TEXT(regon9[[#This Row],[Regon]],"000000000"),regon9[[#This Row],[Regon]])</f>
        <v>34081835</v>
      </c>
      <c r="F8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84" s="1"/>
      <c r="H8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85" spans="1:8" x14ac:dyDescent="0.25">
      <c r="A85" s="1" t="s">
        <v>116</v>
      </c>
      <c r="B85" s="11">
        <v>34120777</v>
      </c>
      <c r="C85" s="1" t="s">
        <v>21</v>
      </c>
      <c r="D85" s="1" t="s">
        <v>117</v>
      </c>
      <c r="E85" s="12">
        <f>IF(LEN(regon9[[#This Row],[Regon]]) = 7,TEXT(regon9[[#This Row],[Regon]],"000000000"),regon9[[#This Row],[Regon]])</f>
        <v>34120777</v>
      </c>
      <c r="F8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85" s="1"/>
      <c r="H8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86" spans="1:8" x14ac:dyDescent="0.25">
      <c r="A86" s="1" t="s">
        <v>118</v>
      </c>
      <c r="B86" s="11">
        <v>34135729</v>
      </c>
      <c r="C86" s="1" t="s">
        <v>21</v>
      </c>
      <c r="D86" s="1" t="s">
        <v>22</v>
      </c>
      <c r="E86" s="12">
        <f>IF(LEN(regon9[[#This Row],[Regon]]) = 7,TEXT(regon9[[#This Row],[Regon]],"000000000"),regon9[[#This Row],[Regon]])</f>
        <v>34135729</v>
      </c>
      <c r="F8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86" s="1"/>
      <c r="H8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87" spans="1:8" x14ac:dyDescent="0.25">
      <c r="A87" s="1" t="s">
        <v>119</v>
      </c>
      <c r="B87" s="11">
        <v>34145535</v>
      </c>
      <c r="C87" s="1" t="s">
        <v>21</v>
      </c>
      <c r="D87" s="1" t="s">
        <v>22</v>
      </c>
      <c r="E87" s="12">
        <f>IF(LEN(regon9[[#This Row],[Regon]]) = 7,TEXT(regon9[[#This Row],[Regon]],"000000000"),regon9[[#This Row],[Regon]])</f>
        <v>34145535</v>
      </c>
      <c r="F8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87" s="1"/>
      <c r="H8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88" spans="1:8" x14ac:dyDescent="0.25">
      <c r="A88" s="1" t="s">
        <v>120</v>
      </c>
      <c r="B88" s="11">
        <v>34158148</v>
      </c>
      <c r="C88" s="1" t="s">
        <v>21</v>
      </c>
      <c r="D88" s="1" t="s">
        <v>22</v>
      </c>
      <c r="E88" s="12">
        <f>IF(LEN(regon9[[#This Row],[Regon]]) = 7,TEXT(regon9[[#This Row],[Regon]],"000000000"),regon9[[#This Row],[Regon]])</f>
        <v>34158148</v>
      </c>
      <c r="F8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88" s="1"/>
      <c r="H8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89" spans="1:8" x14ac:dyDescent="0.25">
      <c r="A89" s="1" t="s">
        <v>121</v>
      </c>
      <c r="B89" s="11">
        <v>34162860</v>
      </c>
      <c r="C89" s="1" t="s">
        <v>21</v>
      </c>
      <c r="D89" s="1" t="s">
        <v>122</v>
      </c>
      <c r="E89" s="12">
        <f>IF(LEN(regon9[[#This Row],[Regon]]) = 7,TEXT(regon9[[#This Row],[Regon]],"000000000"),regon9[[#This Row],[Regon]])</f>
        <v>34162860</v>
      </c>
      <c r="F8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89" s="1"/>
      <c r="H8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90" spans="1:8" x14ac:dyDescent="0.25">
      <c r="A90" s="1" t="s">
        <v>123</v>
      </c>
      <c r="B90" s="11">
        <v>36034403</v>
      </c>
      <c r="C90" s="1" t="s">
        <v>21</v>
      </c>
      <c r="D90" s="1" t="s">
        <v>22</v>
      </c>
      <c r="E90" s="12">
        <f>IF(LEN(regon9[[#This Row],[Regon]]) = 7,TEXT(regon9[[#This Row],[Regon]],"000000000"),regon9[[#This Row],[Regon]])</f>
        <v>36034403</v>
      </c>
      <c r="F9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90" s="1"/>
      <c r="H9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91" spans="1:8" x14ac:dyDescent="0.25">
      <c r="A91" s="1" t="s">
        <v>124</v>
      </c>
      <c r="B91" s="11">
        <v>36046617</v>
      </c>
      <c r="C91" s="1" t="s">
        <v>21</v>
      </c>
      <c r="D91" s="1" t="s">
        <v>125</v>
      </c>
      <c r="E91" s="12">
        <f>IF(LEN(regon9[[#This Row],[Regon]]) = 7,TEXT(regon9[[#This Row],[Regon]],"000000000"),regon9[[#This Row],[Regon]])</f>
        <v>36046617</v>
      </c>
      <c r="F9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91" s="1"/>
      <c r="H9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92" spans="1:8" x14ac:dyDescent="0.25">
      <c r="A92" s="1" t="s">
        <v>126</v>
      </c>
      <c r="B92" s="11">
        <v>36048411</v>
      </c>
      <c r="C92" s="1" t="s">
        <v>21</v>
      </c>
      <c r="D92" s="1" t="s">
        <v>22</v>
      </c>
      <c r="E92" s="12">
        <f>IF(LEN(regon9[[#This Row],[Regon]]) = 7,TEXT(regon9[[#This Row],[Regon]],"000000000"),regon9[[#This Row],[Regon]])</f>
        <v>36048411</v>
      </c>
      <c r="F9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92" s="1"/>
      <c r="H9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93" spans="1:8" x14ac:dyDescent="0.25">
      <c r="A93" s="1" t="s">
        <v>127</v>
      </c>
      <c r="B93" s="11">
        <v>36147653</v>
      </c>
      <c r="C93" s="1" t="s">
        <v>21</v>
      </c>
      <c r="D93" s="1" t="s">
        <v>22</v>
      </c>
      <c r="E93" s="12">
        <f>IF(LEN(regon9[[#This Row],[Regon]]) = 7,TEXT(regon9[[#This Row],[Regon]],"000000000"),regon9[[#This Row],[Regon]])</f>
        <v>36147653</v>
      </c>
      <c r="F9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93" s="1"/>
      <c r="H9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94" spans="1:8" x14ac:dyDescent="0.25">
      <c r="A94" s="1" t="s">
        <v>128</v>
      </c>
      <c r="B94" s="11">
        <v>36284405</v>
      </c>
      <c r="C94" s="1" t="s">
        <v>21</v>
      </c>
      <c r="D94" s="1" t="s">
        <v>22</v>
      </c>
      <c r="E94" s="12">
        <f>IF(LEN(regon9[[#This Row],[Regon]]) = 7,TEXT(regon9[[#This Row],[Regon]],"000000000"),regon9[[#This Row],[Regon]])</f>
        <v>36284405</v>
      </c>
      <c r="F9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94" s="1"/>
      <c r="H9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95" spans="1:8" x14ac:dyDescent="0.25">
      <c r="A95" s="1" t="s">
        <v>129</v>
      </c>
      <c r="B95" s="11">
        <v>36387990</v>
      </c>
      <c r="C95" s="1" t="s">
        <v>21</v>
      </c>
      <c r="D95" s="1" t="s">
        <v>22</v>
      </c>
      <c r="E95" s="12">
        <f>IF(LEN(regon9[[#This Row],[Regon]]) = 7,TEXT(regon9[[#This Row],[Regon]],"000000000"),regon9[[#This Row],[Regon]])</f>
        <v>36387990</v>
      </c>
      <c r="F9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95" s="1"/>
      <c r="H9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96" spans="1:8" x14ac:dyDescent="0.25">
      <c r="A96" s="1" t="s">
        <v>130</v>
      </c>
      <c r="B96" s="11">
        <v>36390492</v>
      </c>
      <c r="C96" s="1" t="s">
        <v>21</v>
      </c>
      <c r="D96" s="1" t="s">
        <v>22</v>
      </c>
      <c r="E96" s="12">
        <f>IF(LEN(regon9[[#This Row],[Regon]]) = 7,TEXT(regon9[[#This Row],[Regon]],"000000000"),regon9[[#This Row],[Regon]])</f>
        <v>36390492</v>
      </c>
      <c r="F9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96" s="1"/>
      <c r="H9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97" spans="1:8" x14ac:dyDescent="0.25">
      <c r="A97" s="1" t="s">
        <v>131</v>
      </c>
      <c r="B97" s="11">
        <v>36517612</v>
      </c>
      <c r="C97" s="1" t="s">
        <v>21</v>
      </c>
      <c r="D97" s="1" t="s">
        <v>22</v>
      </c>
      <c r="E97" s="12">
        <f>IF(LEN(regon9[[#This Row],[Regon]]) = 7,TEXT(regon9[[#This Row],[Regon]],"000000000"),regon9[[#This Row],[Regon]])</f>
        <v>36517612</v>
      </c>
      <c r="F9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97" s="1"/>
      <c r="H9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98" spans="1:8" x14ac:dyDescent="0.25">
      <c r="A98" s="1" t="s">
        <v>132</v>
      </c>
      <c r="B98" s="11">
        <v>252188</v>
      </c>
      <c r="C98" s="1" t="s">
        <v>45</v>
      </c>
      <c r="D98" s="1" t="s">
        <v>22</v>
      </c>
      <c r="E98" s="12">
        <f>IF(LEN(regon9[[#This Row],[Regon]]) = 7,TEXT(regon9[[#This Row],[Regon]],"000000000"),regon9[[#This Row],[Regon]])</f>
        <v>252188</v>
      </c>
      <c r="F9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98" s="1"/>
      <c r="H9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99" spans="1:8" x14ac:dyDescent="0.25">
      <c r="A99" s="1" t="s">
        <v>133</v>
      </c>
      <c r="B99" s="11">
        <v>9234415</v>
      </c>
      <c r="C99" s="1" t="s">
        <v>45</v>
      </c>
      <c r="D99" s="1" t="s">
        <v>22</v>
      </c>
      <c r="E99" s="12" t="str">
        <f>IF(LEN(regon9[[#This Row],[Regon]]) = 7,TEXT(regon9[[#This Row],[Regon]],"000000000"),regon9[[#This Row],[Regon]])</f>
        <v>009234415</v>
      </c>
      <c r="F9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99" s="1"/>
      <c r="H9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00" spans="1:8" x14ac:dyDescent="0.25">
      <c r="A100" s="1" t="s">
        <v>134</v>
      </c>
      <c r="B100" s="11">
        <v>34056451</v>
      </c>
      <c r="C100" s="1" t="s">
        <v>45</v>
      </c>
      <c r="D100" s="1" t="s">
        <v>22</v>
      </c>
      <c r="E100" s="12">
        <f>IF(LEN(regon9[[#This Row],[Regon]]) = 7,TEXT(regon9[[#This Row],[Regon]],"000000000"),regon9[[#This Row],[Regon]])</f>
        <v>34056451</v>
      </c>
      <c r="F10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100" s="1"/>
      <c r="H10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01" spans="1:8" x14ac:dyDescent="0.25">
      <c r="A101" s="1" t="s">
        <v>135</v>
      </c>
      <c r="B101" s="11">
        <v>34130359</v>
      </c>
      <c r="C101" s="1" t="s">
        <v>45</v>
      </c>
      <c r="D101" s="1" t="s">
        <v>22</v>
      </c>
      <c r="E101" s="12">
        <f>IF(LEN(regon9[[#This Row],[Regon]]) = 7,TEXT(regon9[[#This Row],[Regon]],"000000000"),regon9[[#This Row],[Regon]])</f>
        <v>34130359</v>
      </c>
      <c r="F10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101" s="1"/>
      <c r="H10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02" spans="1:8" x14ac:dyDescent="0.25">
      <c r="A102" s="1" t="s">
        <v>136</v>
      </c>
      <c r="B102" s="11">
        <v>12340010007</v>
      </c>
      <c r="C102" s="1" t="s">
        <v>51</v>
      </c>
      <c r="D102" s="1" t="s">
        <v>22</v>
      </c>
      <c r="E102" s="12">
        <f>IF(LEN(regon9[[#This Row],[Regon]]) = 7,TEXT(regon9[[#This Row],[Regon]],"000000000"),regon9[[#This Row],[Regon]])</f>
        <v>12340010007</v>
      </c>
      <c r="F10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02" s="1"/>
      <c r="H10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03" spans="1:8" x14ac:dyDescent="0.25">
      <c r="A103" s="1" t="s">
        <v>93</v>
      </c>
      <c r="B103" s="11">
        <v>92572910003</v>
      </c>
      <c r="C103" s="1" t="s">
        <v>51</v>
      </c>
      <c r="D103" s="1" t="s">
        <v>22</v>
      </c>
      <c r="E103" s="12">
        <f>IF(LEN(regon9[[#This Row],[Regon]]) = 7,TEXT(regon9[[#This Row],[Regon]],"000000000"),regon9[[#This Row],[Regon]])</f>
        <v>92572910003</v>
      </c>
      <c r="F10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03" s="1"/>
      <c r="H10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04" spans="1:8" x14ac:dyDescent="0.25">
      <c r="A104" s="1" t="s">
        <v>95</v>
      </c>
      <c r="B104" s="11">
        <v>92839150001</v>
      </c>
      <c r="C104" s="1" t="s">
        <v>51</v>
      </c>
      <c r="D104" s="1" t="s">
        <v>22</v>
      </c>
      <c r="E104" s="12">
        <f>IF(LEN(regon9[[#This Row],[Regon]]) = 7,TEXT(regon9[[#This Row],[Regon]],"000000000"),regon9[[#This Row],[Regon]])</f>
        <v>92839150001</v>
      </c>
      <c r="F10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04" s="1"/>
      <c r="H10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05" spans="1:8" x14ac:dyDescent="0.25">
      <c r="A105" s="1" t="s">
        <v>137</v>
      </c>
      <c r="B105" s="11">
        <v>93082560002</v>
      </c>
      <c r="C105" s="1" t="s">
        <v>51</v>
      </c>
      <c r="D105" s="1" t="s">
        <v>111</v>
      </c>
      <c r="E105" s="12">
        <f>IF(LEN(regon9[[#This Row],[Regon]]) = 7,TEXT(regon9[[#This Row],[Regon]],"000000000"),regon9[[#This Row],[Regon]])</f>
        <v>93082560002</v>
      </c>
      <c r="F10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05" s="1"/>
      <c r="H10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06" spans="1:8" x14ac:dyDescent="0.25">
      <c r="A106" s="1" t="s">
        <v>105</v>
      </c>
      <c r="B106" s="11">
        <v>93094100002</v>
      </c>
      <c r="C106" s="1" t="s">
        <v>51</v>
      </c>
      <c r="D106" s="1" t="s">
        <v>22</v>
      </c>
      <c r="E106" s="12">
        <f>IF(LEN(regon9[[#This Row],[Regon]]) = 7,TEXT(regon9[[#This Row],[Regon]],"000000000"),regon9[[#This Row],[Regon]])</f>
        <v>93094100002</v>
      </c>
      <c r="F10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06" s="1"/>
      <c r="H10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07" spans="1:8" x14ac:dyDescent="0.25">
      <c r="A107" s="1" t="s">
        <v>138</v>
      </c>
      <c r="B107" s="11">
        <v>93121960004</v>
      </c>
      <c r="C107" s="1" t="s">
        <v>51</v>
      </c>
      <c r="D107" s="1" t="s">
        <v>52</v>
      </c>
      <c r="E107" s="12">
        <f>IF(LEN(regon9[[#This Row],[Regon]]) = 7,TEXT(regon9[[#This Row],[Regon]],"000000000"),regon9[[#This Row],[Regon]])</f>
        <v>93121960004</v>
      </c>
      <c r="F10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07" s="1"/>
      <c r="H10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08" spans="1:8" x14ac:dyDescent="0.25">
      <c r="A108" s="1" t="s">
        <v>139</v>
      </c>
      <c r="B108" s="11">
        <v>314016</v>
      </c>
      <c r="C108" s="1" t="s">
        <v>21</v>
      </c>
      <c r="D108" s="1" t="s">
        <v>73</v>
      </c>
      <c r="E108" s="12">
        <f>IF(LEN(regon9[[#This Row],[Regon]]) = 7,TEXT(regon9[[#This Row],[Regon]],"000000000"),regon9[[#This Row],[Regon]])</f>
        <v>314016</v>
      </c>
      <c r="F10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08" s="1"/>
      <c r="H10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09" spans="1:8" x14ac:dyDescent="0.25">
      <c r="A109" s="1" t="s">
        <v>140</v>
      </c>
      <c r="B109" s="11">
        <v>314129</v>
      </c>
      <c r="C109" s="1" t="s">
        <v>21</v>
      </c>
      <c r="D109" s="1" t="s">
        <v>141</v>
      </c>
      <c r="E109" s="12">
        <f>IF(LEN(regon9[[#This Row],[Regon]]) = 7,TEXT(regon9[[#This Row],[Regon]],"000000000"),regon9[[#This Row],[Regon]])</f>
        <v>314129</v>
      </c>
      <c r="F10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09" s="1"/>
      <c r="H10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10" spans="1:8" x14ac:dyDescent="0.25">
      <c r="A110" s="1" t="s">
        <v>142</v>
      </c>
      <c r="B110" s="11">
        <v>835324</v>
      </c>
      <c r="C110" s="1" t="s">
        <v>21</v>
      </c>
      <c r="D110" s="1" t="s">
        <v>143</v>
      </c>
      <c r="E110" s="12">
        <f>IF(LEN(regon9[[#This Row],[Regon]]) = 7,TEXT(regon9[[#This Row],[Regon]],"000000000"),regon9[[#This Row],[Regon]])</f>
        <v>835324</v>
      </c>
      <c r="F11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10" s="1"/>
      <c r="H11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11" spans="1:8" x14ac:dyDescent="0.25">
      <c r="A111" s="1" t="s">
        <v>144</v>
      </c>
      <c r="B111" s="11">
        <v>835479</v>
      </c>
      <c r="C111" s="1" t="s">
        <v>21</v>
      </c>
      <c r="D111" s="1" t="s">
        <v>22</v>
      </c>
      <c r="E111" s="12">
        <f>IF(LEN(regon9[[#This Row],[Regon]]) = 7,TEXT(regon9[[#This Row],[Regon]],"000000000"),regon9[[#This Row],[Regon]])</f>
        <v>835479</v>
      </c>
      <c r="F11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11" s="1"/>
      <c r="H11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12" spans="1:8" x14ac:dyDescent="0.25">
      <c r="A112" s="1" t="s">
        <v>145</v>
      </c>
      <c r="B112" s="11">
        <v>8002353</v>
      </c>
      <c r="C112" s="1" t="s">
        <v>21</v>
      </c>
      <c r="D112" s="1" t="s">
        <v>22</v>
      </c>
      <c r="E112" s="12" t="str">
        <f>IF(LEN(regon9[[#This Row],[Regon]]) = 7,TEXT(regon9[[#This Row],[Regon]],"000000000"),regon9[[#This Row],[Regon]])</f>
        <v>008002353</v>
      </c>
      <c r="F11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12" s="1"/>
      <c r="H11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13" spans="1:8" x14ac:dyDescent="0.25">
      <c r="A113" s="1" t="s">
        <v>146</v>
      </c>
      <c r="B113" s="11">
        <v>8002882</v>
      </c>
      <c r="C113" s="1" t="s">
        <v>21</v>
      </c>
      <c r="D113" s="1" t="s">
        <v>22</v>
      </c>
      <c r="E113" s="12" t="str">
        <f>IF(LEN(regon9[[#This Row],[Regon]]) = 7,TEXT(regon9[[#This Row],[Regon]],"000000000"),regon9[[#This Row],[Regon]])</f>
        <v>008002882</v>
      </c>
      <c r="F11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13" s="1"/>
      <c r="H11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14" spans="1:8" x14ac:dyDescent="0.25">
      <c r="A114" s="1" t="s">
        <v>147</v>
      </c>
      <c r="B114" s="11">
        <v>8003506</v>
      </c>
      <c r="C114" s="1" t="s">
        <v>21</v>
      </c>
      <c r="D114" s="1" t="s">
        <v>148</v>
      </c>
      <c r="E114" s="12" t="str">
        <f>IF(LEN(regon9[[#This Row],[Regon]]) = 7,TEXT(regon9[[#This Row],[Regon]],"000000000"),regon9[[#This Row],[Regon]])</f>
        <v>008003506</v>
      </c>
      <c r="F11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14" s="1"/>
      <c r="H11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15" spans="1:8" x14ac:dyDescent="0.25">
      <c r="A115" s="1" t="s">
        <v>149</v>
      </c>
      <c r="B115" s="11">
        <v>8005411</v>
      </c>
      <c r="C115" s="1" t="s">
        <v>21</v>
      </c>
      <c r="D115" s="1" t="s">
        <v>22</v>
      </c>
      <c r="E115" s="12" t="str">
        <f>IF(LEN(regon9[[#This Row],[Regon]]) = 7,TEXT(regon9[[#This Row],[Regon]],"000000000"),regon9[[#This Row],[Regon]])</f>
        <v>008005411</v>
      </c>
      <c r="F11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15" s="1"/>
      <c r="H11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16" spans="1:8" x14ac:dyDescent="0.25">
      <c r="A116" s="1" t="s">
        <v>150</v>
      </c>
      <c r="B116" s="11">
        <v>8005948</v>
      </c>
      <c r="C116" s="1" t="s">
        <v>21</v>
      </c>
      <c r="D116" s="1" t="s">
        <v>22</v>
      </c>
      <c r="E116" s="12" t="str">
        <f>IF(LEN(regon9[[#This Row],[Regon]]) = 7,TEXT(regon9[[#This Row],[Regon]],"000000000"),regon9[[#This Row],[Regon]])</f>
        <v>008005948</v>
      </c>
      <c r="F11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16" s="1"/>
      <c r="H11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17" spans="1:8" x14ac:dyDescent="0.25">
      <c r="A117" s="1" t="s">
        <v>151</v>
      </c>
      <c r="B117" s="11">
        <v>8006151</v>
      </c>
      <c r="C117" s="1" t="s">
        <v>21</v>
      </c>
      <c r="D117" s="1" t="s">
        <v>22</v>
      </c>
      <c r="E117" s="12" t="str">
        <f>IF(LEN(regon9[[#This Row],[Regon]]) = 7,TEXT(regon9[[#This Row],[Regon]],"000000000"),regon9[[#This Row],[Regon]])</f>
        <v>008006151</v>
      </c>
      <c r="F11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17" s="1"/>
      <c r="H11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18" spans="1:8" x14ac:dyDescent="0.25">
      <c r="A118" s="1" t="s">
        <v>152</v>
      </c>
      <c r="B118" s="11">
        <v>8008881</v>
      </c>
      <c r="C118" s="1" t="s">
        <v>21</v>
      </c>
      <c r="D118" s="1" t="s">
        <v>153</v>
      </c>
      <c r="E118" s="12" t="str">
        <f>IF(LEN(regon9[[#This Row],[Regon]]) = 7,TEXT(regon9[[#This Row],[Regon]],"000000000"),regon9[[#This Row],[Regon]])</f>
        <v>008008881</v>
      </c>
      <c r="F11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18" s="1"/>
      <c r="H11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19" spans="1:8" x14ac:dyDescent="0.25">
      <c r="A119" s="1" t="s">
        <v>154</v>
      </c>
      <c r="B119" s="11">
        <v>8009682</v>
      </c>
      <c r="C119" s="1" t="s">
        <v>21</v>
      </c>
      <c r="D119" s="1" t="s">
        <v>155</v>
      </c>
      <c r="E119" s="12" t="str">
        <f>IF(LEN(regon9[[#This Row],[Regon]]) = 7,TEXT(regon9[[#This Row],[Regon]],"000000000"),regon9[[#This Row],[Regon]])</f>
        <v>008009682</v>
      </c>
      <c r="F11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19" s="1"/>
      <c r="H11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20" spans="1:8" x14ac:dyDescent="0.25">
      <c r="A120" s="1" t="s">
        <v>156</v>
      </c>
      <c r="B120" s="11">
        <v>8011005</v>
      </c>
      <c r="C120" s="1" t="s">
        <v>21</v>
      </c>
      <c r="D120" s="1" t="s">
        <v>157</v>
      </c>
      <c r="E120" s="12" t="str">
        <f>IF(LEN(regon9[[#This Row],[Regon]]) = 7,TEXT(regon9[[#This Row],[Regon]],"000000000"),regon9[[#This Row],[Regon]])</f>
        <v>008011005</v>
      </c>
      <c r="F12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20" s="1"/>
      <c r="H12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21" spans="1:8" x14ac:dyDescent="0.25">
      <c r="A121" s="1" t="s">
        <v>158</v>
      </c>
      <c r="B121" s="11">
        <v>8012719</v>
      </c>
      <c r="C121" s="1" t="s">
        <v>21</v>
      </c>
      <c r="D121" s="1" t="s">
        <v>22</v>
      </c>
      <c r="E121" s="12" t="str">
        <f>IF(LEN(regon9[[#This Row],[Regon]]) = 7,TEXT(regon9[[#This Row],[Regon]],"000000000"),regon9[[#This Row],[Regon]])</f>
        <v>008012719</v>
      </c>
      <c r="F12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21" s="1"/>
      <c r="H12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22" spans="1:8" x14ac:dyDescent="0.25">
      <c r="A122" s="1" t="s">
        <v>159</v>
      </c>
      <c r="B122" s="11">
        <v>8013536</v>
      </c>
      <c r="C122" s="1" t="s">
        <v>21</v>
      </c>
      <c r="D122" s="1" t="s">
        <v>22</v>
      </c>
      <c r="E122" s="12" t="str">
        <f>IF(LEN(regon9[[#This Row],[Regon]]) = 7,TEXT(regon9[[#This Row],[Regon]],"000000000"),regon9[[#This Row],[Regon]])</f>
        <v>008013536</v>
      </c>
      <c r="F12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22" s="1"/>
      <c r="H12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23" spans="1:8" x14ac:dyDescent="0.25">
      <c r="A123" s="1" t="s">
        <v>160</v>
      </c>
      <c r="B123" s="11">
        <v>8014070</v>
      </c>
      <c r="C123" s="1" t="s">
        <v>21</v>
      </c>
      <c r="D123" s="1" t="s">
        <v>161</v>
      </c>
      <c r="E123" s="12" t="str">
        <f>IF(LEN(regon9[[#This Row],[Regon]]) = 7,TEXT(regon9[[#This Row],[Regon]],"000000000"),regon9[[#This Row],[Regon]])</f>
        <v>008014070</v>
      </c>
      <c r="F12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23" s="1"/>
      <c r="H12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24" spans="1:8" x14ac:dyDescent="0.25">
      <c r="A124" s="1" t="s">
        <v>162</v>
      </c>
      <c r="B124" s="11">
        <v>8014112</v>
      </c>
      <c r="C124" s="1" t="s">
        <v>21</v>
      </c>
      <c r="D124" s="1" t="s">
        <v>22</v>
      </c>
      <c r="E124" s="12" t="str">
        <f>IF(LEN(regon9[[#This Row],[Regon]]) = 7,TEXT(regon9[[#This Row],[Regon]],"000000000"),regon9[[#This Row],[Regon]])</f>
        <v>008014112</v>
      </c>
      <c r="F12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24" s="1"/>
      <c r="H12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25" spans="1:8" x14ac:dyDescent="0.25">
      <c r="A125" s="1" t="s">
        <v>163</v>
      </c>
      <c r="B125" s="11">
        <v>8014506</v>
      </c>
      <c r="C125" s="1" t="s">
        <v>21</v>
      </c>
      <c r="D125" s="1" t="s">
        <v>22</v>
      </c>
      <c r="E125" s="12" t="str">
        <f>IF(LEN(regon9[[#This Row],[Regon]]) = 7,TEXT(regon9[[#This Row],[Regon]],"000000000"),regon9[[#This Row],[Regon]])</f>
        <v>008014506</v>
      </c>
      <c r="F12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25" s="1"/>
      <c r="H12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26" spans="1:8" x14ac:dyDescent="0.25">
      <c r="A126" s="1" t="s">
        <v>164</v>
      </c>
      <c r="B126" s="11">
        <v>8017159</v>
      </c>
      <c r="C126" s="1" t="s">
        <v>21</v>
      </c>
      <c r="D126" s="1" t="s">
        <v>165</v>
      </c>
      <c r="E126" s="12" t="str">
        <f>IF(LEN(regon9[[#This Row],[Regon]]) = 7,TEXT(regon9[[#This Row],[Regon]],"000000000"),regon9[[#This Row],[Regon]])</f>
        <v>008017159</v>
      </c>
      <c r="F12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26" s="1"/>
      <c r="H12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27" spans="1:8" x14ac:dyDescent="0.25">
      <c r="A127" s="1" t="s">
        <v>166</v>
      </c>
      <c r="B127" s="11">
        <v>8017456</v>
      </c>
      <c r="C127" s="1" t="s">
        <v>21</v>
      </c>
      <c r="D127" s="1" t="s">
        <v>22</v>
      </c>
      <c r="E127" s="12" t="str">
        <f>IF(LEN(regon9[[#This Row],[Regon]]) = 7,TEXT(regon9[[#This Row],[Regon]],"000000000"),regon9[[#This Row],[Regon]])</f>
        <v>008017456</v>
      </c>
      <c r="F12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27" s="1"/>
      <c r="H12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28" spans="1:8" x14ac:dyDescent="0.25">
      <c r="A128" s="1" t="s">
        <v>167</v>
      </c>
      <c r="B128" s="11">
        <v>8017710</v>
      </c>
      <c r="C128" s="1" t="s">
        <v>21</v>
      </c>
      <c r="D128" s="1" t="s">
        <v>168</v>
      </c>
      <c r="E128" s="12" t="str">
        <f>IF(LEN(regon9[[#This Row],[Regon]]) = 7,TEXT(regon9[[#This Row],[Regon]],"000000000"),regon9[[#This Row],[Regon]])</f>
        <v>008017710</v>
      </c>
      <c r="F12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28" s="1"/>
      <c r="H12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29" spans="1:8" x14ac:dyDescent="0.25">
      <c r="A129" s="1" t="s">
        <v>169</v>
      </c>
      <c r="B129" s="11">
        <v>8018130</v>
      </c>
      <c r="C129" s="1" t="s">
        <v>21</v>
      </c>
      <c r="D129" s="1" t="s">
        <v>170</v>
      </c>
      <c r="E129" s="12" t="str">
        <f>IF(LEN(regon9[[#This Row],[Regon]]) = 7,TEXT(regon9[[#This Row],[Regon]],"000000000"),regon9[[#This Row],[Regon]])</f>
        <v>008018130</v>
      </c>
      <c r="F12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29" s="1"/>
      <c r="H12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30" spans="1:8" x14ac:dyDescent="0.25">
      <c r="A130" s="1" t="s">
        <v>171</v>
      </c>
      <c r="B130" s="11">
        <v>8019635</v>
      </c>
      <c r="C130" s="1" t="s">
        <v>21</v>
      </c>
      <c r="D130" s="1" t="s">
        <v>172</v>
      </c>
      <c r="E130" s="12" t="str">
        <f>IF(LEN(regon9[[#This Row],[Regon]]) = 7,TEXT(regon9[[#This Row],[Regon]],"000000000"),regon9[[#This Row],[Regon]])</f>
        <v>008019635</v>
      </c>
      <c r="F13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30" s="1"/>
      <c r="H13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31" spans="1:8" x14ac:dyDescent="0.25">
      <c r="A131" s="1" t="s">
        <v>173</v>
      </c>
      <c r="B131" s="11">
        <v>8020318</v>
      </c>
      <c r="C131" s="1" t="s">
        <v>21</v>
      </c>
      <c r="D131" s="1" t="s">
        <v>22</v>
      </c>
      <c r="E131" s="12" t="str">
        <f>IF(LEN(regon9[[#This Row],[Regon]]) = 7,TEXT(regon9[[#This Row],[Regon]],"000000000"),regon9[[#This Row],[Regon]])</f>
        <v>008020318</v>
      </c>
      <c r="F13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31" s="1"/>
      <c r="H13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32" spans="1:8" x14ac:dyDescent="0.25">
      <c r="A132" s="1" t="s">
        <v>174</v>
      </c>
      <c r="B132" s="11">
        <v>609818</v>
      </c>
      <c r="C132" s="1" t="s">
        <v>21</v>
      </c>
      <c r="D132" s="1" t="s">
        <v>175</v>
      </c>
      <c r="E132" s="12">
        <f>IF(LEN(regon9[[#This Row],[Regon]]) = 7,TEXT(regon9[[#This Row],[Regon]],"000000000"),regon9[[#This Row],[Regon]])</f>
        <v>609818</v>
      </c>
      <c r="F13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32" s="1"/>
      <c r="H13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33" spans="1:8" x14ac:dyDescent="0.25">
      <c r="A133" s="1" t="s">
        <v>176</v>
      </c>
      <c r="B133" s="11">
        <v>829489</v>
      </c>
      <c r="C133" s="1" t="s">
        <v>21</v>
      </c>
      <c r="D133" s="1" t="s">
        <v>177</v>
      </c>
      <c r="E133" s="12">
        <f>IF(LEN(regon9[[#This Row],[Regon]]) = 7,TEXT(regon9[[#This Row],[Regon]],"000000000"),regon9[[#This Row],[Regon]])</f>
        <v>829489</v>
      </c>
      <c r="F13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33" s="1"/>
      <c r="H13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34" spans="1:8" x14ac:dyDescent="0.25">
      <c r="A134" s="1" t="s">
        <v>178</v>
      </c>
      <c r="B134" s="11">
        <v>8001095</v>
      </c>
      <c r="C134" s="1" t="s">
        <v>21</v>
      </c>
      <c r="D134" s="1" t="s">
        <v>22</v>
      </c>
      <c r="E134" s="12" t="str">
        <f>IF(LEN(regon9[[#This Row],[Regon]]) = 7,TEXT(regon9[[#This Row],[Regon]],"000000000"),regon9[[#This Row],[Regon]])</f>
        <v>008001095</v>
      </c>
      <c r="F13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34" s="1"/>
      <c r="H13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35" spans="1:8" x14ac:dyDescent="0.25">
      <c r="A135" s="1" t="s">
        <v>179</v>
      </c>
      <c r="B135" s="11">
        <v>8003940</v>
      </c>
      <c r="C135" s="1" t="s">
        <v>21</v>
      </c>
      <c r="D135" s="1" t="s">
        <v>180</v>
      </c>
      <c r="E135" s="12" t="str">
        <f>IF(LEN(regon9[[#This Row],[Regon]]) = 7,TEXT(regon9[[#This Row],[Regon]],"000000000"),regon9[[#This Row],[Regon]])</f>
        <v>008003940</v>
      </c>
      <c r="F13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35" s="1"/>
      <c r="H13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36" spans="1:8" x14ac:dyDescent="0.25">
      <c r="A136" s="1" t="s">
        <v>181</v>
      </c>
      <c r="B136" s="11">
        <v>8004484</v>
      </c>
      <c r="C136" s="1" t="s">
        <v>21</v>
      </c>
      <c r="D136" s="1" t="s">
        <v>182</v>
      </c>
      <c r="E136" s="12" t="str">
        <f>IF(LEN(regon9[[#This Row],[Regon]]) = 7,TEXT(regon9[[#This Row],[Regon]],"000000000"),regon9[[#This Row],[Regon]])</f>
        <v>008004484</v>
      </c>
      <c r="F13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36" s="1"/>
      <c r="H13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37" spans="1:8" x14ac:dyDescent="0.25">
      <c r="A137" s="1" t="s">
        <v>183</v>
      </c>
      <c r="B137" s="11">
        <v>8004734</v>
      </c>
      <c r="C137" s="1" t="s">
        <v>21</v>
      </c>
      <c r="D137" s="1" t="s">
        <v>184</v>
      </c>
      <c r="E137" s="12" t="str">
        <f>IF(LEN(regon9[[#This Row],[Regon]]) = 7,TEXT(regon9[[#This Row],[Regon]],"000000000"),regon9[[#This Row],[Regon]])</f>
        <v>008004734</v>
      </c>
      <c r="F13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37" s="1"/>
      <c r="H13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38" spans="1:8" x14ac:dyDescent="0.25">
      <c r="A138" s="1" t="s">
        <v>185</v>
      </c>
      <c r="B138" s="11">
        <v>8008031</v>
      </c>
      <c r="C138" s="1" t="s">
        <v>21</v>
      </c>
      <c r="D138" s="1" t="s">
        <v>186</v>
      </c>
      <c r="E138" s="12" t="str">
        <f>IF(LEN(regon9[[#This Row],[Regon]]) = 7,TEXT(regon9[[#This Row],[Regon]],"000000000"),regon9[[#This Row],[Regon]])</f>
        <v>008008031</v>
      </c>
      <c r="F13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38" s="1"/>
      <c r="H13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39" spans="1:8" x14ac:dyDescent="0.25">
      <c r="A139" s="1" t="s">
        <v>187</v>
      </c>
      <c r="B139" s="11">
        <v>8008492</v>
      </c>
      <c r="C139" s="1" t="s">
        <v>21</v>
      </c>
      <c r="D139" s="1" t="s">
        <v>188</v>
      </c>
      <c r="E139" s="12" t="str">
        <f>IF(LEN(regon9[[#This Row],[Regon]]) = 7,TEXT(regon9[[#This Row],[Regon]],"000000000"),regon9[[#This Row],[Regon]])</f>
        <v>008008492</v>
      </c>
      <c r="F13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39" s="1"/>
      <c r="H13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40" spans="1:8" x14ac:dyDescent="0.25">
      <c r="A140" s="1" t="s">
        <v>189</v>
      </c>
      <c r="B140" s="11">
        <v>8008547</v>
      </c>
      <c r="C140" s="1" t="s">
        <v>21</v>
      </c>
      <c r="D140" s="1" t="s">
        <v>190</v>
      </c>
      <c r="E140" s="12" t="str">
        <f>IF(LEN(regon9[[#This Row],[Regon]]) = 7,TEXT(regon9[[#This Row],[Regon]],"000000000"),regon9[[#This Row],[Regon]])</f>
        <v>008008547</v>
      </c>
      <c r="F14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40" s="1"/>
      <c r="H14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41" spans="1:8" x14ac:dyDescent="0.25">
      <c r="A141" s="1" t="s">
        <v>191</v>
      </c>
      <c r="B141" s="11">
        <v>8009111</v>
      </c>
      <c r="C141" s="1" t="s">
        <v>21</v>
      </c>
      <c r="D141" s="1" t="s">
        <v>22</v>
      </c>
      <c r="E141" s="12" t="str">
        <f>IF(LEN(regon9[[#This Row],[Regon]]) = 7,TEXT(regon9[[#This Row],[Regon]],"000000000"),regon9[[#This Row],[Regon]])</f>
        <v>008009111</v>
      </c>
      <c r="F14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41" s="1"/>
      <c r="H14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42" spans="1:8" x14ac:dyDescent="0.25">
      <c r="A142" s="1" t="s">
        <v>192</v>
      </c>
      <c r="B142" s="11">
        <v>8011001</v>
      </c>
      <c r="C142" s="1" t="s">
        <v>21</v>
      </c>
      <c r="D142" s="1" t="s">
        <v>193</v>
      </c>
      <c r="E142" s="12" t="str">
        <f>IF(LEN(regon9[[#This Row],[Regon]]) = 7,TEXT(regon9[[#This Row],[Regon]],"000000000"),regon9[[#This Row],[Regon]])</f>
        <v>008011001</v>
      </c>
      <c r="F14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42" s="1"/>
      <c r="H14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43" spans="1:8" x14ac:dyDescent="0.25">
      <c r="A143" s="1" t="s">
        <v>194</v>
      </c>
      <c r="B143" s="11">
        <v>8011861</v>
      </c>
      <c r="C143" s="1" t="s">
        <v>21</v>
      </c>
      <c r="D143" s="1" t="s">
        <v>195</v>
      </c>
      <c r="E143" s="12" t="str">
        <f>IF(LEN(regon9[[#This Row],[Regon]]) = 7,TEXT(regon9[[#This Row],[Regon]],"000000000"),regon9[[#This Row],[Regon]])</f>
        <v>008011861</v>
      </c>
      <c r="F14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43" s="1"/>
      <c r="H14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44" spans="1:8" x14ac:dyDescent="0.25">
      <c r="A144" s="1" t="s">
        <v>196</v>
      </c>
      <c r="B144" s="11">
        <v>8014611</v>
      </c>
      <c r="C144" s="1" t="s">
        <v>21</v>
      </c>
      <c r="D144" s="1" t="s">
        <v>172</v>
      </c>
      <c r="E144" s="12" t="str">
        <f>IF(LEN(regon9[[#This Row],[Regon]]) = 7,TEXT(regon9[[#This Row],[Regon]],"000000000"),regon9[[#This Row],[Regon]])</f>
        <v>008014611</v>
      </c>
      <c r="F14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44" s="1"/>
      <c r="H14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45" spans="1:8" x14ac:dyDescent="0.25">
      <c r="A145" s="1" t="s">
        <v>197</v>
      </c>
      <c r="B145" s="11">
        <v>8014827</v>
      </c>
      <c r="C145" s="1" t="s">
        <v>21</v>
      </c>
      <c r="D145" s="1" t="s">
        <v>198</v>
      </c>
      <c r="E145" s="12" t="str">
        <f>IF(LEN(regon9[[#This Row],[Regon]]) = 7,TEXT(regon9[[#This Row],[Regon]],"000000000"),regon9[[#This Row],[Regon]])</f>
        <v>008014827</v>
      </c>
      <c r="F14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45" s="1"/>
      <c r="H14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46" spans="1:8" x14ac:dyDescent="0.25">
      <c r="A146" s="1" t="s">
        <v>199</v>
      </c>
      <c r="B146" s="11">
        <v>8015351</v>
      </c>
      <c r="C146" s="1" t="s">
        <v>21</v>
      </c>
      <c r="D146" s="1" t="s">
        <v>22</v>
      </c>
      <c r="E146" s="12" t="str">
        <f>IF(LEN(regon9[[#This Row],[Regon]]) = 7,TEXT(regon9[[#This Row],[Regon]],"000000000"),regon9[[#This Row],[Regon]])</f>
        <v>008015351</v>
      </c>
      <c r="F14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46" s="1"/>
      <c r="H14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47" spans="1:8" x14ac:dyDescent="0.25">
      <c r="A147" s="1" t="s">
        <v>200</v>
      </c>
      <c r="B147" s="11">
        <v>8018121</v>
      </c>
      <c r="C147" s="1" t="s">
        <v>21</v>
      </c>
      <c r="D147" s="1" t="s">
        <v>22</v>
      </c>
      <c r="E147" s="12" t="str">
        <f>IF(LEN(regon9[[#This Row],[Regon]]) = 7,TEXT(regon9[[#This Row],[Regon]],"000000000"),regon9[[#This Row],[Regon]])</f>
        <v>008018121</v>
      </c>
      <c r="F14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47" s="1"/>
      <c r="H14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48" spans="1:8" x14ac:dyDescent="0.25">
      <c r="A148" s="1" t="s">
        <v>201</v>
      </c>
      <c r="B148" s="11">
        <v>8019317</v>
      </c>
      <c r="C148" s="1" t="s">
        <v>21</v>
      </c>
      <c r="D148" s="1" t="s">
        <v>22</v>
      </c>
      <c r="E148" s="12" t="str">
        <f>IF(LEN(regon9[[#This Row],[Regon]]) = 7,TEXT(regon9[[#This Row],[Regon]],"000000000"),regon9[[#This Row],[Regon]])</f>
        <v>008019317</v>
      </c>
      <c r="F14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48" s="1"/>
      <c r="H14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49" spans="1:8" x14ac:dyDescent="0.25">
      <c r="A149" s="1" t="s">
        <v>202</v>
      </c>
      <c r="B149" s="11">
        <v>8021982</v>
      </c>
      <c r="C149" s="1" t="s">
        <v>21</v>
      </c>
      <c r="D149" s="1" t="s">
        <v>22</v>
      </c>
      <c r="E149" s="12" t="str">
        <f>IF(LEN(regon9[[#This Row],[Regon]]) = 7,TEXT(regon9[[#This Row],[Regon]],"000000000"),regon9[[#This Row],[Regon]])</f>
        <v>008021982</v>
      </c>
      <c r="F14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49" s="1"/>
      <c r="H14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50" spans="1:8" x14ac:dyDescent="0.25">
      <c r="A150" s="1" t="s">
        <v>203</v>
      </c>
      <c r="B150" s="11">
        <v>8024847</v>
      </c>
      <c r="C150" s="1" t="s">
        <v>21</v>
      </c>
      <c r="D150" s="1" t="s">
        <v>204</v>
      </c>
      <c r="E150" s="12" t="str">
        <f>IF(LEN(regon9[[#This Row],[Regon]]) = 7,TEXT(regon9[[#This Row],[Regon]],"000000000"),regon9[[#This Row],[Regon]])</f>
        <v>008024847</v>
      </c>
      <c r="F15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50" s="1"/>
      <c r="H15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51" spans="1:8" x14ac:dyDescent="0.25">
      <c r="A151" s="1" t="s">
        <v>205</v>
      </c>
      <c r="B151" s="11">
        <v>8025057</v>
      </c>
      <c r="C151" s="1" t="s">
        <v>21</v>
      </c>
      <c r="D151" s="1" t="s">
        <v>206</v>
      </c>
      <c r="E151" s="12" t="str">
        <f>IF(LEN(regon9[[#This Row],[Regon]]) = 7,TEXT(regon9[[#This Row],[Regon]],"000000000"),regon9[[#This Row],[Regon]])</f>
        <v>008025057</v>
      </c>
      <c r="F15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51" s="1"/>
      <c r="H15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52" spans="1:8" x14ac:dyDescent="0.25">
      <c r="A152" s="1" t="s">
        <v>207</v>
      </c>
      <c r="B152" s="11">
        <v>8025571</v>
      </c>
      <c r="C152" s="1" t="s">
        <v>21</v>
      </c>
      <c r="D152" s="1" t="s">
        <v>22</v>
      </c>
      <c r="E152" s="12" t="str">
        <f>IF(LEN(regon9[[#This Row],[Regon]]) = 7,TEXT(regon9[[#This Row],[Regon]],"000000000"),regon9[[#This Row],[Regon]])</f>
        <v>008025571</v>
      </c>
      <c r="F15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52" s="1"/>
      <c r="H15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53" spans="1:8" x14ac:dyDescent="0.25">
      <c r="A153" s="1" t="s">
        <v>208</v>
      </c>
      <c r="B153" s="11">
        <v>8028373</v>
      </c>
      <c r="C153" s="1" t="s">
        <v>21</v>
      </c>
      <c r="D153" s="1" t="s">
        <v>22</v>
      </c>
      <c r="E153" s="12" t="str">
        <f>IF(LEN(regon9[[#This Row],[Regon]]) = 7,TEXT(regon9[[#This Row],[Regon]],"000000000"),regon9[[#This Row],[Regon]])</f>
        <v>008028373</v>
      </c>
      <c r="F15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53" s="1"/>
      <c r="H15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54" spans="1:8" x14ac:dyDescent="0.25">
      <c r="A154" s="1" t="s">
        <v>209</v>
      </c>
      <c r="B154" s="11">
        <v>8028408</v>
      </c>
      <c r="C154" s="1" t="s">
        <v>21</v>
      </c>
      <c r="D154" s="1" t="s">
        <v>210</v>
      </c>
      <c r="E154" s="12" t="str">
        <f>IF(LEN(regon9[[#This Row],[Regon]]) = 7,TEXT(regon9[[#This Row],[Regon]],"000000000"),regon9[[#This Row],[Regon]])</f>
        <v>008028408</v>
      </c>
      <c r="F15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54" s="1"/>
      <c r="H15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55" spans="1:8" x14ac:dyDescent="0.25">
      <c r="A155" s="1" t="s">
        <v>211</v>
      </c>
      <c r="B155" s="11">
        <v>8034504</v>
      </c>
      <c r="C155" s="1" t="s">
        <v>21</v>
      </c>
      <c r="D155" s="1" t="s">
        <v>212</v>
      </c>
      <c r="E155" s="12" t="str">
        <f>IF(LEN(regon9[[#This Row],[Regon]]) = 7,TEXT(regon9[[#This Row],[Regon]],"000000000"),regon9[[#This Row],[Regon]])</f>
        <v>008034504</v>
      </c>
      <c r="F15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55" s="1"/>
      <c r="H15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56" spans="1:8" x14ac:dyDescent="0.25">
      <c r="A156" s="1" t="s">
        <v>213</v>
      </c>
      <c r="B156" s="11">
        <v>8035357</v>
      </c>
      <c r="C156" s="1" t="s">
        <v>21</v>
      </c>
      <c r="D156" s="1" t="s">
        <v>22</v>
      </c>
      <c r="E156" s="12" t="str">
        <f>IF(LEN(regon9[[#This Row],[Regon]]) = 7,TEXT(regon9[[#This Row],[Regon]],"000000000"),regon9[[#This Row],[Regon]])</f>
        <v>008035357</v>
      </c>
      <c r="F15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56" s="1"/>
      <c r="H15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57" spans="1:8" x14ac:dyDescent="0.25">
      <c r="A157" s="1" t="s">
        <v>214</v>
      </c>
      <c r="B157" s="11">
        <v>610892</v>
      </c>
      <c r="C157" s="1" t="s">
        <v>21</v>
      </c>
      <c r="D157" s="1" t="s">
        <v>22</v>
      </c>
      <c r="E157" s="12">
        <f>IF(LEN(regon9[[#This Row],[Regon]]) = 7,TEXT(regon9[[#This Row],[Regon]],"000000000"),regon9[[#This Row],[Regon]])</f>
        <v>610892</v>
      </c>
      <c r="F15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57" s="1"/>
      <c r="H15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58" spans="1:8" x14ac:dyDescent="0.25">
      <c r="A158" s="1" t="s">
        <v>215</v>
      </c>
      <c r="B158" s="11">
        <v>838529</v>
      </c>
      <c r="C158" s="1" t="s">
        <v>21</v>
      </c>
      <c r="D158" s="1" t="s">
        <v>22</v>
      </c>
      <c r="E158" s="12">
        <f>IF(LEN(regon9[[#This Row],[Regon]]) = 7,TEXT(regon9[[#This Row],[Regon]],"000000000"),regon9[[#This Row],[Regon]])</f>
        <v>838529</v>
      </c>
      <c r="F15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58" s="1"/>
      <c r="H15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59" spans="1:8" x14ac:dyDescent="0.25">
      <c r="A159" s="1" t="s">
        <v>216</v>
      </c>
      <c r="B159" s="11">
        <v>8002561</v>
      </c>
      <c r="C159" s="1" t="s">
        <v>21</v>
      </c>
      <c r="D159" s="1" t="s">
        <v>22</v>
      </c>
      <c r="E159" s="12" t="str">
        <f>IF(LEN(regon9[[#This Row],[Regon]]) = 7,TEXT(regon9[[#This Row],[Regon]],"000000000"),regon9[[#This Row],[Regon]])</f>
        <v>008002561</v>
      </c>
      <c r="F15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59" s="1"/>
      <c r="H15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60" spans="1:8" x14ac:dyDescent="0.25">
      <c r="A160" s="1" t="s">
        <v>217</v>
      </c>
      <c r="B160" s="11">
        <v>8003925</v>
      </c>
      <c r="C160" s="1" t="s">
        <v>21</v>
      </c>
      <c r="D160" s="1" t="s">
        <v>22</v>
      </c>
      <c r="E160" s="12" t="str">
        <f>IF(LEN(regon9[[#This Row],[Regon]]) = 7,TEXT(regon9[[#This Row],[Regon]],"000000000"),regon9[[#This Row],[Regon]])</f>
        <v>008003925</v>
      </c>
      <c r="F16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60" s="1"/>
      <c r="H16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61" spans="1:8" x14ac:dyDescent="0.25">
      <c r="A161" s="1" t="s">
        <v>218</v>
      </c>
      <c r="B161" s="11">
        <v>8008185</v>
      </c>
      <c r="C161" s="1" t="s">
        <v>21</v>
      </c>
      <c r="D161" s="1" t="s">
        <v>219</v>
      </c>
      <c r="E161" s="12" t="str">
        <f>IF(LEN(regon9[[#This Row],[Regon]]) = 7,TEXT(regon9[[#This Row],[Regon]],"000000000"),regon9[[#This Row],[Regon]])</f>
        <v>008008185</v>
      </c>
      <c r="F16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61" s="1"/>
      <c r="H16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62" spans="1:8" x14ac:dyDescent="0.25">
      <c r="A162" s="1" t="s">
        <v>220</v>
      </c>
      <c r="B162" s="11">
        <v>8010135</v>
      </c>
      <c r="C162" s="1" t="s">
        <v>21</v>
      </c>
      <c r="D162" s="1" t="s">
        <v>221</v>
      </c>
      <c r="E162" s="12" t="str">
        <f>IF(LEN(regon9[[#This Row],[Regon]]) = 7,TEXT(regon9[[#This Row],[Regon]],"000000000"),regon9[[#This Row],[Regon]])</f>
        <v>008010135</v>
      </c>
      <c r="F16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62" s="1"/>
      <c r="H16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63" spans="1:8" x14ac:dyDescent="0.25">
      <c r="A163" s="1" t="s">
        <v>222</v>
      </c>
      <c r="B163" s="11">
        <v>8016181</v>
      </c>
      <c r="C163" s="1" t="s">
        <v>21</v>
      </c>
      <c r="D163" s="1" t="s">
        <v>22</v>
      </c>
      <c r="E163" s="12" t="str">
        <f>IF(LEN(regon9[[#This Row],[Regon]]) = 7,TEXT(regon9[[#This Row],[Regon]],"000000000"),regon9[[#This Row],[Regon]])</f>
        <v>008016181</v>
      </c>
      <c r="F16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63" s="1"/>
      <c r="H16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64" spans="1:8" x14ac:dyDescent="0.25">
      <c r="A164" s="1" t="s">
        <v>223</v>
      </c>
      <c r="B164" s="11">
        <v>8017002</v>
      </c>
      <c r="C164" s="1" t="s">
        <v>21</v>
      </c>
      <c r="D164" s="1" t="s">
        <v>22</v>
      </c>
      <c r="E164" s="12" t="str">
        <f>IF(LEN(regon9[[#This Row],[Regon]]) = 7,TEXT(regon9[[#This Row],[Regon]],"000000000"),regon9[[#This Row],[Regon]])</f>
        <v>008017002</v>
      </c>
      <c r="F16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64" s="1"/>
      <c r="H16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65" spans="1:8" x14ac:dyDescent="0.25">
      <c r="A165" s="1" t="s">
        <v>224</v>
      </c>
      <c r="B165" s="11">
        <v>8022853</v>
      </c>
      <c r="C165" s="1" t="s">
        <v>21</v>
      </c>
      <c r="D165" s="1" t="s">
        <v>225</v>
      </c>
      <c r="E165" s="12" t="str">
        <f>IF(LEN(regon9[[#This Row],[Regon]]) = 7,TEXT(regon9[[#This Row],[Regon]],"000000000"),regon9[[#This Row],[Regon]])</f>
        <v>008022853</v>
      </c>
      <c r="F16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65" s="1"/>
      <c r="H16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66" spans="1:8" x14ac:dyDescent="0.25">
      <c r="A166" s="1" t="s">
        <v>226</v>
      </c>
      <c r="B166" s="11">
        <v>8027799</v>
      </c>
      <c r="C166" s="1" t="s">
        <v>21</v>
      </c>
      <c r="D166" s="1" t="s">
        <v>22</v>
      </c>
      <c r="E166" s="12" t="str">
        <f>IF(LEN(regon9[[#This Row],[Regon]]) = 7,TEXT(regon9[[#This Row],[Regon]],"000000000"),regon9[[#This Row],[Regon]])</f>
        <v>008027799</v>
      </c>
      <c r="F16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66" s="1"/>
      <c r="H16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67" spans="1:8" x14ac:dyDescent="0.25">
      <c r="A167" s="1" t="s">
        <v>227</v>
      </c>
      <c r="B167" s="11">
        <v>8029989</v>
      </c>
      <c r="C167" s="1" t="s">
        <v>21</v>
      </c>
      <c r="D167" s="1" t="s">
        <v>73</v>
      </c>
      <c r="E167" s="12" t="str">
        <f>IF(LEN(regon9[[#This Row],[Regon]]) = 7,TEXT(regon9[[#This Row],[Regon]],"000000000"),regon9[[#This Row],[Regon]])</f>
        <v>008029989</v>
      </c>
      <c r="F16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67" s="1"/>
      <c r="H16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68" spans="1:8" x14ac:dyDescent="0.25">
      <c r="A168" s="1" t="s">
        <v>228</v>
      </c>
      <c r="B168" s="11">
        <v>8033825</v>
      </c>
      <c r="C168" s="1" t="s">
        <v>21</v>
      </c>
      <c r="D168" s="1" t="s">
        <v>229</v>
      </c>
      <c r="E168" s="12" t="str">
        <f>IF(LEN(regon9[[#This Row],[Regon]]) = 7,TEXT(regon9[[#This Row],[Regon]],"000000000"),regon9[[#This Row],[Regon]])</f>
        <v>008033825</v>
      </c>
      <c r="F16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68" s="1"/>
      <c r="H16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69" spans="1:8" x14ac:dyDescent="0.25">
      <c r="A169" s="1" t="s">
        <v>230</v>
      </c>
      <c r="B169" s="11">
        <v>8033827</v>
      </c>
      <c r="C169" s="1" t="s">
        <v>21</v>
      </c>
      <c r="D169" s="1" t="s">
        <v>22</v>
      </c>
      <c r="E169" s="12" t="str">
        <f>IF(LEN(regon9[[#This Row],[Regon]]) = 7,TEXT(regon9[[#This Row],[Regon]],"000000000"),regon9[[#This Row],[Regon]])</f>
        <v>008033827</v>
      </c>
      <c r="F16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69" s="1"/>
      <c r="H16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70" spans="1:8" x14ac:dyDescent="0.25">
      <c r="A170" s="1" t="s">
        <v>231</v>
      </c>
      <c r="B170" s="11">
        <v>8041699</v>
      </c>
      <c r="C170" s="1" t="s">
        <v>21</v>
      </c>
      <c r="D170" s="1" t="s">
        <v>22</v>
      </c>
      <c r="E170" s="12" t="str">
        <f>IF(LEN(regon9[[#This Row],[Regon]]) = 7,TEXT(regon9[[#This Row],[Regon]],"000000000"),regon9[[#This Row],[Regon]])</f>
        <v>008041699</v>
      </c>
      <c r="F17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70" s="1"/>
      <c r="H17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71" spans="1:8" x14ac:dyDescent="0.25">
      <c r="A171" s="1" t="s">
        <v>232</v>
      </c>
      <c r="B171" s="11">
        <v>8052384</v>
      </c>
      <c r="C171" s="1" t="s">
        <v>21</v>
      </c>
      <c r="D171" s="1" t="s">
        <v>22</v>
      </c>
      <c r="E171" s="12" t="str">
        <f>IF(LEN(regon9[[#This Row],[Regon]]) = 7,TEXT(regon9[[#This Row],[Regon]],"000000000"),regon9[[#This Row],[Regon]])</f>
        <v>008052384</v>
      </c>
      <c r="F17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71" s="1"/>
      <c r="H17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72" spans="1:8" x14ac:dyDescent="0.25">
      <c r="A172" s="1" t="s">
        <v>233</v>
      </c>
      <c r="B172" s="11">
        <v>8111133</v>
      </c>
      <c r="C172" s="1" t="s">
        <v>21</v>
      </c>
      <c r="D172" s="1" t="s">
        <v>234</v>
      </c>
      <c r="E172" s="12" t="str">
        <f>IF(LEN(regon9[[#This Row],[Regon]]) = 7,TEXT(regon9[[#This Row],[Regon]],"000000000"),regon9[[#This Row],[Regon]])</f>
        <v>008111133</v>
      </c>
      <c r="F17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72" s="1"/>
      <c r="H17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73" spans="1:8" x14ac:dyDescent="0.25">
      <c r="A173" s="1" t="s">
        <v>235</v>
      </c>
      <c r="B173" s="11">
        <v>8114896</v>
      </c>
      <c r="C173" s="1" t="s">
        <v>21</v>
      </c>
      <c r="D173" s="1" t="s">
        <v>22</v>
      </c>
      <c r="E173" s="12" t="str">
        <f>IF(LEN(regon9[[#This Row],[Regon]]) = 7,TEXT(regon9[[#This Row],[Regon]],"000000000"),regon9[[#This Row],[Regon]])</f>
        <v>008114896</v>
      </c>
      <c r="F17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73" s="1"/>
      <c r="H17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74" spans="1:8" x14ac:dyDescent="0.25">
      <c r="A174" s="1" t="s">
        <v>236</v>
      </c>
      <c r="B174" s="11">
        <v>36029649</v>
      </c>
      <c r="C174" s="1" t="s">
        <v>21</v>
      </c>
      <c r="D174" s="1" t="s">
        <v>22</v>
      </c>
      <c r="E174" s="12">
        <f>IF(LEN(regon9[[#This Row],[Regon]]) = 7,TEXT(regon9[[#This Row],[Regon]],"000000000"),regon9[[#This Row],[Regon]])</f>
        <v>36029649</v>
      </c>
      <c r="F17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174" s="1"/>
      <c r="H17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75" spans="1:8" x14ac:dyDescent="0.25">
      <c r="A175" s="1" t="s">
        <v>237</v>
      </c>
      <c r="B175" s="11">
        <v>36040981</v>
      </c>
      <c r="C175" s="1" t="s">
        <v>21</v>
      </c>
      <c r="D175" s="1" t="s">
        <v>22</v>
      </c>
      <c r="E175" s="12">
        <f>IF(LEN(regon9[[#This Row],[Regon]]) = 7,TEXT(regon9[[#This Row],[Regon]],"000000000"),regon9[[#This Row],[Regon]])</f>
        <v>36040981</v>
      </c>
      <c r="F17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175" s="1"/>
      <c r="H17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76" spans="1:8" x14ac:dyDescent="0.25">
      <c r="A176" s="1" t="s">
        <v>238</v>
      </c>
      <c r="B176" s="11">
        <v>36091100</v>
      </c>
      <c r="C176" s="1" t="s">
        <v>21</v>
      </c>
      <c r="D176" s="1" t="s">
        <v>239</v>
      </c>
      <c r="E176" s="12">
        <f>IF(LEN(regon9[[#This Row],[Regon]]) = 7,TEXT(regon9[[#This Row],[Regon]],"000000000"),regon9[[#This Row],[Regon]])</f>
        <v>36091100</v>
      </c>
      <c r="F17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176" s="1"/>
      <c r="H17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77" spans="1:8" x14ac:dyDescent="0.25">
      <c r="A177" s="1" t="s">
        <v>240</v>
      </c>
      <c r="B177" s="11">
        <v>36234546</v>
      </c>
      <c r="C177" s="1" t="s">
        <v>21</v>
      </c>
      <c r="D177" s="1" t="s">
        <v>22</v>
      </c>
      <c r="E177" s="12">
        <f>IF(LEN(regon9[[#This Row],[Regon]]) = 7,TEXT(regon9[[#This Row],[Regon]],"000000000"),regon9[[#This Row],[Regon]])</f>
        <v>36234546</v>
      </c>
      <c r="F17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177" s="1"/>
      <c r="H17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78" spans="1:8" x14ac:dyDescent="0.25">
      <c r="A178" s="1" t="s">
        <v>241</v>
      </c>
      <c r="B178" s="11">
        <v>47132013</v>
      </c>
      <c r="C178" s="1" t="s">
        <v>21</v>
      </c>
      <c r="D178" s="1" t="s">
        <v>22</v>
      </c>
      <c r="E178" s="12">
        <f>IF(LEN(regon9[[#This Row],[Regon]]) = 7,TEXT(regon9[[#This Row],[Regon]],"000000000"),regon9[[#This Row],[Regon]])</f>
        <v>47132013</v>
      </c>
      <c r="F17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178" s="1"/>
      <c r="H17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79" spans="1:8" x14ac:dyDescent="0.25">
      <c r="A179" s="1" t="s">
        <v>242</v>
      </c>
      <c r="B179" s="11">
        <v>97014430</v>
      </c>
      <c r="C179" s="1" t="s">
        <v>21</v>
      </c>
      <c r="D179" s="1" t="s">
        <v>243</v>
      </c>
      <c r="E179" s="12">
        <f>IF(LEN(regon9[[#This Row],[Regon]]) = 7,TEXT(regon9[[#This Row],[Regon]],"000000000"),regon9[[#This Row],[Regon]])</f>
        <v>97014430</v>
      </c>
      <c r="F17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179" s="1"/>
      <c r="H17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80" spans="1:8" x14ac:dyDescent="0.25">
      <c r="A180" s="1" t="s">
        <v>244</v>
      </c>
      <c r="B180" s="11">
        <v>97014482</v>
      </c>
      <c r="C180" s="1" t="s">
        <v>21</v>
      </c>
      <c r="D180" s="1" t="s">
        <v>22</v>
      </c>
      <c r="E180" s="12">
        <f>IF(LEN(regon9[[#This Row],[Regon]]) = 7,TEXT(regon9[[#This Row],[Regon]],"000000000"),regon9[[#This Row],[Regon]])</f>
        <v>97014482</v>
      </c>
      <c r="F18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180" s="1"/>
      <c r="H18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81" spans="1:8" x14ac:dyDescent="0.25">
      <c r="A181" s="1" t="s">
        <v>245</v>
      </c>
      <c r="B181" s="11">
        <v>97025217</v>
      </c>
      <c r="C181" s="1" t="s">
        <v>21</v>
      </c>
      <c r="D181" s="1" t="s">
        <v>22</v>
      </c>
      <c r="E181" s="12">
        <f>IF(LEN(regon9[[#This Row],[Regon]]) = 7,TEXT(regon9[[#This Row],[Regon]],"000000000"),regon9[[#This Row],[Regon]])</f>
        <v>97025217</v>
      </c>
      <c r="F18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181" s="1"/>
      <c r="H18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82" spans="1:8" x14ac:dyDescent="0.25">
      <c r="A182" s="1" t="s">
        <v>246</v>
      </c>
      <c r="B182" s="11">
        <v>97027980</v>
      </c>
      <c r="C182" s="1" t="s">
        <v>21</v>
      </c>
      <c r="D182" s="1" t="s">
        <v>22</v>
      </c>
      <c r="E182" s="12">
        <f>IF(LEN(regon9[[#This Row],[Regon]]) = 7,TEXT(regon9[[#This Row],[Regon]],"000000000"),regon9[[#This Row],[Regon]])</f>
        <v>97027980</v>
      </c>
      <c r="F18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182" s="1"/>
      <c r="H18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83" spans="1:8" x14ac:dyDescent="0.25">
      <c r="A183" s="1" t="s">
        <v>247</v>
      </c>
      <c r="B183" s="11">
        <v>97039304</v>
      </c>
      <c r="C183" s="1" t="s">
        <v>21</v>
      </c>
      <c r="D183" s="1" t="s">
        <v>248</v>
      </c>
      <c r="E183" s="12">
        <f>IF(LEN(regon9[[#This Row],[Regon]]) = 7,TEXT(regon9[[#This Row],[Regon]],"000000000"),regon9[[#This Row],[Regon]])</f>
        <v>97039304</v>
      </c>
      <c r="F18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183" s="1"/>
      <c r="H18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84" spans="1:8" x14ac:dyDescent="0.25">
      <c r="A184" s="1" t="s">
        <v>249</v>
      </c>
      <c r="B184" s="11">
        <v>97072523</v>
      </c>
      <c r="C184" s="1" t="s">
        <v>21</v>
      </c>
      <c r="D184" s="1" t="s">
        <v>250</v>
      </c>
      <c r="E184" s="12">
        <f>IF(LEN(regon9[[#This Row],[Regon]]) = 7,TEXT(regon9[[#This Row],[Regon]],"000000000"),regon9[[#This Row],[Regon]])</f>
        <v>97072523</v>
      </c>
      <c r="F18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184" s="1"/>
      <c r="H18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85" spans="1:8" x14ac:dyDescent="0.25">
      <c r="A185" s="1" t="s">
        <v>251</v>
      </c>
      <c r="B185" s="11">
        <v>97077880</v>
      </c>
      <c r="C185" s="1" t="s">
        <v>21</v>
      </c>
      <c r="D185" s="1" t="s">
        <v>252</v>
      </c>
      <c r="E185" s="12">
        <f>IF(LEN(regon9[[#This Row],[Regon]]) = 7,TEXT(regon9[[#This Row],[Regon]],"000000000"),regon9[[#This Row],[Regon]])</f>
        <v>97077880</v>
      </c>
      <c r="F18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185" s="1"/>
      <c r="H18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86" spans="1:8" x14ac:dyDescent="0.25">
      <c r="A186" s="1" t="s">
        <v>253</v>
      </c>
      <c r="B186" s="11">
        <v>97118296</v>
      </c>
      <c r="C186" s="1" t="s">
        <v>21</v>
      </c>
      <c r="D186" s="1" t="s">
        <v>65</v>
      </c>
      <c r="E186" s="12">
        <f>IF(LEN(regon9[[#This Row],[Regon]]) = 7,TEXT(regon9[[#This Row],[Regon]],"000000000"),regon9[[#This Row],[Regon]])</f>
        <v>97118296</v>
      </c>
      <c r="F18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186" s="1"/>
      <c r="H18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87" spans="1:8" x14ac:dyDescent="0.25">
      <c r="A187" s="1" t="s">
        <v>254</v>
      </c>
      <c r="B187" s="11">
        <v>97127002</v>
      </c>
      <c r="C187" s="1" t="s">
        <v>21</v>
      </c>
      <c r="D187" s="1" t="s">
        <v>22</v>
      </c>
      <c r="E187" s="12">
        <f>IF(LEN(regon9[[#This Row],[Regon]]) = 7,TEXT(regon9[[#This Row],[Regon]],"000000000"),regon9[[#This Row],[Regon]])</f>
        <v>97127002</v>
      </c>
      <c r="F18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187" s="1"/>
      <c r="H18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88" spans="1:8" x14ac:dyDescent="0.25">
      <c r="A188" s="1" t="s">
        <v>255</v>
      </c>
      <c r="B188" s="11">
        <v>97790478</v>
      </c>
      <c r="C188" s="1" t="s">
        <v>21</v>
      </c>
      <c r="D188" s="1" t="s">
        <v>22</v>
      </c>
      <c r="E188" s="12">
        <f>IF(LEN(regon9[[#This Row],[Regon]]) = 7,TEXT(regon9[[#This Row],[Regon]],"000000000"),regon9[[#This Row],[Regon]])</f>
        <v>97790478</v>
      </c>
      <c r="F18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188" s="1"/>
      <c r="H18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89" spans="1:8" x14ac:dyDescent="0.25">
      <c r="A189" s="1" t="s">
        <v>256</v>
      </c>
      <c r="B189" s="11">
        <v>97790673</v>
      </c>
      <c r="C189" s="1" t="s">
        <v>21</v>
      </c>
      <c r="D189" s="1" t="s">
        <v>22</v>
      </c>
      <c r="E189" s="12">
        <f>IF(LEN(regon9[[#This Row],[Regon]]) = 7,TEXT(regon9[[#This Row],[Regon]],"000000000"),regon9[[#This Row],[Regon]])</f>
        <v>97790673</v>
      </c>
      <c r="F18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189" s="1"/>
      <c r="H18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90" spans="1:8" x14ac:dyDescent="0.25">
      <c r="A190" s="1" t="s">
        <v>257</v>
      </c>
      <c r="B190" s="11">
        <v>97805753</v>
      </c>
      <c r="C190" s="1" t="s">
        <v>21</v>
      </c>
      <c r="D190" s="1" t="s">
        <v>22</v>
      </c>
      <c r="E190" s="12">
        <f>IF(LEN(regon9[[#This Row],[Regon]]) = 7,TEXT(regon9[[#This Row],[Regon]],"000000000"),regon9[[#This Row],[Regon]])</f>
        <v>97805753</v>
      </c>
      <c r="F19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190" s="1"/>
      <c r="H19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91" spans="1:8" x14ac:dyDescent="0.25">
      <c r="A191" s="1" t="s">
        <v>258</v>
      </c>
      <c r="B191" s="11">
        <v>97809307</v>
      </c>
      <c r="C191" s="1" t="s">
        <v>21</v>
      </c>
      <c r="D191" s="1" t="s">
        <v>22</v>
      </c>
      <c r="E191" s="12">
        <f>IF(LEN(regon9[[#This Row],[Regon]]) = 7,TEXT(regon9[[#This Row],[Regon]],"000000000"),regon9[[#This Row],[Regon]])</f>
        <v>97809307</v>
      </c>
      <c r="F19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191" s="1"/>
      <c r="H19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92" spans="1:8" x14ac:dyDescent="0.25">
      <c r="A192" s="1" t="s">
        <v>259</v>
      </c>
      <c r="B192" s="11">
        <v>97810052</v>
      </c>
      <c r="C192" s="1" t="s">
        <v>21</v>
      </c>
      <c r="D192" s="1" t="s">
        <v>22</v>
      </c>
      <c r="E192" s="12">
        <f>IF(LEN(regon9[[#This Row],[Regon]]) = 7,TEXT(regon9[[#This Row],[Regon]],"000000000"),regon9[[#This Row],[Regon]])</f>
        <v>97810052</v>
      </c>
      <c r="F19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192" s="1"/>
      <c r="H19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93" spans="1:8" x14ac:dyDescent="0.25">
      <c r="A193" s="1" t="s">
        <v>260</v>
      </c>
      <c r="B193" s="11">
        <v>97810156</v>
      </c>
      <c r="C193" s="1" t="s">
        <v>21</v>
      </c>
      <c r="D193" s="1" t="s">
        <v>261</v>
      </c>
      <c r="E193" s="12">
        <f>IF(LEN(regon9[[#This Row],[Regon]]) = 7,TEXT(regon9[[#This Row],[Regon]],"000000000"),regon9[[#This Row],[Regon]])</f>
        <v>97810156</v>
      </c>
      <c r="F19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193" s="1"/>
      <c r="H19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94" spans="1:8" x14ac:dyDescent="0.25">
      <c r="A194" s="1" t="s">
        <v>262</v>
      </c>
      <c r="B194" s="11">
        <v>611056</v>
      </c>
      <c r="C194" s="1" t="s">
        <v>45</v>
      </c>
      <c r="D194" s="1" t="s">
        <v>263</v>
      </c>
      <c r="E194" s="12">
        <f>IF(LEN(regon9[[#This Row],[Regon]]) = 7,TEXT(regon9[[#This Row],[Regon]],"000000000"),regon9[[#This Row],[Regon]])</f>
        <v>611056</v>
      </c>
      <c r="F19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194" s="1"/>
      <c r="H19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95" spans="1:8" x14ac:dyDescent="0.25">
      <c r="A195" s="1" t="s">
        <v>264</v>
      </c>
      <c r="B195" s="11">
        <v>8004045</v>
      </c>
      <c r="C195" s="1" t="s">
        <v>45</v>
      </c>
      <c r="D195" s="1" t="s">
        <v>22</v>
      </c>
      <c r="E195" s="12" t="str">
        <f>IF(LEN(regon9[[#This Row],[Regon]]) = 7,TEXT(regon9[[#This Row],[Regon]],"000000000"),regon9[[#This Row],[Regon]])</f>
        <v>008004045</v>
      </c>
      <c r="F19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95" s="1"/>
      <c r="H19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96" spans="1:8" x14ac:dyDescent="0.25">
      <c r="A196" s="1" t="s">
        <v>265</v>
      </c>
      <c r="B196" s="11">
        <v>8004739</v>
      </c>
      <c r="C196" s="1" t="s">
        <v>45</v>
      </c>
      <c r="D196" s="1" t="s">
        <v>22</v>
      </c>
      <c r="E196" s="12" t="str">
        <f>IF(LEN(regon9[[#This Row],[Regon]]) = 7,TEXT(regon9[[#This Row],[Regon]],"000000000"),regon9[[#This Row],[Regon]])</f>
        <v>008004739</v>
      </c>
      <c r="F19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96" s="1"/>
      <c r="H19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97" spans="1:8" x14ac:dyDescent="0.25">
      <c r="A197" s="1" t="s">
        <v>266</v>
      </c>
      <c r="B197" s="11">
        <v>8005657</v>
      </c>
      <c r="C197" s="1" t="s">
        <v>45</v>
      </c>
      <c r="D197" s="1" t="s">
        <v>22</v>
      </c>
      <c r="E197" s="12" t="str">
        <f>IF(LEN(regon9[[#This Row],[Regon]]) = 7,TEXT(regon9[[#This Row],[Regon]],"000000000"),regon9[[#This Row],[Regon]])</f>
        <v>008005657</v>
      </c>
      <c r="F19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97" s="1"/>
      <c r="H19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98" spans="1:8" x14ac:dyDescent="0.25">
      <c r="A198" s="1" t="s">
        <v>267</v>
      </c>
      <c r="B198" s="11">
        <v>8006908</v>
      </c>
      <c r="C198" s="1" t="s">
        <v>45</v>
      </c>
      <c r="D198" s="1" t="s">
        <v>22</v>
      </c>
      <c r="E198" s="12" t="str">
        <f>IF(LEN(regon9[[#This Row],[Regon]]) = 7,TEXT(regon9[[#This Row],[Regon]],"000000000"),regon9[[#This Row],[Regon]])</f>
        <v>008006908</v>
      </c>
      <c r="F19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98" s="1"/>
      <c r="H19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199" spans="1:8" x14ac:dyDescent="0.25">
      <c r="A199" s="1" t="s">
        <v>268</v>
      </c>
      <c r="B199" s="11">
        <v>8014005</v>
      </c>
      <c r="C199" s="1" t="s">
        <v>45</v>
      </c>
      <c r="D199" s="1" t="s">
        <v>22</v>
      </c>
      <c r="E199" s="12" t="str">
        <f>IF(LEN(regon9[[#This Row],[Regon]]) = 7,TEXT(regon9[[#This Row],[Regon]],"000000000"),regon9[[#This Row],[Regon]])</f>
        <v>008014005</v>
      </c>
      <c r="F19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199" s="1"/>
      <c r="H19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00" spans="1:8" x14ac:dyDescent="0.25">
      <c r="A200" s="1" t="s">
        <v>269</v>
      </c>
      <c r="B200" s="11">
        <v>8106928</v>
      </c>
      <c r="C200" s="1" t="s">
        <v>45</v>
      </c>
      <c r="D200" s="1" t="s">
        <v>22</v>
      </c>
      <c r="E200" s="12" t="str">
        <f>IF(LEN(regon9[[#This Row],[Regon]]) = 7,TEXT(regon9[[#This Row],[Regon]],"000000000"),regon9[[#This Row],[Regon]])</f>
        <v>008106928</v>
      </c>
      <c r="F20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200" s="1"/>
      <c r="H20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01" spans="1:8" x14ac:dyDescent="0.25">
      <c r="A201" s="1" t="s">
        <v>270</v>
      </c>
      <c r="B201" s="11">
        <v>8109142</v>
      </c>
      <c r="C201" s="1" t="s">
        <v>45</v>
      </c>
      <c r="D201" s="1" t="s">
        <v>22</v>
      </c>
      <c r="E201" s="12" t="str">
        <f>IF(LEN(regon9[[#This Row],[Regon]]) = 7,TEXT(regon9[[#This Row],[Regon]],"000000000"),regon9[[#This Row],[Regon]])</f>
        <v>008109142</v>
      </c>
      <c r="F20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201" s="1"/>
      <c r="H20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02" spans="1:8" x14ac:dyDescent="0.25">
      <c r="A202" s="1" t="s">
        <v>271</v>
      </c>
      <c r="B202" s="11">
        <v>8109971</v>
      </c>
      <c r="C202" s="1" t="s">
        <v>45</v>
      </c>
      <c r="D202" s="1" t="s">
        <v>22</v>
      </c>
      <c r="E202" s="12" t="str">
        <f>IF(LEN(regon9[[#This Row],[Regon]]) = 7,TEXT(regon9[[#This Row],[Regon]],"000000000"),regon9[[#This Row],[Regon]])</f>
        <v>008109971</v>
      </c>
      <c r="F20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202" s="1"/>
      <c r="H20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03" spans="1:8" x14ac:dyDescent="0.25">
      <c r="A203" s="1" t="s">
        <v>272</v>
      </c>
      <c r="B203" s="11">
        <v>8110488</v>
      </c>
      <c r="C203" s="1" t="s">
        <v>45</v>
      </c>
      <c r="D203" s="1" t="s">
        <v>22</v>
      </c>
      <c r="E203" s="12" t="str">
        <f>IF(LEN(regon9[[#This Row],[Regon]]) = 7,TEXT(regon9[[#This Row],[Regon]],"000000000"),regon9[[#This Row],[Regon]])</f>
        <v>008110488</v>
      </c>
      <c r="F20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203" s="1"/>
      <c r="H20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04" spans="1:8" x14ac:dyDescent="0.25">
      <c r="A204" s="1" t="s">
        <v>273</v>
      </c>
      <c r="B204" s="11">
        <v>8110489</v>
      </c>
      <c r="C204" s="1" t="s">
        <v>45</v>
      </c>
      <c r="D204" s="1" t="s">
        <v>22</v>
      </c>
      <c r="E204" s="12" t="str">
        <f>IF(LEN(regon9[[#This Row],[Regon]]) = 7,TEXT(regon9[[#This Row],[Regon]],"000000000"),regon9[[#This Row],[Regon]])</f>
        <v>008110489</v>
      </c>
      <c r="F20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204" s="1"/>
      <c r="H20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05" spans="1:8" x14ac:dyDescent="0.25">
      <c r="A205" s="1" t="s">
        <v>274</v>
      </c>
      <c r="B205" s="11">
        <v>8121073</v>
      </c>
      <c r="C205" s="1" t="s">
        <v>45</v>
      </c>
      <c r="D205" s="1" t="s">
        <v>22</v>
      </c>
      <c r="E205" s="12" t="str">
        <f>IF(LEN(regon9[[#This Row],[Regon]]) = 7,TEXT(regon9[[#This Row],[Regon]],"000000000"),regon9[[#This Row],[Regon]])</f>
        <v>008121073</v>
      </c>
      <c r="F20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205" s="1"/>
      <c r="H20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06" spans="1:8" x14ac:dyDescent="0.25">
      <c r="A206" s="1" t="s">
        <v>275</v>
      </c>
      <c r="B206" s="11">
        <v>8121111</v>
      </c>
      <c r="C206" s="1" t="s">
        <v>45</v>
      </c>
      <c r="D206" s="1" t="s">
        <v>22</v>
      </c>
      <c r="E206" s="12" t="str">
        <f>IF(LEN(regon9[[#This Row],[Regon]]) = 7,TEXT(regon9[[#This Row],[Regon]],"000000000"),regon9[[#This Row],[Regon]])</f>
        <v>008121111</v>
      </c>
      <c r="F20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206" s="1"/>
      <c r="H20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07" spans="1:8" x14ac:dyDescent="0.25">
      <c r="A207" s="1" t="s">
        <v>276</v>
      </c>
      <c r="B207" s="11">
        <v>36031760</v>
      </c>
      <c r="C207" s="1" t="s">
        <v>45</v>
      </c>
      <c r="D207" s="1" t="s">
        <v>22</v>
      </c>
      <c r="E207" s="12">
        <f>IF(LEN(regon9[[#This Row],[Regon]]) = 7,TEXT(regon9[[#This Row],[Regon]],"000000000"),regon9[[#This Row],[Regon]])</f>
        <v>36031760</v>
      </c>
      <c r="F20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207" s="1"/>
      <c r="H20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08" spans="1:8" x14ac:dyDescent="0.25">
      <c r="A208" s="1" t="s">
        <v>277</v>
      </c>
      <c r="B208" s="11">
        <v>36066732</v>
      </c>
      <c r="C208" s="1" t="s">
        <v>45</v>
      </c>
      <c r="D208" s="1" t="s">
        <v>22</v>
      </c>
      <c r="E208" s="12">
        <f>IF(LEN(regon9[[#This Row],[Regon]]) = 7,TEXT(regon9[[#This Row],[Regon]],"000000000"),regon9[[#This Row],[Regon]])</f>
        <v>36066732</v>
      </c>
      <c r="F20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208" s="1"/>
      <c r="H20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09" spans="1:8" x14ac:dyDescent="0.25">
      <c r="A209" s="1" t="s">
        <v>278</v>
      </c>
      <c r="B209" s="11">
        <v>97026080</v>
      </c>
      <c r="C209" s="1" t="s">
        <v>45</v>
      </c>
      <c r="D209" s="1" t="s">
        <v>22</v>
      </c>
      <c r="E209" s="12">
        <f>IF(LEN(regon9[[#This Row],[Regon]]) = 7,TEXT(regon9[[#This Row],[Regon]],"000000000"),regon9[[#This Row],[Regon]])</f>
        <v>97026080</v>
      </c>
      <c r="F20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209" s="1"/>
      <c r="H20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10" spans="1:8" x14ac:dyDescent="0.25">
      <c r="A210" s="1" t="s">
        <v>279</v>
      </c>
      <c r="B210" s="11">
        <v>97045622</v>
      </c>
      <c r="C210" s="1" t="s">
        <v>45</v>
      </c>
      <c r="D210" s="1" t="s">
        <v>280</v>
      </c>
      <c r="E210" s="12">
        <f>IF(LEN(regon9[[#This Row],[Regon]]) = 7,TEXT(regon9[[#This Row],[Regon]],"000000000"),regon9[[#This Row],[Regon]])</f>
        <v>97045622</v>
      </c>
      <c r="F21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210" s="1"/>
      <c r="H21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11" spans="1:8" x14ac:dyDescent="0.25">
      <c r="A211" s="1" t="s">
        <v>281</v>
      </c>
      <c r="B211" s="11">
        <v>97065133</v>
      </c>
      <c r="C211" s="1" t="s">
        <v>45</v>
      </c>
      <c r="D211" s="1" t="s">
        <v>22</v>
      </c>
      <c r="E211" s="12">
        <f>IF(LEN(regon9[[#This Row],[Regon]]) = 7,TEXT(regon9[[#This Row],[Regon]],"000000000"),regon9[[#This Row],[Regon]])</f>
        <v>97065133</v>
      </c>
      <c r="F21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211" s="1"/>
      <c r="H21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12" spans="1:8" x14ac:dyDescent="0.25">
      <c r="A212" s="1" t="s">
        <v>282</v>
      </c>
      <c r="B212" s="11">
        <v>97801068</v>
      </c>
      <c r="C212" s="1" t="s">
        <v>45</v>
      </c>
      <c r="D212" s="1" t="s">
        <v>22</v>
      </c>
      <c r="E212" s="12">
        <f>IF(LEN(regon9[[#This Row],[Regon]]) = 7,TEXT(regon9[[#This Row],[Regon]],"000000000"),regon9[[#This Row],[Regon]])</f>
        <v>97801068</v>
      </c>
      <c r="F21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212" s="1"/>
      <c r="H21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13" spans="1:8" x14ac:dyDescent="0.25">
      <c r="A213" s="1" t="s">
        <v>283</v>
      </c>
      <c r="B213" s="11">
        <v>97805715</v>
      </c>
      <c r="C213" s="1" t="s">
        <v>45</v>
      </c>
      <c r="D213" s="1" t="s">
        <v>22</v>
      </c>
      <c r="E213" s="12">
        <f>IF(LEN(regon9[[#This Row],[Regon]]) = 7,TEXT(regon9[[#This Row],[Regon]],"000000000"),regon9[[#This Row],[Regon]])</f>
        <v>97805715</v>
      </c>
      <c r="F21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213" s="1"/>
      <c r="H21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14" spans="1:8" x14ac:dyDescent="0.25">
      <c r="A214" s="1" t="s">
        <v>284</v>
      </c>
      <c r="B214" s="11">
        <v>80217820004</v>
      </c>
      <c r="C214" s="1" t="s">
        <v>51</v>
      </c>
      <c r="D214" s="1" t="s">
        <v>22</v>
      </c>
      <c r="E214" s="12">
        <f>IF(LEN(regon9[[#This Row],[Regon]]) = 7,TEXT(regon9[[#This Row],[Regon]],"000000000"),regon9[[#This Row],[Regon]])</f>
        <v>80217820004</v>
      </c>
      <c r="F21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214" s="1"/>
      <c r="H21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15" spans="1:8" x14ac:dyDescent="0.25">
      <c r="A215" s="1" t="s">
        <v>285</v>
      </c>
      <c r="B215" s="11">
        <v>80252750003</v>
      </c>
      <c r="C215" s="1" t="s">
        <v>51</v>
      </c>
      <c r="D215" s="1" t="s">
        <v>22</v>
      </c>
      <c r="E215" s="12">
        <f>IF(LEN(regon9[[#This Row],[Regon]]) = 7,TEXT(regon9[[#This Row],[Regon]],"000000000"),regon9[[#This Row],[Regon]])</f>
        <v>80252750003</v>
      </c>
      <c r="F21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215" s="1"/>
      <c r="H21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16" spans="1:8" x14ac:dyDescent="0.25">
      <c r="A216" s="1" t="s">
        <v>286</v>
      </c>
      <c r="B216" s="11">
        <v>80310600002</v>
      </c>
      <c r="C216" s="1" t="s">
        <v>51</v>
      </c>
      <c r="D216" s="1" t="s">
        <v>287</v>
      </c>
      <c r="E216" s="12">
        <f>IF(LEN(regon9[[#This Row],[Regon]]) = 7,TEXT(regon9[[#This Row],[Regon]],"000000000"),regon9[[#This Row],[Regon]])</f>
        <v>80310600002</v>
      </c>
      <c r="F21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216" s="1"/>
      <c r="H21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17" spans="1:8" x14ac:dyDescent="0.25">
      <c r="A217" s="1" t="s">
        <v>288</v>
      </c>
      <c r="B217" s="11">
        <v>80362480005</v>
      </c>
      <c r="C217" s="1" t="s">
        <v>51</v>
      </c>
      <c r="D217" s="1" t="s">
        <v>22</v>
      </c>
      <c r="E217" s="12">
        <f>IF(LEN(regon9[[#This Row],[Regon]]) = 7,TEXT(regon9[[#This Row],[Regon]],"000000000"),regon9[[#This Row],[Regon]])</f>
        <v>80362480005</v>
      </c>
      <c r="F21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217" s="1"/>
      <c r="H21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18" spans="1:8" x14ac:dyDescent="0.25">
      <c r="A218" s="1" t="s">
        <v>231</v>
      </c>
      <c r="B218" s="11">
        <v>80416990002</v>
      </c>
      <c r="C218" s="1" t="s">
        <v>51</v>
      </c>
      <c r="D218" s="1" t="s">
        <v>22</v>
      </c>
      <c r="E218" s="12">
        <f>IF(LEN(regon9[[#This Row],[Regon]]) = 7,TEXT(regon9[[#This Row],[Regon]],"000000000"),regon9[[#This Row],[Regon]])</f>
        <v>80416990002</v>
      </c>
      <c r="F21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218" s="1"/>
      <c r="H21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19" spans="1:8" x14ac:dyDescent="0.25">
      <c r="A219" s="1" t="s">
        <v>289</v>
      </c>
      <c r="B219" s="11">
        <v>81077640002</v>
      </c>
      <c r="C219" s="1" t="s">
        <v>51</v>
      </c>
      <c r="D219" s="1" t="s">
        <v>287</v>
      </c>
      <c r="E219" s="12">
        <f>IF(LEN(regon9[[#This Row],[Regon]]) = 7,TEXT(regon9[[#This Row],[Regon]],"000000000"),regon9[[#This Row],[Regon]])</f>
        <v>81077640002</v>
      </c>
      <c r="F21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219" s="1"/>
      <c r="H21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20" spans="1:8" x14ac:dyDescent="0.25">
      <c r="A220" s="1" t="s">
        <v>290</v>
      </c>
      <c r="B220" s="11">
        <v>81122640003</v>
      </c>
      <c r="C220" s="1" t="s">
        <v>51</v>
      </c>
      <c r="D220" s="1" t="s">
        <v>22</v>
      </c>
      <c r="E220" s="12">
        <f>IF(LEN(regon9[[#This Row],[Regon]]) = 7,TEXT(regon9[[#This Row],[Regon]],"000000000"),regon9[[#This Row],[Regon]])</f>
        <v>81122640003</v>
      </c>
      <c r="F22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220" s="1"/>
      <c r="H22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21" spans="1:8" x14ac:dyDescent="0.25">
      <c r="A221" s="1" t="s">
        <v>291</v>
      </c>
      <c r="B221" s="11">
        <v>81228370002</v>
      </c>
      <c r="C221" s="1" t="s">
        <v>51</v>
      </c>
      <c r="D221" s="1" t="s">
        <v>22</v>
      </c>
      <c r="E221" s="12">
        <f>IF(LEN(regon9[[#This Row],[Regon]]) = 7,TEXT(regon9[[#This Row],[Regon]],"000000000"),regon9[[#This Row],[Regon]])</f>
        <v>81228370002</v>
      </c>
      <c r="F22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221" s="1"/>
      <c r="H22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22" spans="1:8" x14ac:dyDescent="0.25">
      <c r="A222" s="1" t="s">
        <v>292</v>
      </c>
      <c r="B222" s="11">
        <v>970257920004</v>
      </c>
      <c r="C222" s="1" t="s">
        <v>51</v>
      </c>
      <c r="D222" s="1" t="s">
        <v>22</v>
      </c>
      <c r="E222" s="12">
        <f>IF(LEN(regon9[[#This Row],[Regon]]) = 7,TEXT(regon9[[#This Row],[Regon]],"000000000"),regon9[[#This Row],[Regon]])</f>
        <v>970257920004</v>
      </c>
      <c r="F22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222" s="1"/>
      <c r="H222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23" spans="1:8" x14ac:dyDescent="0.25">
      <c r="A223" s="1" t="s">
        <v>293</v>
      </c>
      <c r="B223" s="11">
        <v>970396970002</v>
      </c>
      <c r="C223" s="1" t="s">
        <v>51</v>
      </c>
      <c r="D223" s="1" t="s">
        <v>22</v>
      </c>
      <c r="E223" s="12">
        <f>IF(LEN(regon9[[#This Row],[Regon]]) = 7,TEXT(regon9[[#This Row],[Regon]],"000000000"),regon9[[#This Row],[Regon]])</f>
        <v>970396970002</v>
      </c>
      <c r="F22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223" s="1"/>
      <c r="H223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24" spans="1:8" x14ac:dyDescent="0.25">
      <c r="A224" s="1" t="s">
        <v>294</v>
      </c>
      <c r="B224" s="11">
        <v>970693630002</v>
      </c>
      <c r="C224" s="1" t="s">
        <v>51</v>
      </c>
      <c r="D224" s="1" t="s">
        <v>22</v>
      </c>
      <c r="E224" s="12">
        <f>IF(LEN(regon9[[#This Row],[Regon]]) = 7,TEXT(regon9[[#This Row],[Regon]],"000000000"),regon9[[#This Row],[Regon]])</f>
        <v>970693630002</v>
      </c>
      <c r="F22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224" s="1"/>
      <c r="H224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25" spans="1:8" x14ac:dyDescent="0.25">
      <c r="A225" s="1" t="s">
        <v>295</v>
      </c>
      <c r="B225" s="11">
        <v>978117590003</v>
      </c>
      <c r="C225" s="1" t="s">
        <v>51</v>
      </c>
      <c r="D225" s="1" t="s">
        <v>22</v>
      </c>
      <c r="E225" s="12">
        <f>IF(LEN(regon9[[#This Row],[Regon]]) = 7,TEXT(regon9[[#This Row],[Regon]],"000000000"),regon9[[#This Row],[Regon]])</f>
        <v>978117590003</v>
      </c>
      <c r="F22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225" s="1"/>
      <c r="H225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26" spans="1:8" x14ac:dyDescent="0.25">
      <c r="A226" s="1" t="s">
        <v>296</v>
      </c>
      <c r="B226" s="11">
        <v>630520290025</v>
      </c>
      <c r="C226" s="1" t="s">
        <v>297</v>
      </c>
      <c r="D226" s="1" t="s">
        <v>22</v>
      </c>
      <c r="E226" s="12">
        <f>IF(LEN(regon9[[#This Row],[Regon]]) = 7,TEXT(regon9[[#This Row],[Regon]],"000000000"),regon9[[#This Row],[Regon]])</f>
        <v>630520290025</v>
      </c>
      <c r="F22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226" s="1"/>
      <c r="H226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27" spans="1:8" x14ac:dyDescent="0.25">
      <c r="A227" s="1" t="s">
        <v>298</v>
      </c>
      <c r="B227" s="11">
        <v>670733980047</v>
      </c>
      <c r="C227" s="1" t="s">
        <v>297</v>
      </c>
      <c r="D227" s="1" t="s">
        <v>22</v>
      </c>
      <c r="E227" s="12">
        <f>IF(LEN(regon9[[#This Row],[Regon]]) = 7,TEXT(regon9[[#This Row],[Regon]],"000000000"),regon9[[#This Row],[Regon]])</f>
        <v>670733980047</v>
      </c>
      <c r="F22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227" s="1"/>
      <c r="H227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28" spans="1:8" x14ac:dyDescent="0.25">
      <c r="A228" s="1" t="s">
        <v>299</v>
      </c>
      <c r="B228" s="11">
        <v>36119087</v>
      </c>
      <c r="C228" s="1" t="s">
        <v>21</v>
      </c>
      <c r="D228" s="1" t="s">
        <v>22</v>
      </c>
      <c r="E228" s="12">
        <f>IF(LEN(regon9[[#This Row],[Regon]]) = 7,TEXT(regon9[[#This Row],[Regon]],"000000000"),regon9[[#This Row],[Regon]])</f>
        <v>36119087</v>
      </c>
      <c r="F22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228" s="1"/>
      <c r="H22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29" spans="1:8" x14ac:dyDescent="0.25">
      <c r="A229" s="1" t="s">
        <v>300</v>
      </c>
      <c r="B229" s="11">
        <v>41027080</v>
      </c>
      <c r="C229" s="1" t="s">
        <v>21</v>
      </c>
      <c r="D229" s="1" t="s">
        <v>22</v>
      </c>
      <c r="E229" s="12">
        <f>IF(LEN(regon9[[#This Row],[Regon]]) = 7,TEXT(regon9[[#This Row],[Regon]],"000000000"),regon9[[#This Row],[Regon]])</f>
        <v>41027080</v>
      </c>
      <c r="F22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229" s="1"/>
      <c r="H22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30" spans="1:8" x14ac:dyDescent="0.25">
      <c r="A230" s="1" t="s">
        <v>301</v>
      </c>
      <c r="B230" s="11">
        <v>41027224</v>
      </c>
      <c r="C230" s="1" t="s">
        <v>21</v>
      </c>
      <c r="D230" s="1" t="s">
        <v>22</v>
      </c>
      <c r="E230" s="12">
        <f>IF(LEN(regon9[[#This Row],[Regon]]) = 7,TEXT(regon9[[#This Row],[Regon]],"000000000"),regon9[[#This Row],[Regon]])</f>
        <v>41027224</v>
      </c>
      <c r="F23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230" s="1"/>
      <c r="H23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31" spans="1:8" x14ac:dyDescent="0.25">
      <c r="A231" s="1" t="s">
        <v>302</v>
      </c>
      <c r="B231" s="11">
        <v>41028010</v>
      </c>
      <c r="C231" s="1" t="s">
        <v>21</v>
      </c>
      <c r="D231" s="1" t="s">
        <v>22</v>
      </c>
      <c r="E231" s="12">
        <f>IF(LEN(regon9[[#This Row],[Regon]]) = 7,TEXT(regon9[[#This Row],[Regon]],"000000000"),regon9[[#This Row],[Regon]])</f>
        <v>41028010</v>
      </c>
      <c r="F23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231" s="1"/>
      <c r="H23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32" spans="1:8" x14ac:dyDescent="0.25">
      <c r="A232" s="1" t="s">
        <v>303</v>
      </c>
      <c r="B232" s="11">
        <v>30133463</v>
      </c>
      <c r="C232" s="1" t="s">
        <v>21</v>
      </c>
      <c r="D232" s="1" t="s">
        <v>22</v>
      </c>
      <c r="E232" s="12">
        <f>IF(LEN(regon9[[#This Row],[Regon]]) = 7,TEXT(regon9[[#This Row],[Regon]],"000000000"),regon9[[#This Row],[Regon]])</f>
        <v>30133463</v>
      </c>
      <c r="F23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232" s="1"/>
      <c r="H23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33" spans="1:8" x14ac:dyDescent="0.25">
      <c r="A233" s="1" t="s">
        <v>304</v>
      </c>
      <c r="B233" s="11">
        <v>36149623</v>
      </c>
      <c r="C233" s="1" t="s">
        <v>21</v>
      </c>
      <c r="D233" s="1" t="s">
        <v>22</v>
      </c>
      <c r="E233" s="12">
        <f>IF(LEN(regon9[[#This Row],[Regon]]) = 7,TEXT(regon9[[#This Row],[Regon]],"000000000"),regon9[[#This Row],[Regon]])</f>
        <v>36149623</v>
      </c>
      <c r="F23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233" s="1"/>
      <c r="H23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34" spans="1:8" x14ac:dyDescent="0.25">
      <c r="A234" s="1" t="s">
        <v>305</v>
      </c>
      <c r="B234" s="11">
        <v>36564101</v>
      </c>
      <c r="C234" s="1" t="s">
        <v>21</v>
      </c>
      <c r="D234" s="1" t="s">
        <v>22</v>
      </c>
      <c r="E234" s="12">
        <f>IF(LEN(regon9[[#This Row],[Regon]]) = 7,TEXT(regon9[[#This Row],[Regon]],"000000000"),regon9[[#This Row],[Regon]])</f>
        <v>36564101</v>
      </c>
      <c r="F23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234" s="1"/>
      <c r="H23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35" spans="1:8" x14ac:dyDescent="0.25">
      <c r="A235" s="1" t="s">
        <v>306</v>
      </c>
      <c r="B235" s="11">
        <v>41025345</v>
      </c>
      <c r="C235" s="1" t="s">
        <v>21</v>
      </c>
      <c r="D235" s="1" t="s">
        <v>22</v>
      </c>
      <c r="E235" s="12">
        <f>IF(LEN(regon9[[#This Row],[Regon]]) = 7,TEXT(regon9[[#This Row],[Regon]],"000000000"),regon9[[#This Row],[Regon]])</f>
        <v>41025345</v>
      </c>
      <c r="F23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235" s="1"/>
      <c r="H23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36" spans="1:8" x14ac:dyDescent="0.25">
      <c r="A236" s="1" t="s">
        <v>307</v>
      </c>
      <c r="B236" s="11">
        <v>41105012</v>
      </c>
      <c r="C236" s="1" t="s">
        <v>21</v>
      </c>
      <c r="D236" s="1" t="s">
        <v>22</v>
      </c>
      <c r="E236" s="12">
        <f>IF(LEN(regon9[[#This Row],[Regon]]) = 7,TEXT(regon9[[#This Row],[Regon]],"000000000"),regon9[[#This Row],[Regon]])</f>
        <v>41105012</v>
      </c>
      <c r="F23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236" s="1"/>
      <c r="H23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37" spans="1:8" x14ac:dyDescent="0.25">
      <c r="A237" s="1" t="s">
        <v>308</v>
      </c>
      <c r="B237" s="11">
        <v>41114683</v>
      </c>
      <c r="C237" s="1" t="s">
        <v>21</v>
      </c>
      <c r="D237" s="1" t="s">
        <v>22</v>
      </c>
      <c r="E237" s="12">
        <f>IF(LEN(regon9[[#This Row],[Regon]]) = 7,TEXT(regon9[[#This Row],[Regon]],"000000000"),regon9[[#This Row],[Regon]])</f>
        <v>41114683</v>
      </c>
      <c r="F23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237" s="1"/>
      <c r="H23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38" spans="1:8" x14ac:dyDescent="0.25">
      <c r="A238" s="1" t="s">
        <v>95</v>
      </c>
      <c r="B238" s="11">
        <v>41119114</v>
      </c>
      <c r="C238" s="1" t="s">
        <v>21</v>
      </c>
      <c r="D238" s="1" t="s">
        <v>22</v>
      </c>
      <c r="E238" s="12">
        <f>IF(LEN(regon9[[#This Row],[Regon]]) = 7,TEXT(regon9[[#This Row],[Regon]],"000000000"),regon9[[#This Row],[Regon]])</f>
        <v>41119114</v>
      </c>
      <c r="F23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238" s="1"/>
      <c r="H23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39" spans="1:8" x14ac:dyDescent="0.25">
      <c r="A239" s="1" t="s">
        <v>309</v>
      </c>
      <c r="B239" s="11">
        <v>41142208</v>
      </c>
      <c r="C239" s="1" t="s">
        <v>21</v>
      </c>
      <c r="D239" s="1" t="s">
        <v>22</v>
      </c>
      <c r="E239" s="12">
        <f>IF(LEN(regon9[[#This Row],[Regon]]) = 7,TEXT(regon9[[#This Row],[Regon]],"000000000"),regon9[[#This Row],[Regon]])</f>
        <v>41142208</v>
      </c>
      <c r="F23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239" s="1"/>
      <c r="H23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40" spans="1:8" x14ac:dyDescent="0.25">
      <c r="A240" s="1" t="s">
        <v>310</v>
      </c>
      <c r="B240" s="11">
        <v>41144713</v>
      </c>
      <c r="C240" s="1" t="s">
        <v>21</v>
      </c>
      <c r="D240" s="1" t="s">
        <v>22</v>
      </c>
      <c r="E240" s="12">
        <f>IF(LEN(regon9[[#This Row],[Regon]]) = 7,TEXT(regon9[[#This Row],[Regon]],"000000000"),regon9[[#This Row],[Regon]])</f>
        <v>41144713</v>
      </c>
      <c r="F24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240" s="1"/>
      <c r="H24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41" spans="1:8" x14ac:dyDescent="0.25">
      <c r="A241" s="1" t="s">
        <v>95</v>
      </c>
      <c r="B241" s="11">
        <v>41147916</v>
      </c>
      <c r="C241" s="1" t="s">
        <v>21</v>
      </c>
      <c r="D241" s="1" t="s">
        <v>22</v>
      </c>
      <c r="E241" s="12">
        <f>IF(LEN(regon9[[#This Row],[Regon]]) = 7,TEXT(regon9[[#This Row],[Regon]],"000000000"),regon9[[#This Row],[Regon]])</f>
        <v>41147916</v>
      </c>
      <c r="F24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241" s="1"/>
      <c r="H24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42" spans="1:8" x14ac:dyDescent="0.25">
      <c r="A242" s="1" t="s">
        <v>311</v>
      </c>
      <c r="B242" s="11">
        <v>41156313</v>
      </c>
      <c r="C242" s="1" t="s">
        <v>21</v>
      </c>
      <c r="D242" s="1" t="s">
        <v>22</v>
      </c>
      <c r="E242" s="12">
        <f>IF(LEN(regon9[[#This Row],[Regon]]) = 7,TEXT(regon9[[#This Row],[Regon]],"000000000"),regon9[[#This Row],[Regon]])</f>
        <v>41156313</v>
      </c>
      <c r="F24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242" s="1"/>
      <c r="H24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43" spans="1:8" x14ac:dyDescent="0.25">
      <c r="A243" s="1" t="s">
        <v>312</v>
      </c>
      <c r="B243" s="11">
        <v>41017554</v>
      </c>
      <c r="C243" s="1" t="s">
        <v>45</v>
      </c>
      <c r="D243" s="1" t="s">
        <v>22</v>
      </c>
      <c r="E243" s="12">
        <f>IF(LEN(regon9[[#This Row],[Regon]]) = 7,TEXT(regon9[[#This Row],[Regon]],"000000000"),regon9[[#This Row],[Regon]])</f>
        <v>41017554</v>
      </c>
      <c r="F24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243" s="1"/>
      <c r="H24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44" spans="1:8" x14ac:dyDescent="0.25">
      <c r="A244" s="1" t="s">
        <v>313</v>
      </c>
      <c r="B244" s="11">
        <v>41037932</v>
      </c>
      <c r="C244" s="1" t="s">
        <v>45</v>
      </c>
      <c r="D244" s="1" t="s">
        <v>22</v>
      </c>
      <c r="E244" s="12">
        <f>IF(LEN(regon9[[#This Row],[Regon]]) = 7,TEXT(regon9[[#This Row],[Regon]],"000000000"),regon9[[#This Row],[Regon]])</f>
        <v>41037932</v>
      </c>
      <c r="F24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244" s="1"/>
      <c r="H24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45" spans="1:8" x14ac:dyDescent="0.25">
      <c r="A245" s="1" t="s">
        <v>314</v>
      </c>
      <c r="B245" s="11">
        <v>41111990</v>
      </c>
      <c r="C245" s="1" t="s">
        <v>45</v>
      </c>
      <c r="D245" s="1" t="s">
        <v>22</v>
      </c>
      <c r="E245" s="12">
        <f>IF(LEN(regon9[[#This Row],[Regon]]) = 7,TEXT(regon9[[#This Row],[Regon]],"000000000"),regon9[[#This Row],[Regon]])</f>
        <v>41111990</v>
      </c>
      <c r="F24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245" s="1"/>
      <c r="H24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46" spans="1:8" x14ac:dyDescent="0.25">
      <c r="A246" s="1" t="s">
        <v>315</v>
      </c>
      <c r="B246" s="11">
        <v>41114319</v>
      </c>
      <c r="C246" s="1" t="s">
        <v>45</v>
      </c>
      <c r="D246" s="1" t="s">
        <v>22</v>
      </c>
      <c r="E246" s="12">
        <f>IF(LEN(regon9[[#This Row],[Regon]]) = 7,TEXT(regon9[[#This Row],[Regon]],"000000000"),regon9[[#This Row],[Regon]])</f>
        <v>41114319</v>
      </c>
      <c r="F24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246" s="1"/>
      <c r="H24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47" spans="1:8" x14ac:dyDescent="0.25">
      <c r="A247" s="1" t="s">
        <v>316</v>
      </c>
      <c r="B247" s="11">
        <v>300206820005</v>
      </c>
      <c r="C247" s="1" t="s">
        <v>51</v>
      </c>
      <c r="D247" s="1" t="s">
        <v>22</v>
      </c>
      <c r="E247" s="12">
        <f>IF(LEN(regon9[[#This Row],[Regon]]) = 7,TEXT(regon9[[#This Row],[Regon]],"000000000"),regon9[[#This Row],[Regon]])</f>
        <v>300206820005</v>
      </c>
      <c r="F24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247" s="1"/>
      <c r="H247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48" spans="1:8" x14ac:dyDescent="0.25">
      <c r="A248" s="1" t="s">
        <v>317</v>
      </c>
      <c r="B248" s="11">
        <v>410078560002</v>
      </c>
      <c r="C248" s="1" t="s">
        <v>51</v>
      </c>
      <c r="D248" s="1" t="s">
        <v>22</v>
      </c>
      <c r="E248" s="12">
        <f>IF(LEN(regon9[[#This Row],[Regon]]) = 7,TEXT(regon9[[#This Row],[Regon]],"000000000"),regon9[[#This Row],[Regon]])</f>
        <v>410078560002</v>
      </c>
      <c r="F24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248" s="1"/>
      <c r="H248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49" spans="1:8" x14ac:dyDescent="0.25">
      <c r="A249" s="1" t="s">
        <v>318</v>
      </c>
      <c r="B249" s="11">
        <v>410344510039</v>
      </c>
      <c r="C249" s="1" t="s">
        <v>51</v>
      </c>
      <c r="D249" s="1" t="s">
        <v>319</v>
      </c>
      <c r="E249" s="12">
        <f>IF(LEN(regon9[[#This Row],[Regon]]) = 7,TEXT(regon9[[#This Row],[Regon]],"000000000"),regon9[[#This Row],[Regon]])</f>
        <v>410344510039</v>
      </c>
      <c r="F24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249" s="1"/>
      <c r="H249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50" spans="1:8" x14ac:dyDescent="0.25">
      <c r="A250" s="1" t="s">
        <v>320</v>
      </c>
      <c r="B250" s="11">
        <v>411048550002</v>
      </c>
      <c r="C250" s="1" t="s">
        <v>51</v>
      </c>
      <c r="D250" s="1" t="s">
        <v>22</v>
      </c>
      <c r="E250" s="12">
        <f>IF(LEN(regon9[[#This Row],[Regon]]) = 7,TEXT(regon9[[#This Row],[Regon]],"000000000"),regon9[[#This Row],[Regon]])</f>
        <v>411048550002</v>
      </c>
      <c r="F25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250" s="1"/>
      <c r="H250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51" spans="1:8" x14ac:dyDescent="0.25">
      <c r="A251" s="1" t="s">
        <v>321</v>
      </c>
      <c r="B251" s="11">
        <v>411297310011</v>
      </c>
      <c r="C251" s="1" t="s">
        <v>51</v>
      </c>
      <c r="D251" s="1" t="s">
        <v>22</v>
      </c>
      <c r="E251" s="12">
        <f>IF(LEN(regon9[[#This Row],[Regon]]) = 7,TEXT(regon9[[#This Row],[Regon]],"000000000"),regon9[[#This Row],[Regon]])</f>
        <v>411297310011</v>
      </c>
      <c r="F25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251" s="1"/>
      <c r="H251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52" spans="1:8" x14ac:dyDescent="0.25">
      <c r="A252" s="1" t="s">
        <v>322</v>
      </c>
      <c r="B252" s="11">
        <v>977982790003</v>
      </c>
      <c r="C252" s="1" t="s">
        <v>51</v>
      </c>
      <c r="D252" s="1" t="s">
        <v>22</v>
      </c>
      <c r="E252" s="12">
        <f>IF(LEN(regon9[[#This Row],[Regon]]) = 7,TEXT(regon9[[#This Row],[Regon]],"000000000"),regon9[[#This Row],[Regon]])</f>
        <v>977982790003</v>
      </c>
      <c r="F25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252" s="1"/>
      <c r="H252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53" spans="1:8" x14ac:dyDescent="0.25">
      <c r="A253" s="1" t="s">
        <v>323</v>
      </c>
      <c r="B253" s="11">
        <v>411119900002</v>
      </c>
      <c r="C253" s="1" t="s">
        <v>297</v>
      </c>
      <c r="D253" s="1" t="s">
        <v>22</v>
      </c>
      <c r="E253" s="12">
        <f>IF(LEN(regon9[[#This Row],[Regon]]) = 7,TEXT(regon9[[#This Row],[Regon]],"000000000"),regon9[[#This Row],[Regon]])</f>
        <v>411119900002</v>
      </c>
      <c r="F25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253" s="1"/>
      <c r="H253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254" spans="1:8" x14ac:dyDescent="0.25">
      <c r="A254" s="1" t="s">
        <v>324</v>
      </c>
      <c r="B254" s="11">
        <v>334599</v>
      </c>
      <c r="C254" s="1" t="s">
        <v>21</v>
      </c>
      <c r="D254" s="1" t="s">
        <v>325</v>
      </c>
      <c r="E254" s="12">
        <f>IF(LEN(regon9[[#This Row],[Regon]]) = 7,TEXT(regon9[[#This Row],[Regon]],"000000000"),regon9[[#This Row],[Regon]])</f>
        <v>334599</v>
      </c>
      <c r="F25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254" s="1"/>
      <c r="H25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55" spans="1:8" x14ac:dyDescent="0.25">
      <c r="A255" s="1" t="s">
        <v>326</v>
      </c>
      <c r="B255" s="11">
        <v>334757</v>
      </c>
      <c r="C255" s="1" t="s">
        <v>21</v>
      </c>
      <c r="D255" s="1" t="s">
        <v>73</v>
      </c>
      <c r="E255" s="12">
        <f>IF(LEN(regon9[[#This Row],[Regon]]) = 7,TEXT(regon9[[#This Row],[Regon]],"000000000"),regon9[[#This Row],[Regon]])</f>
        <v>334757</v>
      </c>
      <c r="F25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255" s="1"/>
      <c r="H25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56" spans="1:8" x14ac:dyDescent="0.25">
      <c r="A256" s="1" t="s">
        <v>327</v>
      </c>
      <c r="B256" s="11">
        <v>335122</v>
      </c>
      <c r="C256" s="1" t="s">
        <v>21</v>
      </c>
      <c r="D256" s="1" t="s">
        <v>328</v>
      </c>
      <c r="E256" s="12">
        <f>IF(LEN(regon9[[#This Row],[Regon]]) = 7,TEXT(regon9[[#This Row],[Regon]],"000000000"),regon9[[#This Row],[Regon]])</f>
        <v>335122</v>
      </c>
      <c r="F25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256" s="1"/>
      <c r="H25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57" spans="1:8" x14ac:dyDescent="0.25">
      <c r="A257" s="1" t="s">
        <v>329</v>
      </c>
      <c r="B257" s="11">
        <v>825852</v>
      </c>
      <c r="C257" s="1" t="s">
        <v>21</v>
      </c>
      <c r="D257" s="1" t="s">
        <v>330</v>
      </c>
      <c r="E257" s="12">
        <f>IF(LEN(regon9[[#This Row],[Regon]]) = 7,TEXT(regon9[[#This Row],[Regon]],"000000000"),regon9[[#This Row],[Regon]])</f>
        <v>825852</v>
      </c>
      <c r="F25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257" s="1"/>
      <c r="H25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58" spans="1:8" x14ac:dyDescent="0.25">
      <c r="A258" s="1" t="s">
        <v>331</v>
      </c>
      <c r="B258" s="11">
        <v>10055578</v>
      </c>
      <c r="C258" s="1" t="s">
        <v>21</v>
      </c>
      <c r="D258" s="1" t="s">
        <v>332</v>
      </c>
      <c r="E258" s="12">
        <f>IF(LEN(regon9[[#This Row],[Regon]]) = 7,TEXT(regon9[[#This Row],[Regon]],"000000000"),regon9[[#This Row],[Regon]])</f>
        <v>10055578</v>
      </c>
      <c r="F25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258" s="1"/>
      <c r="H25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59" spans="1:8" x14ac:dyDescent="0.25">
      <c r="A259" s="1" t="s">
        <v>333</v>
      </c>
      <c r="B259" s="11">
        <v>20001531</v>
      </c>
      <c r="C259" s="1" t="s">
        <v>21</v>
      </c>
      <c r="D259" s="1" t="s">
        <v>334</v>
      </c>
      <c r="E259" s="12">
        <f>IF(LEN(regon9[[#This Row],[Regon]]) = 7,TEXT(regon9[[#This Row],[Regon]],"000000000"),regon9[[#This Row],[Regon]])</f>
        <v>20001531</v>
      </c>
      <c r="F25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259" s="1"/>
      <c r="H25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60" spans="1:8" x14ac:dyDescent="0.25">
      <c r="A260" s="1" t="s">
        <v>335</v>
      </c>
      <c r="B260" s="11">
        <v>25000465</v>
      </c>
      <c r="C260" s="1" t="s">
        <v>21</v>
      </c>
      <c r="D260" s="1" t="s">
        <v>336</v>
      </c>
      <c r="E260" s="12">
        <f>IF(LEN(regon9[[#This Row],[Regon]]) = 7,TEXT(regon9[[#This Row],[Regon]],"000000000"),regon9[[#This Row],[Regon]])</f>
        <v>25000465</v>
      </c>
      <c r="F26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260" s="1"/>
      <c r="H26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61" spans="1:8" x14ac:dyDescent="0.25">
      <c r="A261" s="1" t="s">
        <v>337</v>
      </c>
      <c r="B261" s="11">
        <v>25002655</v>
      </c>
      <c r="C261" s="1" t="s">
        <v>21</v>
      </c>
      <c r="D261" s="1" t="s">
        <v>338</v>
      </c>
      <c r="E261" s="12">
        <f>IF(LEN(regon9[[#This Row],[Regon]]) = 7,TEXT(regon9[[#This Row],[Regon]],"000000000"),regon9[[#This Row],[Regon]])</f>
        <v>25002655</v>
      </c>
      <c r="F26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261" s="1"/>
      <c r="H26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62" spans="1:8" x14ac:dyDescent="0.25">
      <c r="A262" s="1" t="s">
        <v>339</v>
      </c>
      <c r="B262" s="11">
        <v>25003220</v>
      </c>
      <c r="C262" s="1" t="s">
        <v>21</v>
      </c>
      <c r="D262" s="1" t="s">
        <v>22</v>
      </c>
      <c r="E262" s="12">
        <f>IF(LEN(regon9[[#This Row],[Regon]]) = 7,TEXT(regon9[[#This Row],[Regon]],"000000000"),regon9[[#This Row],[Regon]])</f>
        <v>25003220</v>
      </c>
      <c r="F26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262" s="1"/>
      <c r="H26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63" spans="1:8" x14ac:dyDescent="0.25">
      <c r="A263" s="1" t="s">
        <v>340</v>
      </c>
      <c r="B263" s="11">
        <v>25003755</v>
      </c>
      <c r="C263" s="1" t="s">
        <v>21</v>
      </c>
      <c r="D263" s="1" t="s">
        <v>341</v>
      </c>
      <c r="E263" s="12">
        <f>IF(LEN(regon9[[#This Row],[Regon]]) = 7,TEXT(regon9[[#This Row],[Regon]],"000000000"),regon9[[#This Row],[Regon]])</f>
        <v>25003755</v>
      </c>
      <c r="F26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263" s="1"/>
      <c r="H26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64" spans="1:8" x14ac:dyDescent="0.25">
      <c r="A264" s="1" t="s">
        <v>342</v>
      </c>
      <c r="B264" s="11">
        <v>25004373</v>
      </c>
      <c r="C264" s="1" t="s">
        <v>21</v>
      </c>
      <c r="D264" s="1" t="s">
        <v>343</v>
      </c>
      <c r="E264" s="12">
        <f>IF(LEN(regon9[[#This Row],[Regon]]) = 7,TEXT(regon9[[#This Row],[Regon]],"000000000"),regon9[[#This Row],[Regon]])</f>
        <v>25004373</v>
      </c>
      <c r="F26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264" s="1"/>
      <c r="H26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65" spans="1:8" x14ac:dyDescent="0.25">
      <c r="A265" s="1" t="s">
        <v>344</v>
      </c>
      <c r="B265" s="11">
        <v>25004399</v>
      </c>
      <c r="C265" s="1" t="s">
        <v>21</v>
      </c>
      <c r="D265" s="1" t="s">
        <v>345</v>
      </c>
      <c r="E265" s="12">
        <f>IF(LEN(regon9[[#This Row],[Regon]]) = 7,TEXT(regon9[[#This Row],[Regon]],"000000000"),regon9[[#This Row],[Regon]])</f>
        <v>25004399</v>
      </c>
      <c r="F26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265" s="1"/>
      <c r="H26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66" spans="1:8" x14ac:dyDescent="0.25">
      <c r="A266" s="1" t="s">
        <v>346</v>
      </c>
      <c r="B266" s="11">
        <v>25004721</v>
      </c>
      <c r="C266" s="1" t="s">
        <v>21</v>
      </c>
      <c r="D266" s="1" t="s">
        <v>73</v>
      </c>
      <c r="E266" s="12">
        <f>IF(LEN(regon9[[#This Row],[Regon]]) = 7,TEXT(regon9[[#This Row],[Regon]],"000000000"),regon9[[#This Row],[Regon]])</f>
        <v>25004721</v>
      </c>
      <c r="F26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266" s="1"/>
      <c r="H26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67" spans="1:8" x14ac:dyDescent="0.25">
      <c r="A267" s="1" t="s">
        <v>347</v>
      </c>
      <c r="B267" s="11">
        <v>25005771</v>
      </c>
      <c r="C267" s="1" t="s">
        <v>21</v>
      </c>
      <c r="D267" s="1" t="s">
        <v>348</v>
      </c>
      <c r="E267" s="12">
        <f>IF(LEN(regon9[[#This Row],[Regon]]) = 7,TEXT(regon9[[#This Row],[Regon]],"000000000"),regon9[[#This Row],[Regon]])</f>
        <v>25005771</v>
      </c>
      <c r="F26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267" s="1"/>
      <c r="H26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68" spans="1:8" x14ac:dyDescent="0.25">
      <c r="A268" s="1" t="s">
        <v>349</v>
      </c>
      <c r="B268" s="11">
        <v>25007753</v>
      </c>
      <c r="C268" s="1" t="s">
        <v>21</v>
      </c>
      <c r="D268" s="1" t="s">
        <v>22</v>
      </c>
      <c r="E268" s="12">
        <f>IF(LEN(regon9[[#This Row],[Regon]]) = 7,TEXT(regon9[[#This Row],[Regon]],"000000000"),regon9[[#This Row],[Regon]])</f>
        <v>25007753</v>
      </c>
      <c r="F26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268" s="1"/>
      <c r="H26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69" spans="1:8" x14ac:dyDescent="0.25">
      <c r="A269" s="1" t="s">
        <v>350</v>
      </c>
      <c r="B269" s="11">
        <v>25012307</v>
      </c>
      <c r="C269" s="1" t="s">
        <v>21</v>
      </c>
      <c r="D269" s="1" t="s">
        <v>351</v>
      </c>
      <c r="E269" s="12">
        <f>IF(LEN(regon9[[#This Row],[Regon]]) = 7,TEXT(regon9[[#This Row],[Regon]],"000000000"),regon9[[#This Row],[Regon]])</f>
        <v>25012307</v>
      </c>
      <c r="F26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269" s="1"/>
      <c r="H26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70" spans="1:8" x14ac:dyDescent="0.25">
      <c r="A270" s="1" t="s">
        <v>352</v>
      </c>
      <c r="B270" s="11">
        <v>25017680</v>
      </c>
      <c r="C270" s="1" t="s">
        <v>21</v>
      </c>
      <c r="D270" s="1" t="s">
        <v>22</v>
      </c>
      <c r="E270" s="12">
        <f>IF(LEN(regon9[[#This Row],[Regon]]) = 7,TEXT(regon9[[#This Row],[Regon]],"000000000"),regon9[[#This Row],[Regon]])</f>
        <v>25017680</v>
      </c>
      <c r="F27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270" s="1"/>
      <c r="H27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71" spans="1:8" x14ac:dyDescent="0.25">
      <c r="A271" s="1" t="s">
        <v>353</v>
      </c>
      <c r="B271" s="11">
        <v>25019979</v>
      </c>
      <c r="C271" s="1" t="s">
        <v>21</v>
      </c>
      <c r="D271" s="1" t="s">
        <v>22</v>
      </c>
      <c r="E271" s="12">
        <f>IF(LEN(regon9[[#This Row],[Regon]]) = 7,TEXT(regon9[[#This Row],[Regon]],"000000000"),regon9[[#This Row],[Regon]])</f>
        <v>25019979</v>
      </c>
      <c r="F27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271" s="1"/>
      <c r="H27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72" spans="1:8" x14ac:dyDescent="0.25">
      <c r="A272" s="1" t="s">
        <v>354</v>
      </c>
      <c r="B272" s="11">
        <v>25033184</v>
      </c>
      <c r="C272" s="1" t="s">
        <v>21</v>
      </c>
      <c r="D272" s="1" t="s">
        <v>355</v>
      </c>
      <c r="E272" s="12">
        <f>IF(LEN(regon9[[#This Row],[Regon]]) = 7,TEXT(regon9[[#This Row],[Regon]],"000000000"),regon9[[#This Row],[Regon]])</f>
        <v>25033184</v>
      </c>
      <c r="F27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272" s="1"/>
      <c r="H27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73" spans="1:8" x14ac:dyDescent="0.25">
      <c r="A273" s="1" t="s">
        <v>356</v>
      </c>
      <c r="B273" s="11">
        <v>25033891</v>
      </c>
      <c r="C273" s="1" t="s">
        <v>21</v>
      </c>
      <c r="D273" s="1" t="s">
        <v>357</v>
      </c>
      <c r="E273" s="12">
        <f>IF(LEN(regon9[[#This Row],[Regon]]) = 7,TEXT(regon9[[#This Row],[Regon]],"000000000"),regon9[[#This Row],[Regon]])</f>
        <v>25033891</v>
      </c>
      <c r="F27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273" s="1"/>
      <c r="H27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74" spans="1:8" x14ac:dyDescent="0.25">
      <c r="A274" s="1" t="s">
        <v>358</v>
      </c>
      <c r="B274" s="11">
        <v>25040410</v>
      </c>
      <c r="C274" s="1" t="s">
        <v>21</v>
      </c>
      <c r="D274" s="1" t="s">
        <v>359</v>
      </c>
      <c r="E274" s="12">
        <f>IF(LEN(regon9[[#This Row],[Regon]]) = 7,TEXT(regon9[[#This Row],[Regon]],"000000000"),regon9[[#This Row],[Regon]])</f>
        <v>25040410</v>
      </c>
      <c r="F27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274" s="1"/>
      <c r="H27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75" spans="1:8" x14ac:dyDescent="0.25">
      <c r="A275" s="1" t="s">
        <v>360</v>
      </c>
      <c r="B275" s="11">
        <v>25040509</v>
      </c>
      <c r="C275" s="1" t="s">
        <v>21</v>
      </c>
      <c r="D275" s="1" t="s">
        <v>361</v>
      </c>
      <c r="E275" s="12">
        <f>IF(LEN(regon9[[#This Row],[Regon]]) = 7,TEXT(regon9[[#This Row],[Regon]],"000000000"),regon9[[#This Row],[Regon]])</f>
        <v>25040509</v>
      </c>
      <c r="F27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275" s="1"/>
      <c r="H27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76" spans="1:8" x14ac:dyDescent="0.25">
      <c r="A276" s="1" t="s">
        <v>362</v>
      </c>
      <c r="B276" s="11">
        <v>25041312</v>
      </c>
      <c r="C276" s="1" t="s">
        <v>21</v>
      </c>
      <c r="D276" s="1" t="s">
        <v>363</v>
      </c>
      <c r="E276" s="12">
        <f>IF(LEN(regon9[[#This Row],[Regon]]) = 7,TEXT(regon9[[#This Row],[Regon]],"000000000"),regon9[[#This Row],[Regon]])</f>
        <v>25041312</v>
      </c>
      <c r="F27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276" s="1"/>
      <c r="H27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77" spans="1:8" x14ac:dyDescent="0.25">
      <c r="A277" s="1" t="s">
        <v>364</v>
      </c>
      <c r="B277" s="11">
        <v>25041632</v>
      </c>
      <c r="C277" s="1" t="s">
        <v>21</v>
      </c>
      <c r="D277" s="1" t="s">
        <v>365</v>
      </c>
      <c r="E277" s="12">
        <f>IF(LEN(regon9[[#This Row],[Regon]]) = 7,TEXT(regon9[[#This Row],[Regon]],"000000000"),regon9[[#This Row],[Regon]])</f>
        <v>25041632</v>
      </c>
      <c r="F27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277" s="1"/>
      <c r="H27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78" spans="1:8" x14ac:dyDescent="0.25">
      <c r="A278" s="1" t="s">
        <v>366</v>
      </c>
      <c r="B278" s="11">
        <v>25043101</v>
      </c>
      <c r="C278" s="1" t="s">
        <v>21</v>
      </c>
      <c r="D278" s="1" t="s">
        <v>22</v>
      </c>
      <c r="E278" s="12">
        <f>IF(LEN(regon9[[#This Row],[Regon]]) = 7,TEXT(regon9[[#This Row],[Regon]],"000000000"),regon9[[#This Row],[Regon]])</f>
        <v>25043101</v>
      </c>
      <c r="F27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278" s="1"/>
      <c r="H27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79" spans="1:8" x14ac:dyDescent="0.25">
      <c r="A279" s="1" t="s">
        <v>367</v>
      </c>
      <c r="B279" s="11">
        <v>1117362</v>
      </c>
      <c r="C279" s="1" t="s">
        <v>21</v>
      </c>
      <c r="D279" s="1" t="s">
        <v>22</v>
      </c>
      <c r="E279" s="12" t="str">
        <f>IF(LEN(regon9[[#This Row],[Regon]]) = 7,TEXT(regon9[[#This Row],[Regon]],"000000000"),regon9[[#This Row],[Regon]])</f>
        <v>001117362</v>
      </c>
      <c r="F27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279" s="1"/>
      <c r="H27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80" spans="1:8" x14ac:dyDescent="0.25">
      <c r="A280" s="1" t="s">
        <v>368</v>
      </c>
      <c r="B280" s="11">
        <v>1184631</v>
      </c>
      <c r="C280" s="1" t="s">
        <v>21</v>
      </c>
      <c r="D280" s="1" t="s">
        <v>22</v>
      </c>
      <c r="E280" s="12" t="str">
        <f>IF(LEN(regon9[[#This Row],[Regon]]) = 7,TEXT(regon9[[#This Row],[Regon]],"000000000"),regon9[[#This Row],[Regon]])</f>
        <v>001184631</v>
      </c>
      <c r="F28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280" s="1"/>
      <c r="H28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81" spans="1:8" x14ac:dyDescent="0.25">
      <c r="A281" s="1" t="s">
        <v>369</v>
      </c>
      <c r="B281" s="11">
        <v>1235589</v>
      </c>
      <c r="C281" s="1" t="s">
        <v>21</v>
      </c>
      <c r="D281" s="1" t="s">
        <v>22</v>
      </c>
      <c r="E281" s="12" t="str">
        <f>IF(LEN(regon9[[#This Row],[Regon]]) = 7,TEXT(regon9[[#This Row],[Regon]],"000000000"),regon9[[#This Row],[Regon]])</f>
        <v>001235589</v>
      </c>
      <c r="F28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281" s="1"/>
      <c r="H28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82" spans="1:8" x14ac:dyDescent="0.25">
      <c r="A282" s="1" t="s">
        <v>370</v>
      </c>
      <c r="B282" s="11">
        <v>1534527</v>
      </c>
      <c r="C282" s="1" t="s">
        <v>21</v>
      </c>
      <c r="D282" s="1" t="s">
        <v>22</v>
      </c>
      <c r="E282" s="12" t="str">
        <f>IF(LEN(regon9[[#This Row],[Regon]]) = 7,TEXT(regon9[[#This Row],[Regon]],"000000000"),regon9[[#This Row],[Regon]])</f>
        <v>001534527</v>
      </c>
      <c r="F28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282" s="1"/>
      <c r="H28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83" spans="1:8" x14ac:dyDescent="0.25">
      <c r="A283" s="1" t="s">
        <v>371</v>
      </c>
      <c r="B283" s="11">
        <v>6156599</v>
      </c>
      <c r="C283" s="1" t="s">
        <v>21</v>
      </c>
      <c r="D283" s="1" t="s">
        <v>372</v>
      </c>
      <c r="E283" s="12" t="str">
        <f>IF(LEN(regon9[[#This Row],[Regon]]) = 7,TEXT(regon9[[#This Row],[Regon]],"000000000"),regon9[[#This Row],[Regon]])</f>
        <v>006156599</v>
      </c>
      <c r="F28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283" s="1"/>
      <c r="H28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84" spans="1:8" x14ac:dyDescent="0.25">
      <c r="A284" s="1" t="s">
        <v>373</v>
      </c>
      <c r="B284" s="11">
        <v>10155876</v>
      </c>
      <c r="C284" s="1" t="s">
        <v>21</v>
      </c>
      <c r="D284" s="1" t="s">
        <v>22</v>
      </c>
      <c r="E284" s="12">
        <f>IF(LEN(regon9[[#This Row],[Regon]]) = 7,TEXT(regon9[[#This Row],[Regon]],"000000000"),regon9[[#This Row],[Regon]])</f>
        <v>10155876</v>
      </c>
      <c r="F28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284" s="1"/>
      <c r="H28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85" spans="1:8" x14ac:dyDescent="0.25">
      <c r="A285" s="1" t="s">
        <v>374</v>
      </c>
      <c r="B285" s="11">
        <v>14012455</v>
      </c>
      <c r="C285" s="1" t="s">
        <v>21</v>
      </c>
      <c r="D285" s="1" t="s">
        <v>22</v>
      </c>
      <c r="E285" s="12">
        <f>IF(LEN(regon9[[#This Row],[Regon]]) = 7,TEXT(regon9[[#This Row],[Regon]],"000000000"),regon9[[#This Row],[Regon]])</f>
        <v>14012455</v>
      </c>
      <c r="F28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285" s="1"/>
      <c r="H28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86" spans="1:8" x14ac:dyDescent="0.25">
      <c r="A286" s="1" t="s">
        <v>375</v>
      </c>
      <c r="B286" s="11">
        <v>14027712</v>
      </c>
      <c r="C286" s="1" t="s">
        <v>21</v>
      </c>
      <c r="D286" s="1" t="s">
        <v>22</v>
      </c>
      <c r="E286" s="12">
        <f>IF(LEN(regon9[[#This Row],[Regon]]) = 7,TEXT(regon9[[#This Row],[Regon]],"000000000"),regon9[[#This Row],[Regon]])</f>
        <v>14027712</v>
      </c>
      <c r="F28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286" s="1"/>
      <c r="H28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87" spans="1:8" x14ac:dyDescent="0.25">
      <c r="A287" s="1" t="s">
        <v>376</v>
      </c>
      <c r="B287" s="11">
        <v>14044984</v>
      </c>
      <c r="C287" s="1" t="s">
        <v>21</v>
      </c>
      <c r="D287" s="1" t="s">
        <v>22</v>
      </c>
      <c r="E287" s="12">
        <f>IF(LEN(regon9[[#This Row],[Regon]]) = 7,TEXT(regon9[[#This Row],[Regon]],"000000000"),regon9[[#This Row],[Regon]])</f>
        <v>14044984</v>
      </c>
      <c r="F28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287" s="1"/>
      <c r="H28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88" spans="1:8" x14ac:dyDescent="0.25">
      <c r="A288" s="1" t="s">
        <v>377</v>
      </c>
      <c r="B288" s="11">
        <v>14082345</v>
      </c>
      <c r="C288" s="1" t="s">
        <v>21</v>
      </c>
      <c r="D288" s="1" t="s">
        <v>378</v>
      </c>
      <c r="E288" s="12">
        <f>IF(LEN(regon9[[#This Row],[Regon]]) = 7,TEXT(regon9[[#This Row],[Regon]],"000000000"),regon9[[#This Row],[Regon]])</f>
        <v>14082345</v>
      </c>
      <c r="F28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288" s="1"/>
      <c r="H28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89" spans="1:8" x14ac:dyDescent="0.25">
      <c r="A289" s="1" t="s">
        <v>379</v>
      </c>
      <c r="B289" s="11">
        <v>14626852</v>
      </c>
      <c r="C289" s="1" t="s">
        <v>21</v>
      </c>
      <c r="D289" s="1" t="s">
        <v>22</v>
      </c>
      <c r="E289" s="12">
        <f>IF(LEN(regon9[[#This Row],[Regon]]) = 7,TEXT(regon9[[#This Row],[Regon]],"000000000"),regon9[[#This Row],[Regon]])</f>
        <v>14626852</v>
      </c>
      <c r="F28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289" s="1"/>
      <c r="H28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90" spans="1:8" x14ac:dyDescent="0.25">
      <c r="A290" s="1" t="s">
        <v>380</v>
      </c>
      <c r="B290" s="11">
        <v>14647550</v>
      </c>
      <c r="C290" s="1" t="s">
        <v>21</v>
      </c>
      <c r="D290" s="1" t="s">
        <v>381</v>
      </c>
      <c r="E290" s="12">
        <f>IF(LEN(regon9[[#This Row],[Regon]]) = 7,TEXT(regon9[[#This Row],[Regon]],"000000000"),regon9[[#This Row],[Regon]])</f>
        <v>14647550</v>
      </c>
      <c r="F29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290" s="1"/>
      <c r="H29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91" spans="1:8" x14ac:dyDescent="0.25">
      <c r="A291" s="1" t="s">
        <v>382</v>
      </c>
      <c r="B291" s="11">
        <v>14678858</v>
      </c>
      <c r="C291" s="1" t="s">
        <v>21</v>
      </c>
      <c r="D291" s="1" t="s">
        <v>383</v>
      </c>
      <c r="E291" s="12">
        <f>IF(LEN(regon9[[#This Row],[Regon]]) = 7,TEXT(regon9[[#This Row],[Regon]],"000000000"),regon9[[#This Row],[Regon]])</f>
        <v>14678858</v>
      </c>
      <c r="F29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291" s="1"/>
      <c r="H29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92" spans="1:8" x14ac:dyDescent="0.25">
      <c r="A292" s="1" t="s">
        <v>384</v>
      </c>
      <c r="B292" s="11">
        <v>14726354</v>
      </c>
      <c r="C292" s="1" t="s">
        <v>21</v>
      </c>
      <c r="D292" s="1" t="s">
        <v>22</v>
      </c>
      <c r="E292" s="12">
        <f>IF(LEN(regon9[[#This Row],[Regon]]) = 7,TEXT(regon9[[#This Row],[Regon]],"000000000"),regon9[[#This Row],[Regon]])</f>
        <v>14726354</v>
      </c>
      <c r="F29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292" s="1"/>
      <c r="H29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93" spans="1:8" x14ac:dyDescent="0.25">
      <c r="A293" s="1" t="s">
        <v>385</v>
      </c>
      <c r="B293" s="11">
        <v>14737791</v>
      </c>
      <c r="C293" s="1" t="s">
        <v>21</v>
      </c>
      <c r="D293" s="1" t="s">
        <v>22</v>
      </c>
      <c r="E293" s="12">
        <f>IF(LEN(regon9[[#This Row],[Regon]]) = 7,TEXT(regon9[[#This Row],[Regon]],"000000000"),regon9[[#This Row],[Regon]])</f>
        <v>14737791</v>
      </c>
      <c r="F29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293" s="1"/>
      <c r="H29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94" spans="1:8" x14ac:dyDescent="0.25">
      <c r="A294" s="1" t="s">
        <v>386</v>
      </c>
      <c r="B294" s="11">
        <v>22187764</v>
      </c>
      <c r="C294" s="1" t="s">
        <v>21</v>
      </c>
      <c r="D294" s="1" t="s">
        <v>22</v>
      </c>
      <c r="E294" s="12">
        <f>IF(LEN(regon9[[#This Row],[Regon]]) = 7,TEXT(regon9[[#This Row],[Regon]],"000000000"),regon9[[#This Row],[Regon]])</f>
        <v>22187764</v>
      </c>
      <c r="F29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294" s="1"/>
      <c r="H29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95" spans="1:8" x14ac:dyDescent="0.25">
      <c r="A295" s="1" t="s">
        <v>387</v>
      </c>
      <c r="B295" s="11">
        <v>26033704</v>
      </c>
      <c r="C295" s="1" t="s">
        <v>21</v>
      </c>
      <c r="D295" s="1" t="s">
        <v>22</v>
      </c>
      <c r="E295" s="12">
        <f>IF(LEN(regon9[[#This Row],[Regon]]) = 7,TEXT(regon9[[#This Row],[Regon]],"000000000"),regon9[[#This Row],[Regon]])</f>
        <v>26033704</v>
      </c>
      <c r="F29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295" s="1"/>
      <c r="H29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96" spans="1:8" x14ac:dyDescent="0.25">
      <c r="A296" s="1" t="s">
        <v>388</v>
      </c>
      <c r="B296" s="11">
        <v>29269089</v>
      </c>
      <c r="C296" s="1" t="s">
        <v>21</v>
      </c>
      <c r="D296" s="1" t="s">
        <v>389</v>
      </c>
      <c r="E296" s="12">
        <f>IF(LEN(regon9[[#This Row],[Regon]]) = 7,TEXT(regon9[[#This Row],[Regon]],"000000000"),regon9[[#This Row],[Regon]])</f>
        <v>29269089</v>
      </c>
      <c r="F29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296" s="1"/>
      <c r="H29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97" spans="1:8" x14ac:dyDescent="0.25">
      <c r="A297" s="1" t="s">
        <v>390</v>
      </c>
      <c r="B297" s="11">
        <v>30278324</v>
      </c>
      <c r="C297" s="1" t="s">
        <v>21</v>
      </c>
      <c r="D297" s="1" t="s">
        <v>22</v>
      </c>
      <c r="E297" s="12">
        <f>IF(LEN(regon9[[#This Row],[Regon]]) = 7,TEXT(regon9[[#This Row],[Regon]],"000000000"),regon9[[#This Row],[Regon]])</f>
        <v>30278324</v>
      </c>
      <c r="F29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297" s="1"/>
      <c r="H29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98" spans="1:8" x14ac:dyDescent="0.25">
      <c r="A298" s="1" t="s">
        <v>391</v>
      </c>
      <c r="B298" s="11">
        <v>32040564</v>
      </c>
      <c r="C298" s="1" t="s">
        <v>21</v>
      </c>
      <c r="D298" s="1" t="s">
        <v>22</v>
      </c>
      <c r="E298" s="12">
        <f>IF(LEN(regon9[[#This Row],[Regon]]) = 7,TEXT(regon9[[#This Row],[Regon]],"000000000"),regon9[[#This Row],[Regon]])</f>
        <v>32040564</v>
      </c>
      <c r="F29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298" s="1"/>
      <c r="H29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299" spans="1:8" x14ac:dyDescent="0.25">
      <c r="A299" s="1" t="s">
        <v>392</v>
      </c>
      <c r="B299" s="11">
        <v>32137991</v>
      </c>
      <c r="C299" s="1" t="s">
        <v>21</v>
      </c>
      <c r="D299" s="1" t="s">
        <v>22</v>
      </c>
      <c r="E299" s="12">
        <f>IF(LEN(regon9[[#This Row],[Regon]]) = 7,TEXT(regon9[[#This Row],[Regon]],"000000000"),regon9[[#This Row],[Regon]])</f>
        <v>32137991</v>
      </c>
      <c r="F29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299" s="1"/>
      <c r="H29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00" spans="1:8" x14ac:dyDescent="0.25">
      <c r="A300" s="1" t="s">
        <v>393</v>
      </c>
      <c r="B300" s="11">
        <v>36055273</v>
      </c>
      <c r="C300" s="1" t="s">
        <v>21</v>
      </c>
      <c r="D300" s="1" t="s">
        <v>22</v>
      </c>
      <c r="E300" s="12">
        <f>IF(LEN(regon9[[#This Row],[Regon]]) = 7,TEXT(regon9[[#This Row],[Regon]],"000000000"),regon9[[#This Row],[Regon]])</f>
        <v>36055273</v>
      </c>
      <c r="F30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300" s="1"/>
      <c r="H30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01" spans="1:8" x14ac:dyDescent="0.25">
      <c r="A301" s="1" t="s">
        <v>394</v>
      </c>
      <c r="B301" s="11">
        <v>36083549</v>
      </c>
      <c r="C301" s="1" t="s">
        <v>21</v>
      </c>
      <c r="D301" s="1" t="s">
        <v>22</v>
      </c>
      <c r="E301" s="12">
        <f>IF(LEN(regon9[[#This Row],[Regon]]) = 7,TEXT(regon9[[#This Row],[Regon]],"000000000"),regon9[[#This Row],[Regon]])</f>
        <v>36083549</v>
      </c>
      <c r="F30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301" s="1"/>
      <c r="H30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02" spans="1:8" x14ac:dyDescent="0.25">
      <c r="A302" s="1" t="s">
        <v>395</v>
      </c>
      <c r="B302" s="11">
        <v>36186343</v>
      </c>
      <c r="C302" s="1" t="s">
        <v>21</v>
      </c>
      <c r="D302" s="1" t="s">
        <v>22</v>
      </c>
      <c r="E302" s="12">
        <f>IF(LEN(regon9[[#This Row],[Regon]]) = 7,TEXT(regon9[[#This Row],[Regon]],"000000000"),regon9[[#This Row],[Regon]])</f>
        <v>36186343</v>
      </c>
      <c r="F30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302" s="1"/>
      <c r="H30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03" spans="1:8" x14ac:dyDescent="0.25">
      <c r="A303" s="1" t="s">
        <v>396</v>
      </c>
      <c r="B303" s="11">
        <v>36539180</v>
      </c>
      <c r="C303" s="1" t="s">
        <v>21</v>
      </c>
      <c r="D303" s="1" t="s">
        <v>22</v>
      </c>
      <c r="E303" s="12">
        <f>IF(LEN(regon9[[#This Row],[Regon]]) = 7,TEXT(regon9[[#This Row],[Regon]],"000000000"),regon9[[#This Row],[Regon]])</f>
        <v>36539180</v>
      </c>
      <c r="F30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303" s="1"/>
      <c r="H30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04" spans="1:8" x14ac:dyDescent="0.25">
      <c r="A304" s="1" t="s">
        <v>397</v>
      </c>
      <c r="B304" s="11">
        <v>14066515</v>
      </c>
      <c r="C304" s="1" t="s">
        <v>21</v>
      </c>
      <c r="D304" s="1" t="s">
        <v>398</v>
      </c>
      <c r="E304" s="12">
        <f>IF(LEN(regon9[[#This Row],[Regon]]) = 7,TEXT(regon9[[#This Row],[Regon]],"000000000"),regon9[[#This Row],[Regon]])</f>
        <v>14066515</v>
      </c>
      <c r="F30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304" s="1"/>
      <c r="H30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05" spans="1:8" x14ac:dyDescent="0.25">
      <c r="A305" s="1" t="s">
        <v>399</v>
      </c>
      <c r="B305" s="11">
        <v>14101280</v>
      </c>
      <c r="C305" s="1" t="s">
        <v>21</v>
      </c>
      <c r="D305" s="1" t="s">
        <v>22</v>
      </c>
      <c r="E305" s="12">
        <f>IF(LEN(regon9[[#This Row],[Regon]]) = 7,TEXT(regon9[[#This Row],[Regon]],"000000000"),regon9[[#This Row],[Regon]])</f>
        <v>14101280</v>
      </c>
      <c r="F30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305" s="1"/>
      <c r="H30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06" spans="1:8" x14ac:dyDescent="0.25">
      <c r="A306" s="1" t="s">
        <v>400</v>
      </c>
      <c r="B306" s="11">
        <v>14105576</v>
      </c>
      <c r="C306" s="1" t="s">
        <v>21</v>
      </c>
      <c r="D306" s="1" t="s">
        <v>401</v>
      </c>
      <c r="E306" s="12">
        <f>IF(LEN(regon9[[#This Row],[Regon]]) = 7,TEXT(regon9[[#This Row],[Regon]],"000000000"),regon9[[#This Row],[Regon]])</f>
        <v>14105576</v>
      </c>
      <c r="F30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306" s="1"/>
      <c r="H30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07" spans="1:8" x14ac:dyDescent="0.25">
      <c r="A307" s="1" t="s">
        <v>402</v>
      </c>
      <c r="B307" s="11">
        <v>14138442</v>
      </c>
      <c r="C307" s="1" t="s">
        <v>21</v>
      </c>
      <c r="D307" s="1" t="s">
        <v>22</v>
      </c>
      <c r="E307" s="12">
        <f>IF(LEN(regon9[[#This Row],[Regon]]) = 7,TEXT(regon9[[#This Row],[Regon]],"000000000"),regon9[[#This Row],[Regon]])</f>
        <v>14138442</v>
      </c>
      <c r="F30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307" s="1"/>
      <c r="H30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08" spans="1:8" x14ac:dyDescent="0.25">
      <c r="A308" s="1" t="s">
        <v>403</v>
      </c>
      <c r="B308" s="11">
        <v>14152271</v>
      </c>
      <c r="C308" s="1" t="s">
        <v>21</v>
      </c>
      <c r="D308" s="1" t="s">
        <v>404</v>
      </c>
      <c r="E308" s="12">
        <f>IF(LEN(regon9[[#This Row],[Regon]]) = 7,TEXT(regon9[[#This Row],[Regon]],"000000000"),regon9[[#This Row],[Regon]])</f>
        <v>14152271</v>
      </c>
      <c r="F30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308" s="1"/>
      <c r="H30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09" spans="1:8" x14ac:dyDescent="0.25">
      <c r="A309" s="1" t="s">
        <v>405</v>
      </c>
      <c r="B309" s="11">
        <v>14189209</v>
      </c>
      <c r="C309" s="1" t="s">
        <v>21</v>
      </c>
      <c r="D309" s="1" t="s">
        <v>22</v>
      </c>
      <c r="E309" s="12">
        <f>IF(LEN(regon9[[#This Row],[Regon]]) = 7,TEXT(regon9[[#This Row],[Regon]],"000000000"),regon9[[#This Row],[Regon]])</f>
        <v>14189209</v>
      </c>
      <c r="F30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309" s="1"/>
      <c r="H30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10" spans="1:8" x14ac:dyDescent="0.25">
      <c r="A310" s="1" t="s">
        <v>406</v>
      </c>
      <c r="B310" s="11">
        <v>14214327</v>
      </c>
      <c r="C310" s="1" t="s">
        <v>21</v>
      </c>
      <c r="D310" s="1" t="s">
        <v>407</v>
      </c>
      <c r="E310" s="12">
        <f>IF(LEN(regon9[[#This Row],[Regon]]) = 7,TEXT(regon9[[#This Row],[Regon]],"000000000"),regon9[[#This Row],[Regon]])</f>
        <v>14214327</v>
      </c>
      <c r="F31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310" s="1"/>
      <c r="H31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11" spans="1:8" x14ac:dyDescent="0.25">
      <c r="A311" s="1" t="s">
        <v>408</v>
      </c>
      <c r="B311" s="11">
        <v>14241840</v>
      </c>
      <c r="C311" s="1" t="s">
        <v>21</v>
      </c>
      <c r="D311" s="1" t="s">
        <v>22</v>
      </c>
      <c r="E311" s="12">
        <f>IF(LEN(regon9[[#This Row],[Regon]]) = 7,TEXT(regon9[[#This Row],[Regon]],"000000000"),regon9[[#This Row],[Regon]])</f>
        <v>14241840</v>
      </c>
      <c r="F31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311" s="1"/>
      <c r="H31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12" spans="1:8" x14ac:dyDescent="0.25">
      <c r="A312" s="1" t="s">
        <v>409</v>
      </c>
      <c r="B312" s="11">
        <v>14248689</v>
      </c>
      <c r="C312" s="1" t="s">
        <v>21</v>
      </c>
      <c r="D312" s="1" t="s">
        <v>22</v>
      </c>
      <c r="E312" s="12">
        <f>IF(LEN(regon9[[#This Row],[Regon]]) = 7,TEXT(regon9[[#This Row],[Regon]],"000000000"),regon9[[#This Row],[Regon]])</f>
        <v>14248689</v>
      </c>
      <c r="F31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312" s="1"/>
      <c r="H31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13" spans="1:8" x14ac:dyDescent="0.25">
      <c r="A313" s="1" t="s">
        <v>410</v>
      </c>
      <c r="B313" s="11">
        <v>14250110</v>
      </c>
      <c r="C313" s="1" t="s">
        <v>21</v>
      </c>
      <c r="D313" s="1" t="s">
        <v>411</v>
      </c>
      <c r="E313" s="12">
        <f>IF(LEN(regon9[[#This Row],[Regon]]) = 7,TEXT(regon9[[#This Row],[Regon]],"000000000"),regon9[[#This Row],[Regon]])</f>
        <v>14250110</v>
      </c>
      <c r="F31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313" s="1"/>
      <c r="H31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14" spans="1:8" x14ac:dyDescent="0.25">
      <c r="A314" s="1" t="s">
        <v>412</v>
      </c>
      <c r="B314" s="11">
        <v>14250804</v>
      </c>
      <c r="C314" s="1" t="s">
        <v>21</v>
      </c>
      <c r="D314" s="1" t="s">
        <v>22</v>
      </c>
      <c r="E314" s="12">
        <f>IF(LEN(regon9[[#This Row],[Regon]]) = 7,TEXT(regon9[[#This Row],[Regon]],"000000000"),regon9[[#This Row],[Regon]])</f>
        <v>14250804</v>
      </c>
      <c r="F31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314" s="1"/>
      <c r="H31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15" spans="1:8" x14ac:dyDescent="0.25">
      <c r="A315" s="1" t="s">
        <v>413</v>
      </c>
      <c r="B315" s="11">
        <v>14272114</v>
      </c>
      <c r="C315" s="1" t="s">
        <v>21</v>
      </c>
      <c r="D315" s="1" t="s">
        <v>414</v>
      </c>
      <c r="E315" s="12">
        <f>IF(LEN(regon9[[#This Row],[Regon]]) = 7,TEXT(regon9[[#This Row],[Regon]],"000000000"),regon9[[#This Row],[Regon]])</f>
        <v>14272114</v>
      </c>
      <c r="F31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315" s="1"/>
      <c r="H31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16" spans="1:8" x14ac:dyDescent="0.25">
      <c r="A316" s="1" t="s">
        <v>415</v>
      </c>
      <c r="B316" s="11">
        <v>14275992</v>
      </c>
      <c r="C316" s="1" t="s">
        <v>21</v>
      </c>
      <c r="D316" s="1" t="s">
        <v>416</v>
      </c>
      <c r="E316" s="12">
        <f>IF(LEN(regon9[[#This Row],[Regon]]) = 7,TEXT(regon9[[#This Row],[Regon]],"000000000"),regon9[[#This Row],[Regon]])</f>
        <v>14275992</v>
      </c>
      <c r="F31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316" s="1"/>
      <c r="H31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17" spans="1:8" x14ac:dyDescent="0.25">
      <c r="A317" s="1" t="s">
        <v>417</v>
      </c>
      <c r="B317" s="11">
        <v>14295282</v>
      </c>
      <c r="C317" s="1" t="s">
        <v>21</v>
      </c>
      <c r="D317" s="1" t="s">
        <v>22</v>
      </c>
      <c r="E317" s="12">
        <f>IF(LEN(regon9[[#This Row],[Regon]]) = 7,TEXT(regon9[[#This Row],[Regon]],"000000000"),regon9[[#This Row],[Regon]])</f>
        <v>14295282</v>
      </c>
      <c r="F31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317" s="1"/>
      <c r="H31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18" spans="1:8" x14ac:dyDescent="0.25">
      <c r="A318" s="1" t="s">
        <v>418</v>
      </c>
      <c r="B318" s="11">
        <v>14596324</v>
      </c>
      <c r="C318" s="1" t="s">
        <v>21</v>
      </c>
      <c r="D318" s="1" t="s">
        <v>22</v>
      </c>
      <c r="E318" s="12">
        <f>IF(LEN(regon9[[#This Row],[Regon]]) = 7,TEXT(regon9[[#This Row],[Regon]],"000000000"),regon9[[#This Row],[Regon]])</f>
        <v>14596324</v>
      </c>
      <c r="F31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318" s="1"/>
      <c r="H31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19" spans="1:8" x14ac:dyDescent="0.25">
      <c r="A319" s="1" t="s">
        <v>419</v>
      </c>
      <c r="B319" s="11">
        <v>14621224</v>
      </c>
      <c r="C319" s="1" t="s">
        <v>21</v>
      </c>
      <c r="D319" s="1" t="s">
        <v>22</v>
      </c>
      <c r="E319" s="12">
        <f>IF(LEN(regon9[[#This Row],[Regon]]) = 7,TEXT(regon9[[#This Row],[Regon]],"000000000"),regon9[[#This Row],[Regon]])</f>
        <v>14621224</v>
      </c>
      <c r="F31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319" s="1"/>
      <c r="H31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20" spans="1:8" x14ac:dyDescent="0.25">
      <c r="A320" s="1" t="s">
        <v>420</v>
      </c>
      <c r="B320" s="11">
        <v>34058947</v>
      </c>
      <c r="C320" s="1" t="s">
        <v>21</v>
      </c>
      <c r="D320" s="1" t="s">
        <v>421</v>
      </c>
      <c r="E320" s="12">
        <f>IF(LEN(regon9[[#This Row],[Regon]]) = 7,TEXT(regon9[[#This Row],[Regon]],"000000000"),regon9[[#This Row],[Regon]])</f>
        <v>34058947</v>
      </c>
      <c r="F32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320" s="1"/>
      <c r="H32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21" spans="1:8" x14ac:dyDescent="0.25">
      <c r="A321" s="1" t="s">
        <v>422</v>
      </c>
      <c r="B321" s="11">
        <v>36022008</v>
      </c>
      <c r="C321" s="1" t="s">
        <v>21</v>
      </c>
      <c r="D321" s="1" t="s">
        <v>22</v>
      </c>
      <c r="E321" s="12">
        <f>IF(LEN(regon9[[#This Row],[Regon]]) = 7,TEXT(regon9[[#This Row],[Regon]],"000000000"),regon9[[#This Row],[Regon]])</f>
        <v>36022008</v>
      </c>
      <c r="F32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321" s="1"/>
      <c r="H32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22" spans="1:8" x14ac:dyDescent="0.25">
      <c r="A322" s="1" t="s">
        <v>423</v>
      </c>
      <c r="B322" s="11">
        <v>36441292</v>
      </c>
      <c r="C322" s="1" t="s">
        <v>21</v>
      </c>
      <c r="D322" s="1" t="s">
        <v>22</v>
      </c>
      <c r="E322" s="12">
        <f>IF(LEN(regon9[[#This Row],[Regon]]) = 7,TEXT(regon9[[#This Row],[Regon]],"000000000"),regon9[[#This Row],[Regon]])</f>
        <v>36441292</v>
      </c>
      <c r="F32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322" s="1"/>
      <c r="H32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23" spans="1:8" x14ac:dyDescent="0.25">
      <c r="A323" s="1" t="s">
        <v>424</v>
      </c>
      <c r="B323" s="11">
        <v>36550335</v>
      </c>
      <c r="C323" s="1" t="s">
        <v>21</v>
      </c>
      <c r="D323" s="1" t="s">
        <v>22</v>
      </c>
      <c r="E323" s="12">
        <f>IF(LEN(regon9[[#This Row],[Regon]]) = 7,TEXT(regon9[[#This Row],[Regon]],"000000000"),regon9[[#This Row],[Regon]])</f>
        <v>36550335</v>
      </c>
      <c r="F32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323" s="1"/>
      <c r="H32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24" spans="1:8" x14ac:dyDescent="0.25">
      <c r="A324" s="1" t="s">
        <v>425</v>
      </c>
      <c r="B324" s="11">
        <v>36550348</v>
      </c>
      <c r="C324" s="1" t="s">
        <v>21</v>
      </c>
      <c r="D324" s="1" t="s">
        <v>22</v>
      </c>
      <c r="E324" s="12">
        <f>IF(LEN(regon9[[#This Row],[Regon]]) = 7,TEXT(regon9[[#This Row],[Regon]],"000000000"),regon9[[#This Row],[Regon]])</f>
        <v>36550348</v>
      </c>
      <c r="F32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324" s="1"/>
      <c r="H32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25" spans="1:8" x14ac:dyDescent="0.25">
      <c r="A325" s="1" t="s">
        <v>426</v>
      </c>
      <c r="B325" s="11">
        <v>61001067</v>
      </c>
      <c r="C325" s="1" t="s">
        <v>21</v>
      </c>
      <c r="D325" s="1" t="s">
        <v>427</v>
      </c>
      <c r="E325" s="12">
        <f>IF(LEN(regon9[[#This Row],[Regon]]) = 7,TEXT(regon9[[#This Row],[Regon]],"000000000"),regon9[[#This Row],[Regon]])</f>
        <v>61001067</v>
      </c>
      <c r="F32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325" s="1"/>
      <c r="H32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26" spans="1:8" x14ac:dyDescent="0.25">
      <c r="A326" s="1" t="s">
        <v>428</v>
      </c>
      <c r="B326" s="11">
        <v>61001812</v>
      </c>
      <c r="C326" s="1" t="s">
        <v>21</v>
      </c>
      <c r="D326" s="1" t="s">
        <v>22</v>
      </c>
      <c r="E326" s="12">
        <f>IF(LEN(regon9[[#This Row],[Regon]]) = 7,TEXT(regon9[[#This Row],[Regon]],"000000000"),regon9[[#This Row],[Regon]])</f>
        <v>61001812</v>
      </c>
      <c r="F32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326" s="1"/>
      <c r="H32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27" spans="1:8" x14ac:dyDescent="0.25">
      <c r="A327" s="1" t="s">
        <v>429</v>
      </c>
      <c r="B327" s="11">
        <v>61002030</v>
      </c>
      <c r="C327" s="1" t="s">
        <v>21</v>
      </c>
      <c r="D327" s="1" t="s">
        <v>430</v>
      </c>
      <c r="E327" s="12">
        <f>IF(LEN(regon9[[#This Row],[Regon]]) = 7,TEXT(regon9[[#This Row],[Regon]],"000000000"),regon9[[#This Row],[Regon]])</f>
        <v>61002030</v>
      </c>
      <c r="F32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327" s="1"/>
      <c r="H32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28" spans="1:8" x14ac:dyDescent="0.25">
      <c r="A328" s="1" t="s">
        <v>431</v>
      </c>
      <c r="B328" s="11">
        <v>61003331</v>
      </c>
      <c r="C328" s="1" t="s">
        <v>21</v>
      </c>
      <c r="D328" s="1" t="s">
        <v>432</v>
      </c>
      <c r="E328" s="12">
        <f>IF(LEN(regon9[[#This Row],[Regon]]) = 7,TEXT(regon9[[#This Row],[Regon]],"000000000"),regon9[[#This Row],[Regon]])</f>
        <v>61003331</v>
      </c>
      <c r="F32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328" s="1"/>
      <c r="H32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29" spans="1:8" x14ac:dyDescent="0.25">
      <c r="A329" s="1" t="s">
        <v>433</v>
      </c>
      <c r="B329" s="11">
        <v>61003718</v>
      </c>
      <c r="C329" s="1" t="s">
        <v>21</v>
      </c>
      <c r="D329" s="1" t="s">
        <v>22</v>
      </c>
      <c r="E329" s="12">
        <f>IF(LEN(regon9[[#This Row],[Regon]]) = 7,TEXT(regon9[[#This Row],[Regon]],"000000000"),regon9[[#This Row],[Regon]])</f>
        <v>61003718</v>
      </c>
      <c r="F32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329" s="1"/>
      <c r="H32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30" spans="1:8" x14ac:dyDescent="0.25">
      <c r="A330" s="1" t="s">
        <v>434</v>
      </c>
      <c r="B330" s="11">
        <v>61008125</v>
      </c>
      <c r="C330" s="1" t="s">
        <v>21</v>
      </c>
      <c r="D330" s="1" t="s">
        <v>435</v>
      </c>
      <c r="E330" s="12">
        <f>IF(LEN(regon9[[#This Row],[Regon]]) = 7,TEXT(regon9[[#This Row],[Regon]],"000000000"),regon9[[#This Row],[Regon]])</f>
        <v>61008125</v>
      </c>
      <c r="F33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330" s="1"/>
      <c r="H33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31" spans="1:8" x14ac:dyDescent="0.25">
      <c r="A331" s="1" t="s">
        <v>436</v>
      </c>
      <c r="B331" s="11">
        <v>61010404</v>
      </c>
      <c r="C331" s="1" t="s">
        <v>21</v>
      </c>
      <c r="D331" s="1" t="s">
        <v>22</v>
      </c>
      <c r="E331" s="12">
        <f>IF(LEN(regon9[[#This Row],[Regon]]) = 7,TEXT(regon9[[#This Row],[Regon]],"000000000"),regon9[[#This Row],[Regon]])</f>
        <v>61010404</v>
      </c>
      <c r="F33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331" s="1"/>
      <c r="H33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32" spans="1:8" x14ac:dyDescent="0.25">
      <c r="A332" s="1" t="s">
        <v>95</v>
      </c>
      <c r="B332" s="11">
        <v>61011188</v>
      </c>
      <c r="C332" s="1" t="s">
        <v>21</v>
      </c>
      <c r="D332" s="1" t="s">
        <v>73</v>
      </c>
      <c r="E332" s="12">
        <f>IF(LEN(regon9[[#This Row],[Regon]]) = 7,TEXT(regon9[[#This Row],[Regon]],"000000000"),regon9[[#This Row],[Regon]])</f>
        <v>61011188</v>
      </c>
      <c r="F33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332" s="1"/>
      <c r="H33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33" spans="1:8" x14ac:dyDescent="0.25">
      <c r="A333" s="1" t="s">
        <v>437</v>
      </c>
      <c r="B333" s="11">
        <v>61014608</v>
      </c>
      <c r="C333" s="1" t="s">
        <v>21</v>
      </c>
      <c r="D333" s="1" t="s">
        <v>22</v>
      </c>
      <c r="E333" s="12">
        <f>IF(LEN(regon9[[#This Row],[Regon]]) = 7,TEXT(regon9[[#This Row],[Regon]],"000000000"),regon9[[#This Row],[Regon]])</f>
        <v>61014608</v>
      </c>
      <c r="F33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333" s="1"/>
      <c r="H33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34" spans="1:8" x14ac:dyDescent="0.25">
      <c r="A334" s="1" t="s">
        <v>438</v>
      </c>
      <c r="B334" s="11">
        <v>61014678</v>
      </c>
      <c r="C334" s="1" t="s">
        <v>21</v>
      </c>
      <c r="D334" s="1" t="s">
        <v>439</v>
      </c>
      <c r="E334" s="12">
        <f>IF(LEN(regon9[[#This Row],[Regon]]) = 7,TEXT(regon9[[#This Row],[Regon]],"000000000"),regon9[[#This Row],[Regon]])</f>
        <v>61014678</v>
      </c>
      <c r="F33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334" s="1"/>
      <c r="H33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35" spans="1:8" x14ac:dyDescent="0.25">
      <c r="A335" s="1" t="s">
        <v>440</v>
      </c>
      <c r="B335" s="11">
        <v>61017302</v>
      </c>
      <c r="C335" s="1" t="s">
        <v>21</v>
      </c>
      <c r="D335" s="1" t="s">
        <v>73</v>
      </c>
      <c r="E335" s="12">
        <f>IF(LEN(regon9[[#This Row],[Regon]]) = 7,TEXT(regon9[[#This Row],[Regon]],"000000000"),regon9[[#This Row],[Regon]])</f>
        <v>61017302</v>
      </c>
      <c r="F33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335" s="1"/>
      <c r="H33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36" spans="1:8" x14ac:dyDescent="0.25">
      <c r="A336" s="1" t="s">
        <v>441</v>
      </c>
      <c r="B336" s="11">
        <v>61021035</v>
      </c>
      <c r="C336" s="1" t="s">
        <v>21</v>
      </c>
      <c r="D336" s="1" t="s">
        <v>442</v>
      </c>
      <c r="E336" s="12">
        <f>IF(LEN(regon9[[#This Row],[Regon]]) = 7,TEXT(regon9[[#This Row],[Regon]],"000000000"),regon9[[#This Row],[Regon]])</f>
        <v>61021035</v>
      </c>
      <c r="F33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336" s="1"/>
      <c r="H33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37" spans="1:8" x14ac:dyDescent="0.25">
      <c r="A337" s="1" t="s">
        <v>443</v>
      </c>
      <c r="B337" s="11">
        <v>61021423</v>
      </c>
      <c r="C337" s="1" t="s">
        <v>21</v>
      </c>
      <c r="D337" s="1" t="s">
        <v>444</v>
      </c>
      <c r="E337" s="12">
        <f>IF(LEN(regon9[[#This Row],[Regon]]) = 7,TEXT(regon9[[#This Row],[Regon]],"000000000"),regon9[[#This Row],[Regon]])</f>
        <v>61021423</v>
      </c>
      <c r="F33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337" s="1"/>
      <c r="H33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38" spans="1:8" x14ac:dyDescent="0.25">
      <c r="A338" s="1" t="s">
        <v>445</v>
      </c>
      <c r="B338" s="11">
        <v>61021826</v>
      </c>
      <c r="C338" s="1" t="s">
        <v>21</v>
      </c>
      <c r="D338" s="1" t="s">
        <v>446</v>
      </c>
      <c r="E338" s="12">
        <f>IF(LEN(regon9[[#This Row],[Regon]]) = 7,TEXT(regon9[[#This Row],[Regon]],"000000000"),regon9[[#This Row],[Regon]])</f>
        <v>61021826</v>
      </c>
      <c r="F33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338" s="1"/>
      <c r="H33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39" spans="1:8" x14ac:dyDescent="0.25">
      <c r="A339" s="1" t="s">
        <v>447</v>
      </c>
      <c r="B339" s="11">
        <v>61021832</v>
      </c>
      <c r="C339" s="1" t="s">
        <v>21</v>
      </c>
      <c r="D339" s="1" t="s">
        <v>22</v>
      </c>
      <c r="E339" s="12">
        <f>IF(LEN(regon9[[#This Row],[Regon]]) = 7,TEXT(regon9[[#This Row],[Regon]],"000000000"),regon9[[#This Row],[Regon]])</f>
        <v>61021832</v>
      </c>
      <c r="F33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339" s="1"/>
      <c r="H33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40" spans="1:8" x14ac:dyDescent="0.25">
      <c r="A340" s="1" t="s">
        <v>448</v>
      </c>
      <c r="B340" s="11">
        <v>61022755</v>
      </c>
      <c r="C340" s="1" t="s">
        <v>21</v>
      </c>
      <c r="D340" s="1" t="s">
        <v>449</v>
      </c>
      <c r="E340" s="12">
        <f>IF(LEN(regon9[[#This Row],[Regon]]) = 7,TEXT(regon9[[#This Row],[Regon]],"000000000"),regon9[[#This Row],[Regon]])</f>
        <v>61022755</v>
      </c>
      <c r="F34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340" s="1"/>
      <c r="H34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41" spans="1:8" x14ac:dyDescent="0.25">
      <c r="A341" s="1" t="s">
        <v>450</v>
      </c>
      <c r="B341" s="11">
        <v>61023407</v>
      </c>
      <c r="C341" s="1" t="s">
        <v>21</v>
      </c>
      <c r="D341" s="1" t="s">
        <v>451</v>
      </c>
      <c r="E341" s="12">
        <f>IF(LEN(regon9[[#This Row],[Regon]]) = 7,TEXT(regon9[[#This Row],[Regon]],"000000000"),regon9[[#This Row],[Regon]])</f>
        <v>61023407</v>
      </c>
      <c r="F34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341" s="1"/>
      <c r="H34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42" spans="1:8" x14ac:dyDescent="0.25">
      <c r="A342" s="1" t="s">
        <v>95</v>
      </c>
      <c r="B342" s="11">
        <v>61024732</v>
      </c>
      <c r="C342" s="1" t="s">
        <v>21</v>
      </c>
      <c r="D342" s="1" t="s">
        <v>22</v>
      </c>
      <c r="E342" s="12">
        <f>IF(LEN(regon9[[#This Row],[Regon]]) = 7,TEXT(regon9[[#This Row],[Regon]],"000000000"),regon9[[#This Row],[Regon]])</f>
        <v>61024732</v>
      </c>
      <c r="F34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342" s="1"/>
      <c r="H34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43" spans="1:8" x14ac:dyDescent="0.25">
      <c r="A343" s="1" t="s">
        <v>452</v>
      </c>
      <c r="B343" s="11">
        <v>61024805</v>
      </c>
      <c r="C343" s="1" t="s">
        <v>21</v>
      </c>
      <c r="D343" s="1" t="s">
        <v>453</v>
      </c>
      <c r="E343" s="12">
        <f>IF(LEN(regon9[[#This Row],[Regon]]) = 7,TEXT(regon9[[#This Row],[Regon]],"000000000"),regon9[[#This Row],[Regon]])</f>
        <v>61024805</v>
      </c>
      <c r="F34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343" s="1"/>
      <c r="H34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44" spans="1:8" x14ac:dyDescent="0.25">
      <c r="A344" s="1" t="s">
        <v>454</v>
      </c>
      <c r="B344" s="11">
        <v>61025296</v>
      </c>
      <c r="C344" s="1" t="s">
        <v>21</v>
      </c>
      <c r="D344" s="1" t="s">
        <v>455</v>
      </c>
      <c r="E344" s="12">
        <f>IF(LEN(regon9[[#This Row],[Regon]]) = 7,TEXT(regon9[[#This Row],[Regon]],"000000000"),regon9[[#This Row],[Regon]])</f>
        <v>61025296</v>
      </c>
      <c r="F34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344" s="1"/>
      <c r="H34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45" spans="1:8" x14ac:dyDescent="0.25">
      <c r="A345" s="1" t="s">
        <v>456</v>
      </c>
      <c r="B345" s="11">
        <v>61025346</v>
      </c>
      <c r="C345" s="1" t="s">
        <v>21</v>
      </c>
      <c r="D345" s="1" t="s">
        <v>22</v>
      </c>
      <c r="E345" s="12">
        <f>IF(LEN(regon9[[#This Row],[Regon]]) = 7,TEXT(regon9[[#This Row],[Regon]],"000000000"),regon9[[#This Row],[Regon]])</f>
        <v>61025346</v>
      </c>
      <c r="F34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345" s="1"/>
      <c r="H34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46" spans="1:8" x14ac:dyDescent="0.25">
      <c r="A346" s="1" t="s">
        <v>457</v>
      </c>
      <c r="B346" s="11">
        <v>61027698</v>
      </c>
      <c r="C346" s="1" t="s">
        <v>21</v>
      </c>
      <c r="D346" s="1" t="s">
        <v>22</v>
      </c>
      <c r="E346" s="12">
        <f>IF(LEN(regon9[[#This Row],[Regon]]) = 7,TEXT(regon9[[#This Row],[Regon]],"000000000"),regon9[[#This Row],[Regon]])</f>
        <v>61027698</v>
      </c>
      <c r="F34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346" s="1"/>
      <c r="H34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47" spans="1:8" x14ac:dyDescent="0.25">
      <c r="A347" s="1" t="s">
        <v>458</v>
      </c>
      <c r="B347" s="11">
        <v>61028026</v>
      </c>
      <c r="C347" s="1" t="s">
        <v>21</v>
      </c>
      <c r="D347" s="1" t="s">
        <v>459</v>
      </c>
      <c r="E347" s="12">
        <f>IF(LEN(regon9[[#This Row],[Regon]]) = 7,TEXT(regon9[[#This Row],[Regon]],"000000000"),regon9[[#This Row],[Regon]])</f>
        <v>61028026</v>
      </c>
      <c r="F34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347" s="1"/>
      <c r="H34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48" spans="1:8" x14ac:dyDescent="0.25">
      <c r="A348" s="1" t="s">
        <v>460</v>
      </c>
      <c r="B348" s="11">
        <v>61029536</v>
      </c>
      <c r="C348" s="1" t="s">
        <v>21</v>
      </c>
      <c r="D348" s="1" t="s">
        <v>22</v>
      </c>
      <c r="E348" s="12">
        <f>IF(LEN(regon9[[#This Row],[Regon]]) = 7,TEXT(regon9[[#This Row],[Regon]],"000000000"),regon9[[#This Row],[Regon]])</f>
        <v>61029536</v>
      </c>
      <c r="F34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348" s="1"/>
      <c r="H34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49" spans="1:8" x14ac:dyDescent="0.25">
      <c r="A349" s="1" t="s">
        <v>461</v>
      </c>
      <c r="B349" s="11">
        <v>61030314</v>
      </c>
      <c r="C349" s="1" t="s">
        <v>21</v>
      </c>
      <c r="D349" s="1" t="s">
        <v>462</v>
      </c>
      <c r="E349" s="12">
        <f>IF(LEN(regon9[[#This Row],[Regon]]) = 7,TEXT(regon9[[#This Row],[Regon]],"000000000"),regon9[[#This Row],[Regon]])</f>
        <v>61030314</v>
      </c>
      <c r="F34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349" s="1"/>
      <c r="H34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50" spans="1:8" x14ac:dyDescent="0.25">
      <c r="A350" s="1" t="s">
        <v>463</v>
      </c>
      <c r="B350" s="11">
        <v>61030427</v>
      </c>
      <c r="C350" s="1" t="s">
        <v>21</v>
      </c>
      <c r="D350" s="1" t="s">
        <v>464</v>
      </c>
      <c r="E350" s="12">
        <f>IF(LEN(regon9[[#This Row],[Regon]]) = 7,TEXT(regon9[[#This Row],[Regon]],"000000000"),regon9[[#This Row],[Regon]])</f>
        <v>61030427</v>
      </c>
      <c r="F35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350" s="1"/>
      <c r="H35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51" spans="1:8" x14ac:dyDescent="0.25">
      <c r="A351" s="1" t="s">
        <v>465</v>
      </c>
      <c r="B351" s="11">
        <v>61031795</v>
      </c>
      <c r="C351" s="1" t="s">
        <v>21</v>
      </c>
      <c r="D351" s="1" t="s">
        <v>466</v>
      </c>
      <c r="E351" s="12">
        <f>IF(LEN(regon9[[#This Row],[Regon]]) = 7,TEXT(regon9[[#This Row],[Regon]],"000000000"),regon9[[#This Row],[Regon]])</f>
        <v>61031795</v>
      </c>
      <c r="F35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351" s="1"/>
      <c r="H35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52" spans="1:8" x14ac:dyDescent="0.25">
      <c r="A352" s="1" t="s">
        <v>467</v>
      </c>
      <c r="B352" s="11">
        <v>61031872</v>
      </c>
      <c r="C352" s="1" t="s">
        <v>21</v>
      </c>
      <c r="D352" s="1" t="s">
        <v>468</v>
      </c>
      <c r="E352" s="12">
        <f>IF(LEN(regon9[[#This Row],[Regon]]) = 7,TEXT(regon9[[#This Row],[Regon]],"000000000"),regon9[[#This Row],[Regon]])</f>
        <v>61031872</v>
      </c>
      <c r="F35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352" s="1"/>
      <c r="H35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53" spans="1:8" x14ac:dyDescent="0.25">
      <c r="A353" s="1" t="s">
        <v>95</v>
      </c>
      <c r="B353" s="11">
        <v>61034306</v>
      </c>
      <c r="C353" s="1" t="s">
        <v>21</v>
      </c>
      <c r="D353" s="1" t="s">
        <v>22</v>
      </c>
      <c r="E353" s="12">
        <f>IF(LEN(regon9[[#This Row],[Regon]]) = 7,TEXT(regon9[[#This Row],[Regon]],"000000000"),regon9[[#This Row],[Regon]])</f>
        <v>61034306</v>
      </c>
      <c r="F35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353" s="1"/>
      <c r="H35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54" spans="1:8" x14ac:dyDescent="0.25">
      <c r="A354" s="1" t="s">
        <v>469</v>
      </c>
      <c r="B354" s="11">
        <v>61035578</v>
      </c>
      <c r="C354" s="1" t="s">
        <v>21</v>
      </c>
      <c r="D354" s="1" t="s">
        <v>22</v>
      </c>
      <c r="E354" s="12">
        <f>IF(LEN(regon9[[#This Row],[Regon]]) = 7,TEXT(regon9[[#This Row],[Regon]],"000000000"),regon9[[#This Row],[Regon]])</f>
        <v>61035578</v>
      </c>
      <c r="F35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354" s="1"/>
      <c r="H35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55" spans="1:8" x14ac:dyDescent="0.25">
      <c r="A355" s="1" t="s">
        <v>470</v>
      </c>
      <c r="B355" s="11">
        <v>61036706</v>
      </c>
      <c r="C355" s="1" t="s">
        <v>21</v>
      </c>
      <c r="D355" s="1" t="s">
        <v>471</v>
      </c>
      <c r="E355" s="12">
        <f>IF(LEN(regon9[[#This Row],[Regon]]) = 7,TEXT(regon9[[#This Row],[Regon]],"000000000"),regon9[[#This Row],[Regon]])</f>
        <v>61036706</v>
      </c>
      <c r="F35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355" s="1"/>
      <c r="H35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56" spans="1:8" x14ac:dyDescent="0.25">
      <c r="A356" s="1" t="s">
        <v>472</v>
      </c>
      <c r="B356" s="11">
        <v>61037259</v>
      </c>
      <c r="C356" s="1" t="s">
        <v>21</v>
      </c>
      <c r="D356" s="1" t="s">
        <v>473</v>
      </c>
      <c r="E356" s="12">
        <f>IF(LEN(regon9[[#This Row],[Regon]]) = 7,TEXT(regon9[[#This Row],[Regon]],"000000000"),regon9[[#This Row],[Regon]])</f>
        <v>61037259</v>
      </c>
      <c r="F35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356" s="1"/>
      <c r="H35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57" spans="1:8" x14ac:dyDescent="0.25">
      <c r="A357" s="1" t="s">
        <v>474</v>
      </c>
      <c r="B357" s="11">
        <v>61037316</v>
      </c>
      <c r="C357" s="1" t="s">
        <v>21</v>
      </c>
      <c r="D357" s="1" t="s">
        <v>475</v>
      </c>
      <c r="E357" s="12">
        <f>IF(LEN(regon9[[#This Row],[Regon]]) = 7,TEXT(regon9[[#This Row],[Regon]],"000000000"),regon9[[#This Row],[Regon]])</f>
        <v>61037316</v>
      </c>
      <c r="F35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357" s="1"/>
      <c r="H35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58" spans="1:8" x14ac:dyDescent="0.25">
      <c r="A358" s="1" t="s">
        <v>476</v>
      </c>
      <c r="B358" s="11">
        <v>61037694</v>
      </c>
      <c r="C358" s="1" t="s">
        <v>21</v>
      </c>
      <c r="D358" s="1" t="s">
        <v>477</v>
      </c>
      <c r="E358" s="12">
        <f>IF(LEN(regon9[[#This Row],[Regon]]) = 7,TEXT(regon9[[#This Row],[Regon]],"000000000"),regon9[[#This Row],[Regon]])</f>
        <v>61037694</v>
      </c>
      <c r="F35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358" s="1"/>
      <c r="H35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59" spans="1:8" x14ac:dyDescent="0.25">
      <c r="A359" s="1" t="s">
        <v>478</v>
      </c>
      <c r="B359" s="11">
        <v>61038719</v>
      </c>
      <c r="C359" s="1" t="s">
        <v>21</v>
      </c>
      <c r="D359" s="1" t="s">
        <v>479</v>
      </c>
      <c r="E359" s="12">
        <f>IF(LEN(regon9[[#This Row],[Regon]]) = 7,TEXT(regon9[[#This Row],[Regon]],"000000000"),regon9[[#This Row],[Regon]])</f>
        <v>61038719</v>
      </c>
      <c r="F35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359" s="1"/>
      <c r="H35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60" spans="1:8" x14ac:dyDescent="0.25">
      <c r="A360" s="1" t="s">
        <v>480</v>
      </c>
      <c r="B360" s="11">
        <v>61038968</v>
      </c>
      <c r="C360" s="1" t="s">
        <v>21</v>
      </c>
      <c r="D360" s="1" t="s">
        <v>481</v>
      </c>
      <c r="E360" s="12">
        <f>IF(LEN(regon9[[#This Row],[Regon]]) = 7,TEXT(regon9[[#This Row],[Regon]],"000000000"),regon9[[#This Row],[Regon]])</f>
        <v>61038968</v>
      </c>
      <c r="F36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360" s="1"/>
      <c r="H36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61" spans="1:8" x14ac:dyDescent="0.25">
      <c r="A361" s="1" t="s">
        <v>482</v>
      </c>
      <c r="B361" s="11">
        <v>61041291</v>
      </c>
      <c r="C361" s="1" t="s">
        <v>21</v>
      </c>
      <c r="D361" s="1" t="s">
        <v>22</v>
      </c>
      <c r="E361" s="12">
        <f>IF(LEN(regon9[[#This Row],[Regon]]) = 7,TEXT(regon9[[#This Row],[Regon]],"000000000"),regon9[[#This Row],[Regon]])</f>
        <v>61041291</v>
      </c>
      <c r="F36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361" s="1"/>
      <c r="H36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62" spans="1:8" x14ac:dyDescent="0.25">
      <c r="A362" s="1" t="s">
        <v>483</v>
      </c>
      <c r="B362" s="11">
        <v>61101802</v>
      </c>
      <c r="C362" s="1" t="s">
        <v>21</v>
      </c>
      <c r="D362" s="1" t="s">
        <v>484</v>
      </c>
      <c r="E362" s="12">
        <f>IF(LEN(regon9[[#This Row],[Regon]]) = 7,TEXT(regon9[[#This Row],[Regon]],"000000000"),regon9[[#This Row],[Regon]])</f>
        <v>61101802</v>
      </c>
      <c r="F36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362" s="1"/>
      <c r="H36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63" spans="1:8" x14ac:dyDescent="0.25">
      <c r="A363" s="1" t="s">
        <v>485</v>
      </c>
      <c r="B363" s="11">
        <v>61102745</v>
      </c>
      <c r="C363" s="1" t="s">
        <v>21</v>
      </c>
      <c r="D363" s="1" t="s">
        <v>486</v>
      </c>
      <c r="E363" s="12">
        <f>IF(LEN(regon9[[#This Row],[Regon]]) = 7,TEXT(regon9[[#This Row],[Regon]],"000000000"),regon9[[#This Row],[Regon]])</f>
        <v>61102745</v>
      </c>
      <c r="F36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363" s="1"/>
      <c r="H36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64" spans="1:8" x14ac:dyDescent="0.25">
      <c r="A364" s="1" t="s">
        <v>487</v>
      </c>
      <c r="B364" s="11">
        <v>61103404</v>
      </c>
      <c r="C364" s="1" t="s">
        <v>21</v>
      </c>
      <c r="D364" s="1" t="s">
        <v>22</v>
      </c>
      <c r="E364" s="12">
        <f>IF(LEN(regon9[[#This Row],[Regon]]) = 7,TEXT(regon9[[#This Row],[Regon]],"000000000"),regon9[[#This Row],[Regon]])</f>
        <v>61103404</v>
      </c>
      <c r="F36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364" s="1"/>
      <c r="H36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65" spans="1:8" x14ac:dyDescent="0.25">
      <c r="A365" s="1" t="s">
        <v>488</v>
      </c>
      <c r="B365" s="11">
        <v>61103419</v>
      </c>
      <c r="C365" s="1" t="s">
        <v>21</v>
      </c>
      <c r="D365" s="1" t="s">
        <v>489</v>
      </c>
      <c r="E365" s="12">
        <f>IF(LEN(regon9[[#This Row],[Regon]]) = 7,TEXT(regon9[[#This Row],[Regon]],"000000000"),regon9[[#This Row],[Regon]])</f>
        <v>61103419</v>
      </c>
      <c r="F36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365" s="1"/>
      <c r="H36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66" spans="1:8" x14ac:dyDescent="0.25">
      <c r="A366" s="1" t="s">
        <v>490</v>
      </c>
      <c r="B366" s="11">
        <v>61103456</v>
      </c>
      <c r="C366" s="1" t="s">
        <v>21</v>
      </c>
      <c r="D366" s="1" t="s">
        <v>22</v>
      </c>
      <c r="E366" s="12">
        <f>IF(LEN(regon9[[#This Row],[Regon]]) = 7,TEXT(regon9[[#This Row],[Regon]],"000000000"),regon9[[#This Row],[Regon]])</f>
        <v>61103456</v>
      </c>
      <c r="F36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366" s="1"/>
      <c r="H36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67" spans="1:8" x14ac:dyDescent="0.25">
      <c r="A367" s="1" t="s">
        <v>491</v>
      </c>
      <c r="B367" s="11">
        <v>61104394</v>
      </c>
      <c r="C367" s="1" t="s">
        <v>21</v>
      </c>
      <c r="D367" s="1" t="s">
        <v>492</v>
      </c>
      <c r="E367" s="12">
        <f>IF(LEN(regon9[[#This Row],[Regon]]) = 7,TEXT(regon9[[#This Row],[Regon]],"000000000"),regon9[[#This Row],[Regon]])</f>
        <v>61104394</v>
      </c>
      <c r="F36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367" s="1"/>
      <c r="H36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68" spans="1:8" x14ac:dyDescent="0.25">
      <c r="A368" s="1" t="s">
        <v>493</v>
      </c>
      <c r="B368" s="11">
        <v>61104903</v>
      </c>
      <c r="C368" s="1" t="s">
        <v>21</v>
      </c>
      <c r="D368" s="1" t="s">
        <v>22</v>
      </c>
      <c r="E368" s="12">
        <f>IF(LEN(regon9[[#This Row],[Regon]]) = 7,TEXT(regon9[[#This Row],[Regon]],"000000000"),regon9[[#This Row],[Regon]])</f>
        <v>61104903</v>
      </c>
      <c r="F36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368" s="1"/>
      <c r="H36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69" spans="1:8" x14ac:dyDescent="0.25">
      <c r="A369" s="1" t="s">
        <v>494</v>
      </c>
      <c r="B369" s="11">
        <v>61106681</v>
      </c>
      <c r="C369" s="1" t="s">
        <v>21</v>
      </c>
      <c r="D369" s="1" t="s">
        <v>22</v>
      </c>
      <c r="E369" s="12">
        <f>IF(LEN(regon9[[#This Row],[Regon]]) = 7,TEXT(regon9[[#This Row],[Regon]],"000000000"),regon9[[#This Row],[Regon]])</f>
        <v>61106681</v>
      </c>
      <c r="F36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369" s="1"/>
      <c r="H36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70" spans="1:8" x14ac:dyDescent="0.25">
      <c r="A370" s="1" t="s">
        <v>495</v>
      </c>
      <c r="B370" s="11">
        <v>61107176</v>
      </c>
      <c r="C370" s="1" t="s">
        <v>21</v>
      </c>
      <c r="D370" s="1" t="s">
        <v>496</v>
      </c>
      <c r="E370" s="12">
        <f>IF(LEN(regon9[[#This Row],[Regon]]) = 7,TEXT(regon9[[#This Row],[Regon]],"000000000"),regon9[[#This Row],[Regon]])</f>
        <v>61107176</v>
      </c>
      <c r="F37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370" s="1"/>
      <c r="H37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71" spans="1:8" x14ac:dyDescent="0.25">
      <c r="A371" s="1" t="s">
        <v>95</v>
      </c>
      <c r="B371" s="11">
        <v>61108506</v>
      </c>
      <c r="C371" s="1" t="s">
        <v>21</v>
      </c>
      <c r="D371" s="1" t="s">
        <v>497</v>
      </c>
      <c r="E371" s="12">
        <f>IF(LEN(regon9[[#This Row],[Regon]]) = 7,TEXT(regon9[[#This Row],[Regon]],"000000000"),regon9[[#This Row],[Regon]])</f>
        <v>61108506</v>
      </c>
      <c r="F37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371" s="1"/>
      <c r="H37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72" spans="1:8" x14ac:dyDescent="0.25">
      <c r="A372" s="1" t="s">
        <v>95</v>
      </c>
      <c r="B372" s="11">
        <v>61120958</v>
      </c>
      <c r="C372" s="1" t="s">
        <v>21</v>
      </c>
      <c r="D372" s="1" t="s">
        <v>498</v>
      </c>
      <c r="E372" s="12">
        <f>IF(LEN(regon9[[#This Row],[Regon]]) = 7,TEXT(regon9[[#This Row],[Regon]],"000000000"),regon9[[#This Row],[Regon]])</f>
        <v>61120958</v>
      </c>
      <c r="F37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372" s="1"/>
      <c r="H37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73" spans="1:8" x14ac:dyDescent="0.25">
      <c r="A373" s="1" t="s">
        <v>499</v>
      </c>
      <c r="B373" s="11">
        <v>61131326</v>
      </c>
      <c r="C373" s="1" t="s">
        <v>21</v>
      </c>
      <c r="D373" s="1" t="s">
        <v>500</v>
      </c>
      <c r="E373" s="12">
        <f>IF(LEN(regon9[[#This Row],[Regon]]) = 7,TEXT(regon9[[#This Row],[Regon]],"000000000"),regon9[[#This Row],[Regon]])</f>
        <v>61131326</v>
      </c>
      <c r="F37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373" s="1"/>
      <c r="H37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74" spans="1:8" x14ac:dyDescent="0.25">
      <c r="A374" s="1" t="s">
        <v>95</v>
      </c>
      <c r="B374" s="11">
        <v>61131874</v>
      </c>
      <c r="C374" s="1" t="s">
        <v>21</v>
      </c>
      <c r="D374" s="1" t="s">
        <v>22</v>
      </c>
      <c r="E374" s="12">
        <f>IF(LEN(regon9[[#This Row],[Regon]]) = 7,TEXT(regon9[[#This Row],[Regon]],"000000000"),regon9[[#This Row],[Regon]])</f>
        <v>61131874</v>
      </c>
      <c r="F37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374" s="1"/>
      <c r="H37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75" spans="1:8" x14ac:dyDescent="0.25">
      <c r="A375" s="1" t="s">
        <v>501</v>
      </c>
      <c r="B375" s="11">
        <v>61132518</v>
      </c>
      <c r="C375" s="1" t="s">
        <v>21</v>
      </c>
      <c r="D375" s="1" t="s">
        <v>502</v>
      </c>
      <c r="E375" s="12">
        <f>IF(LEN(regon9[[#This Row],[Regon]]) = 7,TEXT(regon9[[#This Row],[Regon]],"000000000"),regon9[[#This Row],[Regon]])</f>
        <v>61132518</v>
      </c>
      <c r="F37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375" s="1"/>
      <c r="H37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76" spans="1:8" x14ac:dyDescent="0.25">
      <c r="A376" s="1" t="s">
        <v>503</v>
      </c>
      <c r="B376" s="11">
        <v>61133222</v>
      </c>
      <c r="C376" s="1" t="s">
        <v>21</v>
      </c>
      <c r="D376" s="1" t="s">
        <v>504</v>
      </c>
      <c r="E376" s="12">
        <f>IF(LEN(regon9[[#This Row],[Regon]]) = 7,TEXT(regon9[[#This Row],[Regon]],"000000000"),regon9[[#This Row],[Regon]])</f>
        <v>61133222</v>
      </c>
      <c r="F37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376" s="1"/>
      <c r="H37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77" spans="1:8" x14ac:dyDescent="0.25">
      <c r="A377" s="1" t="s">
        <v>505</v>
      </c>
      <c r="B377" s="11">
        <v>61133708</v>
      </c>
      <c r="C377" s="1" t="s">
        <v>21</v>
      </c>
      <c r="D377" s="1" t="s">
        <v>506</v>
      </c>
      <c r="E377" s="12">
        <f>IF(LEN(regon9[[#This Row],[Regon]]) = 7,TEXT(regon9[[#This Row],[Regon]],"000000000"),regon9[[#This Row],[Regon]])</f>
        <v>61133708</v>
      </c>
      <c r="F37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377" s="1"/>
      <c r="H37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78" spans="1:8" x14ac:dyDescent="0.25">
      <c r="A378" s="1" t="s">
        <v>95</v>
      </c>
      <c r="B378" s="11">
        <v>61136198</v>
      </c>
      <c r="C378" s="1" t="s">
        <v>21</v>
      </c>
      <c r="D378" s="1" t="s">
        <v>22</v>
      </c>
      <c r="E378" s="12">
        <f>IF(LEN(regon9[[#This Row],[Regon]]) = 7,TEXT(regon9[[#This Row],[Regon]],"000000000"),regon9[[#This Row],[Regon]])</f>
        <v>61136198</v>
      </c>
      <c r="F37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378" s="1"/>
      <c r="H37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79" spans="1:8" x14ac:dyDescent="0.25">
      <c r="A379" s="1" t="s">
        <v>95</v>
      </c>
      <c r="B379" s="11">
        <v>61136226</v>
      </c>
      <c r="C379" s="1" t="s">
        <v>21</v>
      </c>
      <c r="D379" s="1" t="s">
        <v>22</v>
      </c>
      <c r="E379" s="12">
        <f>IF(LEN(regon9[[#This Row],[Regon]]) = 7,TEXT(regon9[[#This Row],[Regon]],"000000000"),regon9[[#This Row],[Regon]])</f>
        <v>61136226</v>
      </c>
      <c r="F37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379" s="1"/>
      <c r="H37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80" spans="1:8" x14ac:dyDescent="0.25">
      <c r="A380" s="1" t="s">
        <v>95</v>
      </c>
      <c r="B380" s="11">
        <v>61136242</v>
      </c>
      <c r="C380" s="1" t="s">
        <v>21</v>
      </c>
      <c r="D380" s="1" t="s">
        <v>22</v>
      </c>
      <c r="E380" s="12">
        <f>IF(LEN(regon9[[#This Row],[Regon]]) = 7,TEXT(regon9[[#This Row],[Regon]],"000000000"),regon9[[#This Row],[Regon]])</f>
        <v>61136242</v>
      </c>
      <c r="F38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380" s="1"/>
      <c r="H38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81" spans="1:8" x14ac:dyDescent="0.25">
      <c r="A381" s="1" t="s">
        <v>95</v>
      </c>
      <c r="B381" s="11">
        <v>61136440</v>
      </c>
      <c r="C381" s="1" t="s">
        <v>21</v>
      </c>
      <c r="D381" s="1" t="s">
        <v>22</v>
      </c>
      <c r="E381" s="12">
        <f>IF(LEN(regon9[[#This Row],[Regon]]) = 7,TEXT(regon9[[#This Row],[Regon]],"000000000"),regon9[[#This Row],[Regon]])</f>
        <v>61136440</v>
      </c>
      <c r="F38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381" s="1"/>
      <c r="H38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82" spans="1:8" x14ac:dyDescent="0.25">
      <c r="A382" s="1" t="s">
        <v>507</v>
      </c>
      <c r="B382" s="11">
        <v>61136610</v>
      </c>
      <c r="C382" s="1" t="s">
        <v>21</v>
      </c>
      <c r="D382" s="1" t="s">
        <v>22</v>
      </c>
      <c r="E382" s="12">
        <f>IF(LEN(regon9[[#This Row],[Regon]]) = 7,TEXT(regon9[[#This Row],[Regon]],"000000000"),regon9[[#This Row],[Regon]])</f>
        <v>61136610</v>
      </c>
      <c r="F38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382" s="1"/>
      <c r="H38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83" spans="1:8" x14ac:dyDescent="0.25">
      <c r="A383" s="1" t="s">
        <v>508</v>
      </c>
      <c r="B383" s="11">
        <v>61140813</v>
      </c>
      <c r="C383" s="1" t="s">
        <v>21</v>
      </c>
      <c r="D383" s="1" t="s">
        <v>509</v>
      </c>
      <c r="E383" s="12">
        <f>IF(LEN(regon9[[#This Row],[Regon]]) = 7,TEXT(regon9[[#This Row],[Regon]],"000000000"),regon9[[#This Row],[Regon]])</f>
        <v>61140813</v>
      </c>
      <c r="F38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383" s="1"/>
      <c r="H38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84" spans="1:8" x14ac:dyDescent="0.25">
      <c r="A384" s="1" t="s">
        <v>510</v>
      </c>
      <c r="B384" s="11">
        <v>61141487</v>
      </c>
      <c r="C384" s="1" t="s">
        <v>21</v>
      </c>
      <c r="D384" s="1" t="s">
        <v>22</v>
      </c>
      <c r="E384" s="12">
        <f>IF(LEN(regon9[[#This Row],[Regon]]) = 7,TEXT(regon9[[#This Row],[Regon]],"000000000"),regon9[[#This Row],[Regon]])</f>
        <v>61141487</v>
      </c>
      <c r="F38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384" s="1"/>
      <c r="H38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85" spans="1:8" x14ac:dyDescent="0.25">
      <c r="A385" s="1" t="s">
        <v>511</v>
      </c>
      <c r="B385" s="11">
        <v>14687357</v>
      </c>
      <c r="C385" s="1" t="s">
        <v>45</v>
      </c>
      <c r="D385" s="1" t="s">
        <v>512</v>
      </c>
      <c r="E385" s="12">
        <f>IF(LEN(regon9[[#This Row],[Regon]]) = 7,TEXT(regon9[[#This Row],[Regon]],"000000000"),regon9[[#This Row],[Regon]])</f>
        <v>14687357</v>
      </c>
      <c r="F38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385" s="1"/>
      <c r="H38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86" spans="1:8" x14ac:dyDescent="0.25">
      <c r="A386" s="1" t="s">
        <v>513</v>
      </c>
      <c r="B386" s="11">
        <v>61001635</v>
      </c>
      <c r="C386" s="1" t="s">
        <v>45</v>
      </c>
      <c r="D386" s="1" t="s">
        <v>22</v>
      </c>
      <c r="E386" s="12">
        <f>IF(LEN(regon9[[#This Row],[Regon]]) = 7,TEXT(regon9[[#This Row],[Regon]],"000000000"),regon9[[#This Row],[Regon]])</f>
        <v>61001635</v>
      </c>
      <c r="F38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386" s="1"/>
      <c r="H38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87" spans="1:8" x14ac:dyDescent="0.25">
      <c r="A387" s="1" t="s">
        <v>514</v>
      </c>
      <c r="B387" s="11">
        <v>61022062</v>
      </c>
      <c r="C387" s="1" t="s">
        <v>45</v>
      </c>
      <c r="D387" s="1" t="s">
        <v>22</v>
      </c>
      <c r="E387" s="12">
        <f>IF(LEN(regon9[[#This Row],[Regon]]) = 7,TEXT(regon9[[#This Row],[Regon]],"000000000"),regon9[[#This Row],[Regon]])</f>
        <v>61022062</v>
      </c>
      <c r="F38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387" s="1"/>
      <c r="H38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88" spans="1:8" x14ac:dyDescent="0.25">
      <c r="A388" s="1" t="s">
        <v>515</v>
      </c>
      <c r="B388" s="11">
        <v>61101617</v>
      </c>
      <c r="C388" s="1" t="s">
        <v>45</v>
      </c>
      <c r="D388" s="1" t="s">
        <v>516</v>
      </c>
      <c r="E388" s="12">
        <f>IF(LEN(regon9[[#This Row],[Regon]]) = 7,TEXT(regon9[[#This Row],[Regon]],"000000000"),regon9[[#This Row],[Regon]])</f>
        <v>61101617</v>
      </c>
      <c r="F38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388" s="1"/>
      <c r="H38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89" spans="1:8" x14ac:dyDescent="0.25">
      <c r="A389" s="1" t="s">
        <v>517</v>
      </c>
      <c r="B389" s="11">
        <v>61141547</v>
      </c>
      <c r="C389" s="1" t="s">
        <v>45</v>
      </c>
      <c r="D389" s="1" t="s">
        <v>22</v>
      </c>
      <c r="E389" s="12">
        <f>IF(LEN(regon9[[#This Row],[Regon]]) = 7,TEXT(regon9[[#This Row],[Regon]],"000000000"),regon9[[#This Row],[Regon]])</f>
        <v>61141547</v>
      </c>
      <c r="F38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389" s="1"/>
      <c r="H38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390" spans="1:8" x14ac:dyDescent="0.25">
      <c r="A390" s="1" t="s">
        <v>518</v>
      </c>
      <c r="B390" s="11">
        <v>142050920003</v>
      </c>
      <c r="C390" s="1" t="s">
        <v>51</v>
      </c>
      <c r="D390" s="1" t="s">
        <v>22</v>
      </c>
      <c r="E390" s="12">
        <f>IF(LEN(regon9[[#This Row],[Regon]]) = 7,TEXT(regon9[[#This Row],[Regon]],"000000000"),regon9[[#This Row],[Regon]])</f>
        <v>142050920003</v>
      </c>
      <c r="F39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390" s="1"/>
      <c r="H390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391" spans="1:8" x14ac:dyDescent="0.25">
      <c r="A391" s="1" t="s">
        <v>519</v>
      </c>
      <c r="B391" s="11">
        <v>142717130002</v>
      </c>
      <c r="C391" s="1" t="s">
        <v>51</v>
      </c>
      <c r="D391" s="1" t="s">
        <v>22</v>
      </c>
      <c r="E391" s="12">
        <f>IF(LEN(regon9[[#This Row],[Regon]]) = 7,TEXT(regon9[[#This Row],[Regon]],"000000000"),regon9[[#This Row],[Regon]])</f>
        <v>142717130002</v>
      </c>
      <c r="F39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391" s="1"/>
      <c r="H391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392" spans="1:8" x14ac:dyDescent="0.25">
      <c r="A392" s="1" t="s">
        <v>520</v>
      </c>
      <c r="B392" s="11">
        <v>362995820006</v>
      </c>
      <c r="C392" s="1" t="s">
        <v>51</v>
      </c>
      <c r="D392" s="1" t="s">
        <v>22</v>
      </c>
      <c r="E392" s="12">
        <f>IF(LEN(regon9[[#This Row],[Regon]]) = 7,TEXT(regon9[[#This Row],[Regon]],"000000000"),regon9[[#This Row],[Regon]])</f>
        <v>362995820006</v>
      </c>
      <c r="F39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392" s="1"/>
      <c r="H392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393" spans="1:8" x14ac:dyDescent="0.25">
      <c r="A393" s="1" t="s">
        <v>521</v>
      </c>
      <c r="B393" s="11">
        <v>365478080001</v>
      </c>
      <c r="C393" s="1" t="s">
        <v>51</v>
      </c>
      <c r="D393" s="1" t="s">
        <v>22</v>
      </c>
      <c r="E393" s="12">
        <f>IF(LEN(regon9[[#This Row],[Regon]]) = 7,TEXT(regon9[[#This Row],[Regon]],"000000000"),regon9[[#This Row],[Regon]])</f>
        <v>365478080001</v>
      </c>
      <c r="F39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393" s="1"/>
      <c r="H393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394" spans="1:8" x14ac:dyDescent="0.25">
      <c r="A394" s="1" t="s">
        <v>95</v>
      </c>
      <c r="B394" s="11">
        <v>610018120002</v>
      </c>
      <c r="C394" s="1" t="s">
        <v>51</v>
      </c>
      <c r="D394" s="1" t="s">
        <v>22</v>
      </c>
      <c r="E394" s="12">
        <f>IF(LEN(regon9[[#This Row],[Regon]]) = 7,TEXT(regon9[[#This Row],[Regon]],"000000000"),regon9[[#This Row],[Regon]])</f>
        <v>610018120002</v>
      </c>
      <c r="F39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394" s="1"/>
      <c r="H394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395" spans="1:8" x14ac:dyDescent="0.25">
      <c r="A395" s="1" t="s">
        <v>522</v>
      </c>
      <c r="B395" s="11">
        <v>610037180002</v>
      </c>
      <c r="C395" s="1" t="s">
        <v>51</v>
      </c>
      <c r="D395" s="1" t="s">
        <v>22</v>
      </c>
      <c r="E395" s="12">
        <f>IF(LEN(regon9[[#This Row],[Regon]]) = 7,TEXT(regon9[[#This Row],[Regon]],"000000000"),regon9[[#This Row],[Regon]])</f>
        <v>610037180002</v>
      </c>
      <c r="F39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395" s="1"/>
      <c r="H395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396" spans="1:8" x14ac:dyDescent="0.25">
      <c r="A396" s="1" t="s">
        <v>523</v>
      </c>
      <c r="B396" s="11">
        <v>610104040003</v>
      </c>
      <c r="C396" s="1" t="s">
        <v>51</v>
      </c>
      <c r="D396" s="1" t="s">
        <v>22</v>
      </c>
      <c r="E396" s="12">
        <f>IF(LEN(regon9[[#This Row],[Regon]]) = 7,TEXT(regon9[[#This Row],[Regon]],"000000000"),regon9[[#This Row],[Regon]])</f>
        <v>610104040003</v>
      </c>
      <c r="F39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396" s="1"/>
      <c r="H396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397" spans="1:8" x14ac:dyDescent="0.25">
      <c r="A397" s="1" t="s">
        <v>524</v>
      </c>
      <c r="B397" s="11">
        <v>610246520003</v>
      </c>
      <c r="C397" s="1" t="s">
        <v>51</v>
      </c>
      <c r="D397" s="1" t="s">
        <v>22</v>
      </c>
      <c r="E397" s="12">
        <f>IF(LEN(regon9[[#This Row],[Regon]]) = 7,TEXT(regon9[[#This Row],[Regon]],"000000000"),regon9[[#This Row],[Regon]])</f>
        <v>610246520003</v>
      </c>
      <c r="F39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397" s="1"/>
      <c r="H397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398" spans="1:8" x14ac:dyDescent="0.25">
      <c r="A398" s="1" t="s">
        <v>95</v>
      </c>
      <c r="B398" s="11">
        <v>610343060002</v>
      </c>
      <c r="C398" s="1" t="s">
        <v>51</v>
      </c>
      <c r="D398" s="1" t="s">
        <v>22</v>
      </c>
      <c r="E398" s="12">
        <f>IF(LEN(regon9[[#This Row],[Regon]]) = 7,TEXT(regon9[[#This Row],[Regon]],"000000000"),regon9[[#This Row],[Regon]])</f>
        <v>610343060002</v>
      </c>
      <c r="F39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398" s="1"/>
      <c r="H398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399" spans="1:8" x14ac:dyDescent="0.25">
      <c r="A399" s="1" t="s">
        <v>525</v>
      </c>
      <c r="B399" s="11">
        <v>611038120002</v>
      </c>
      <c r="C399" s="1" t="s">
        <v>51</v>
      </c>
      <c r="D399" s="1" t="s">
        <v>22</v>
      </c>
      <c r="E399" s="12">
        <f>IF(LEN(regon9[[#This Row],[Regon]]) = 7,TEXT(regon9[[#This Row],[Regon]],"000000000"),regon9[[#This Row],[Regon]])</f>
        <v>611038120002</v>
      </c>
      <c r="F39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399" s="1"/>
      <c r="H399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400" spans="1:8" x14ac:dyDescent="0.25">
      <c r="A400" s="1" t="s">
        <v>526</v>
      </c>
      <c r="B400" s="11">
        <v>1121385</v>
      </c>
      <c r="C400" s="1" t="s">
        <v>21</v>
      </c>
      <c r="D400" s="1" t="s">
        <v>527</v>
      </c>
      <c r="E400" s="12" t="str">
        <f>IF(LEN(regon9[[#This Row],[Regon]]) = 7,TEXT(regon9[[#This Row],[Regon]],"000000000"),regon9[[#This Row],[Regon]])</f>
        <v>001121385</v>
      </c>
      <c r="F40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00" s="1"/>
      <c r="H40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01" spans="1:8" x14ac:dyDescent="0.25">
      <c r="A401" s="1" t="s">
        <v>528</v>
      </c>
      <c r="B401" s="11">
        <v>1160162</v>
      </c>
      <c r="C401" s="1" t="s">
        <v>21</v>
      </c>
      <c r="D401" s="1" t="s">
        <v>22</v>
      </c>
      <c r="E401" s="12" t="str">
        <f>IF(LEN(regon9[[#This Row],[Regon]]) = 7,TEXT(regon9[[#This Row],[Regon]],"000000000"),regon9[[#This Row],[Regon]])</f>
        <v>001160162</v>
      </c>
      <c r="F40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01" s="1"/>
      <c r="H40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02" spans="1:8" x14ac:dyDescent="0.25">
      <c r="A402" s="1" t="s">
        <v>529</v>
      </c>
      <c r="B402" s="11">
        <v>1172707</v>
      </c>
      <c r="C402" s="1" t="s">
        <v>21</v>
      </c>
      <c r="D402" s="1" t="s">
        <v>22</v>
      </c>
      <c r="E402" s="12" t="str">
        <f>IF(LEN(regon9[[#This Row],[Regon]]) = 7,TEXT(regon9[[#This Row],[Regon]],"000000000"),regon9[[#This Row],[Regon]])</f>
        <v>001172707</v>
      </c>
      <c r="F40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02" s="1"/>
      <c r="H40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03" spans="1:8" x14ac:dyDescent="0.25">
      <c r="A403" s="1" t="s">
        <v>530</v>
      </c>
      <c r="B403" s="11">
        <v>1216803</v>
      </c>
      <c r="C403" s="1" t="s">
        <v>21</v>
      </c>
      <c r="D403" s="1" t="s">
        <v>22</v>
      </c>
      <c r="E403" s="12" t="str">
        <f>IF(LEN(regon9[[#This Row],[Regon]]) = 7,TEXT(regon9[[#This Row],[Regon]],"000000000"),regon9[[#This Row],[Regon]])</f>
        <v>001216803</v>
      </c>
      <c r="F40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03" s="1"/>
      <c r="H40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04" spans="1:8" x14ac:dyDescent="0.25">
      <c r="A404" s="1" t="s">
        <v>531</v>
      </c>
      <c r="B404" s="11">
        <v>1219325</v>
      </c>
      <c r="C404" s="1" t="s">
        <v>21</v>
      </c>
      <c r="D404" s="1" t="s">
        <v>22</v>
      </c>
      <c r="E404" s="12" t="str">
        <f>IF(LEN(regon9[[#This Row],[Regon]]) = 7,TEXT(regon9[[#This Row],[Regon]],"000000000"),regon9[[#This Row],[Regon]])</f>
        <v>001219325</v>
      </c>
      <c r="F40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04" s="1"/>
      <c r="H40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05" spans="1:8" x14ac:dyDescent="0.25">
      <c r="A405" s="1" t="s">
        <v>532</v>
      </c>
      <c r="B405" s="11">
        <v>1280337</v>
      </c>
      <c r="C405" s="1" t="s">
        <v>21</v>
      </c>
      <c r="D405" s="1" t="s">
        <v>533</v>
      </c>
      <c r="E405" s="12" t="str">
        <f>IF(LEN(regon9[[#This Row],[Regon]]) = 7,TEXT(regon9[[#This Row],[Regon]],"000000000"),regon9[[#This Row],[Regon]])</f>
        <v>001280337</v>
      </c>
      <c r="F40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05" s="1"/>
      <c r="H40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06" spans="1:8" x14ac:dyDescent="0.25">
      <c r="A406" s="1" t="s">
        <v>534</v>
      </c>
      <c r="B406" s="11">
        <v>1314760</v>
      </c>
      <c r="C406" s="1" t="s">
        <v>21</v>
      </c>
      <c r="D406" s="1" t="s">
        <v>22</v>
      </c>
      <c r="E406" s="12" t="str">
        <f>IF(LEN(regon9[[#This Row],[Regon]]) = 7,TEXT(regon9[[#This Row],[Regon]],"000000000"),regon9[[#This Row],[Regon]])</f>
        <v>001314760</v>
      </c>
      <c r="F40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06" s="1"/>
      <c r="H40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07" spans="1:8" x14ac:dyDescent="0.25">
      <c r="A407" s="1" t="s">
        <v>535</v>
      </c>
      <c r="B407" s="11">
        <v>1319845</v>
      </c>
      <c r="C407" s="1" t="s">
        <v>21</v>
      </c>
      <c r="D407" s="1" t="s">
        <v>22</v>
      </c>
      <c r="E407" s="12" t="str">
        <f>IF(LEN(regon9[[#This Row],[Regon]]) = 7,TEXT(regon9[[#This Row],[Regon]],"000000000"),regon9[[#This Row],[Regon]])</f>
        <v>001319845</v>
      </c>
      <c r="F40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07" s="1"/>
      <c r="H40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08" spans="1:8" x14ac:dyDescent="0.25">
      <c r="A408" s="1" t="s">
        <v>536</v>
      </c>
      <c r="B408" s="11">
        <v>1329404</v>
      </c>
      <c r="C408" s="1" t="s">
        <v>21</v>
      </c>
      <c r="D408" s="1" t="s">
        <v>22</v>
      </c>
      <c r="E408" s="12" t="str">
        <f>IF(LEN(regon9[[#This Row],[Regon]]) = 7,TEXT(regon9[[#This Row],[Regon]],"000000000"),regon9[[#This Row],[Regon]])</f>
        <v>001329404</v>
      </c>
      <c r="F40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08" s="1"/>
      <c r="H40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09" spans="1:8" x14ac:dyDescent="0.25">
      <c r="A409" s="1" t="s">
        <v>537</v>
      </c>
      <c r="B409" s="11">
        <v>1482126</v>
      </c>
      <c r="C409" s="1" t="s">
        <v>21</v>
      </c>
      <c r="D409" s="1" t="s">
        <v>22</v>
      </c>
      <c r="E409" s="12" t="str">
        <f>IF(LEN(regon9[[#This Row],[Regon]]) = 7,TEXT(regon9[[#This Row],[Regon]],"000000000"),regon9[[#This Row],[Regon]])</f>
        <v>001482126</v>
      </c>
      <c r="F40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09" s="1"/>
      <c r="H40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10" spans="1:8" x14ac:dyDescent="0.25">
      <c r="A410" s="1" t="s">
        <v>538</v>
      </c>
      <c r="B410" s="11">
        <v>1485229</v>
      </c>
      <c r="C410" s="1" t="s">
        <v>21</v>
      </c>
      <c r="D410" s="1" t="s">
        <v>22</v>
      </c>
      <c r="E410" s="12" t="str">
        <f>IF(LEN(regon9[[#This Row],[Regon]]) = 7,TEXT(regon9[[#This Row],[Regon]],"000000000"),regon9[[#This Row],[Regon]])</f>
        <v>001485229</v>
      </c>
      <c r="F41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10" s="1"/>
      <c r="H41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11" spans="1:8" x14ac:dyDescent="0.25">
      <c r="A411" s="1" t="s">
        <v>539</v>
      </c>
      <c r="B411" s="11">
        <v>1498922</v>
      </c>
      <c r="C411" s="1" t="s">
        <v>21</v>
      </c>
      <c r="D411" s="1" t="s">
        <v>22</v>
      </c>
      <c r="E411" s="12" t="str">
        <f>IF(LEN(regon9[[#This Row],[Regon]]) = 7,TEXT(regon9[[#This Row],[Regon]],"000000000"),regon9[[#This Row],[Regon]])</f>
        <v>001498922</v>
      </c>
      <c r="F41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11" s="1"/>
      <c r="H41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12" spans="1:8" x14ac:dyDescent="0.25">
      <c r="A412" s="1" t="s">
        <v>540</v>
      </c>
      <c r="B412" s="11">
        <v>1503230</v>
      </c>
      <c r="C412" s="1" t="s">
        <v>21</v>
      </c>
      <c r="D412" s="1" t="s">
        <v>22</v>
      </c>
      <c r="E412" s="12" t="str">
        <f>IF(LEN(regon9[[#This Row],[Regon]]) = 7,TEXT(regon9[[#This Row],[Regon]],"000000000"),regon9[[#This Row],[Regon]])</f>
        <v>001503230</v>
      </c>
      <c r="F41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12" s="1"/>
      <c r="H41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13" spans="1:8" x14ac:dyDescent="0.25">
      <c r="A413" s="1" t="s">
        <v>95</v>
      </c>
      <c r="B413" s="11">
        <v>1505771</v>
      </c>
      <c r="C413" s="1" t="s">
        <v>21</v>
      </c>
      <c r="D413" s="1" t="s">
        <v>22</v>
      </c>
      <c r="E413" s="12" t="str">
        <f>IF(LEN(regon9[[#This Row],[Regon]]) = 7,TEXT(regon9[[#This Row],[Regon]],"000000000"),regon9[[#This Row],[Regon]])</f>
        <v>001505771</v>
      </c>
      <c r="F41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13" s="1"/>
      <c r="H41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14" spans="1:8" x14ac:dyDescent="0.25">
      <c r="A414" s="1" t="s">
        <v>95</v>
      </c>
      <c r="B414" s="11">
        <v>1512156</v>
      </c>
      <c r="C414" s="1" t="s">
        <v>21</v>
      </c>
      <c r="D414" s="1" t="s">
        <v>22</v>
      </c>
      <c r="E414" s="12" t="str">
        <f>IF(LEN(regon9[[#This Row],[Regon]]) = 7,TEXT(regon9[[#This Row],[Regon]],"000000000"),regon9[[#This Row],[Regon]])</f>
        <v>001512156</v>
      </c>
      <c r="F41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14" s="1"/>
      <c r="H41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15" spans="1:8" x14ac:dyDescent="0.25">
      <c r="A415" s="1" t="s">
        <v>95</v>
      </c>
      <c r="B415" s="11">
        <v>1512160</v>
      </c>
      <c r="C415" s="1" t="s">
        <v>21</v>
      </c>
      <c r="D415" s="1" t="s">
        <v>22</v>
      </c>
      <c r="E415" s="12" t="str">
        <f>IF(LEN(regon9[[#This Row],[Regon]]) = 7,TEXT(regon9[[#This Row],[Regon]],"000000000"),regon9[[#This Row],[Regon]])</f>
        <v>001512160</v>
      </c>
      <c r="F41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15" s="1"/>
      <c r="H41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16" spans="1:8" x14ac:dyDescent="0.25">
      <c r="A416" s="1" t="s">
        <v>541</v>
      </c>
      <c r="B416" s="11">
        <v>1558603</v>
      </c>
      <c r="C416" s="1" t="s">
        <v>21</v>
      </c>
      <c r="D416" s="1" t="s">
        <v>22</v>
      </c>
      <c r="E416" s="12" t="str">
        <f>IF(LEN(regon9[[#This Row],[Regon]]) = 7,TEXT(regon9[[#This Row],[Regon]],"000000000"),regon9[[#This Row],[Regon]])</f>
        <v>001558603</v>
      </c>
      <c r="F41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16" s="1"/>
      <c r="H41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17" spans="1:8" x14ac:dyDescent="0.25">
      <c r="A417" s="1" t="s">
        <v>542</v>
      </c>
      <c r="B417" s="11">
        <v>1581625</v>
      </c>
      <c r="C417" s="1" t="s">
        <v>21</v>
      </c>
      <c r="D417" s="1" t="s">
        <v>22</v>
      </c>
      <c r="E417" s="12" t="str">
        <f>IF(LEN(regon9[[#This Row],[Regon]]) = 7,TEXT(regon9[[#This Row],[Regon]],"000000000"),regon9[[#This Row],[Regon]])</f>
        <v>001581625</v>
      </c>
      <c r="F41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17" s="1"/>
      <c r="H41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18" spans="1:8" x14ac:dyDescent="0.25">
      <c r="A418" s="1" t="s">
        <v>543</v>
      </c>
      <c r="B418" s="11">
        <v>1610533</v>
      </c>
      <c r="C418" s="1" t="s">
        <v>21</v>
      </c>
      <c r="D418" s="1" t="s">
        <v>22</v>
      </c>
      <c r="E418" s="12" t="str">
        <f>IF(LEN(regon9[[#This Row],[Regon]]) = 7,TEXT(regon9[[#This Row],[Regon]],"000000000"),regon9[[#This Row],[Regon]])</f>
        <v>001610533</v>
      </c>
      <c r="F41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18" s="1"/>
      <c r="H41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19" spans="1:8" x14ac:dyDescent="0.25">
      <c r="A419" s="1" t="s">
        <v>544</v>
      </c>
      <c r="B419" s="11">
        <v>1618346</v>
      </c>
      <c r="C419" s="1" t="s">
        <v>21</v>
      </c>
      <c r="D419" s="1" t="s">
        <v>22</v>
      </c>
      <c r="E419" s="12" t="str">
        <f>IF(LEN(regon9[[#This Row],[Regon]]) = 7,TEXT(regon9[[#This Row],[Regon]],"000000000"),regon9[[#This Row],[Regon]])</f>
        <v>001618346</v>
      </c>
      <c r="F41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19" s="1"/>
      <c r="H41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20" spans="1:8" x14ac:dyDescent="0.25">
      <c r="A420" s="1" t="s">
        <v>545</v>
      </c>
      <c r="B420" s="11">
        <v>1731875</v>
      </c>
      <c r="C420" s="1" t="s">
        <v>21</v>
      </c>
      <c r="D420" s="1" t="s">
        <v>22</v>
      </c>
      <c r="E420" s="12" t="str">
        <f>IF(LEN(regon9[[#This Row],[Regon]]) = 7,TEXT(regon9[[#This Row],[Regon]],"000000000"),regon9[[#This Row],[Regon]])</f>
        <v>001731875</v>
      </c>
      <c r="F42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20" s="1"/>
      <c r="H42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21" spans="1:8" x14ac:dyDescent="0.25">
      <c r="A421" s="1" t="s">
        <v>546</v>
      </c>
      <c r="B421" s="11">
        <v>1733076</v>
      </c>
      <c r="C421" s="1" t="s">
        <v>21</v>
      </c>
      <c r="D421" s="1" t="s">
        <v>22</v>
      </c>
      <c r="E421" s="12" t="str">
        <f>IF(LEN(regon9[[#This Row],[Regon]]) = 7,TEXT(regon9[[#This Row],[Regon]],"000000000"),regon9[[#This Row],[Regon]])</f>
        <v>001733076</v>
      </c>
      <c r="F42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21" s="1"/>
      <c r="H42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22" spans="1:8" x14ac:dyDescent="0.25">
      <c r="A422" s="1" t="s">
        <v>547</v>
      </c>
      <c r="B422" s="11">
        <v>1747166</v>
      </c>
      <c r="C422" s="1" t="s">
        <v>21</v>
      </c>
      <c r="D422" s="1" t="s">
        <v>548</v>
      </c>
      <c r="E422" s="12" t="str">
        <f>IF(LEN(regon9[[#This Row],[Regon]]) = 7,TEXT(regon9[[#This Row],[Regon]],"000000000"),regon9[[#This Row],[Regon]])</f>
        <v>001747166</v>
      </c>
      <c r="F42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22" s="1"/>
      <c r="H42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23" spans="1:8" x14ac:dyDescent="0.25">
      <c r="A423" s="1" t="s">
        <v>549</v>
      </c>
      <c r="B423" s="11">
        <v>5224406</v>
      </c>
      <c r="C423" s="1" t="s">
        <v>21</v>
      </c>
      <c r="D423" s="1" t="s">
        <v>22</v>
      </c>
      <c r="E423" s="12" t="str">
        <f>IF(LEN(regon9[[#This Row],[Regon]]) = 7,TEXT(regon9[[#This Row],[Regon]],"000000000"),regon9[[#This Row],[Regon]])</f>
        <v>005224406</v>
      </c>
      <c r="F42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23" s="1"/>
      <c r="H42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24" spans="1:8" x14ac:dyDescent="0.25">
      <c r="A424" s="1" t="s">
        <v>550</v>
      </c>
      <c r="B424" s="11">
        <v>14031760</v>
      </c>
      <c r="C424" s="1" t="s">
        <v>21</v>
      </c>
      <c r="D424" s="1" t="s">
        <v>22</v>
      </c>
      <c r="E424" s="12">
        <f>IF(LEN(regon9[[#This Row],[Regon]]) = 7,TEXT(regon9[[#This Row],[Regon]],"000000000"),regon9[[#This Row],[Regon]])</f>
        <v>14031760</v>
      </c>
      <c r="F42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424" s="1"/>
      <c r="H42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25" spans="1:8" x14ac:dyDescent="0.25">
      <c r="A425" s="1" t="s">
        <v>551</v>
      </c>
      <c r="B425" s="11">
        <v>14074151</v>
      </c>
      <c r="C425" s="1" t="s">
        <v>21</v>
      </c>
      <c r="D425" s="1" t="s">
        <v>552</v>
      </c>
      <c r="E425" s="12">
        <f>IF(LEN(regon9[[#This Row],[Regon]]) = 7,TEXT(regon9[[#This Row],[Regon]],"000000000"),regon9[[#This Row],[Regon]])</f>
        <v>14074151</v>
      </c>
      <c r="F42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425" s="1"/>
      <c r="H42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26" spans="1:8" x14ac:dyDescent="0.25">
      <c r="A426" s="1" t="s">
        <v>553</v>
      </c>
      <c r="B426" s="11">
        <v>14077494</v>
      </c>
      <c r="C426" s="1" t="s">
        <v>21</v>
      </c>
      <c r="D426" s="1" t="s">
        <v>22</v>
      </c>
      <c r="E426" s="12">
        <f>IF(LEN(regon9[[#This Row],[Regon]]) = 7,TEXT(regon9[[#This Row],[Regon]],"000000000"),regon9[[#This Row],[Regon]])</f>
        <v>14077494</v>
      </c>
      <c r="F42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426" s="1"/>
      <c r="H42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27" spans="1:8" x14ac:dyDescent="0.25">
      <c r="A427" s="1" t="s">
        <v>554</v>
      </c>
      <c r="B427" s="11">
        <v>14081709</v>
      </c>
      <c r="C427" s="1" t="s">
        <v>21</v>
      </c>
      <c r="D427" s="1" t="s">
        <v>22</v>
      </c>
      <c r="E427" s="12">
        <f>IF(LEN(regon9[[#This Row],[Regon]]) = 7,TEXT(regon9[[#This Row],[Regon]],"000000000"),regon9[[#This Row],[Regon]])</f>
        <v>14081709</v>
      </c>
      <c r="F42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427" s="1"/>
      <c r="H42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28" spans="1:8" x14ac:dyDescent="0.25">
      <c r="A428" s="1" t="s">
        <v>555</v>
      </c>
      <c r="B428" s="11">
        <v>14396365</v>
      </c>
      <c r="C428" s="1" t="s">
        <v>21</v>
      </c>
      <c r="D428" s="1" t="s">
        <v>22</v>
      </c>
      <c r="E428" s="12">
        <f>IF(LEN(regon9[[#This Row],[Regon]]) = 7,TEXT(regon9[[#This Row],[Regon]],"000000000"),regon9[[#This Row],[Regon]])</f>
        <v>14396365</v>
      </c>
      <c r="F42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428" s="1"/>
      <c r="H42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29" spans="1:8" x14ac:dyDescent="0.25">
      <c r="A429" s="1" t="s">
        <v>556</v>
      </c>
      <c r="B429" s="11">
        <v>14581462</v>
      </c>
      <c r="C429" s="1" t="s">
        <v>21</v>
      </c>
      <c r="D429" s="1" t="s">
        <v>22</v>
      </c>
      <c r="E429" s="12">
        <f>IF(LEN(regon9[[#This Row],[Regon]]) = 7,TEXT(regon9[[#This Row],[Regon]],"000000000"),regon9[[#This Row],[Regon]])</f>
        <v>14581462</v>
      </c>
      <c r="F42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429" s="1"/>
      <c r="H42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30" spans="1:8" x14ac:dyDescent="0.25">
      <c r="A430" s="1" t="s">
        <v>557</v>
      </c>
      <c r="B430" s="11">
        <v>14591549</v>
      </c>
      <c r="C430" s="1" t="s">
        <v>21</v>
      </c>
      <c r="D430" s="1" t="s">
        <v>22</v>
      </c>
      <c r="E430" s="12">
        <f>IF(LEN(regon9[[#This Row],[Regon]]) = 7,TEXT(regon9[[#This Row],[Regon]],"000000000"),regon9[[#This Row],[Regon]])</f>
        <v>14591549</v>
      </c>
      <c r="F43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430" s="1"/>
      <c r="H43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31" spans="1:8" x14ac:dyDescent="0.25">
      <c r="A431" s="1" t="s">
        <v>558</v>
      </c>
      <c r="B431" s="11">
        <v>14602461</v>
      </c>
      <c r="C431" s="1" t="s">
        <v>21</v>
      </c>
      <c r="D431" s="1" t="s">
        <v>22</v>
      </c>
      <c r="E431" s="12">
        <f>IF(LEN(regon9[[#This Row],[Regon]]) = 7,TEXT(regon9[[#This Row],[Regon]],"000000000"),regon9[[#This Row],[Regon]])</f>
        <v>14602461</v>
      </c>
      <c r="F43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431" s="1"/>
      <c r="H43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32" spans="1:8" x14ac:dyDescent="0.25">
      <c r="A432" s="1" t="s">
        <v>559</v>
      </c>
      <c r="B432" s="11">
        <v>14602519</v>
      </c>
      <c r="C432" s="1" t="s">
        <v>21</v>
      </c>
      <c r="D432" s="1" t="s">
        <v>22</v>
      </c>
      <c r="E432" s="12">
        <f>IF(LEN(regon9[[#This Row],[Regon]]) = 7,TEXT(regon9[[#This Row],[Regon]],"000000000"),regon9[[#This Row],[Regon]])</f>
        <v>14602519</v>
      </c>
      <c r="F43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432" s="1"/>
      <c r="H43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33" spans="1:8" x14ac:dyDescent="0.25">
      <c r="A433" s="1" t="s">
        <v>560</v>
      </c>
      <c r="B433" s="11">
        <v>14615387</v>
      </c>
      <c r="C433" s="1" t="s">
        <v>21</v>
      </c>
      <c r="D433" s="1" t="s">
        <v>22</v>
      </c>
      <c r="E433" s="12">
        <f>IF(LEN(regon9[[#This Row],[Regon]]) = 7,TEXT(regon9[[#This Row],[Regon]],"000000000"),regon9[[#This Row],[Regon]])</f>
        <v>14615387</v>
      </c>
      <c r="F43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433" s="1"/>
      <c r="H43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34" spans="1:8" x14ac:dyDescent="0.25">
      <c r="A434" s="1" t="s">
        <v>561</v>
      </c>
      <c r="B434" s="11">
        <v>14652220</v>
      </c>
      <c r="C434" s="1" t="s">
        <v>21</v>
      </c>
      <c r="D434" s="1" t="s">
        <v>562</v>
      </c>
      <c r="E434" s="12">
        <f>IF(LEN(regon9[[#This Row],[Regon]]) = 7,TEXT(regon9[[#This Row],[Regon]],"000000000"),regon9[[#This Row],[Regon]])</f>
        <v>14652220</v>
      </c>
      <c r="F43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434" s="1"/>
      <c r="H43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35" spans="1:8" x14ac:dyDescent="0.25">
      <c r="A435" s="1" t="s">
        <v>563</v>
      </c>
      <c r="B435" s="11">
        <v>14657183</v>
      </c>
      <c r="C435" s="1" t="s">
        <v>21</v>
      </c>
      <c r="D435" s="1" t="s">
        <v>564</v>
      </c>
      <c r="E435" s="12">
        <f>IF(LEN(regon9[[#This Row],[Regon]]) = 7,TEXT(regon9[[#This Row],[Regon]],"000000000"),regon9[[#This Row],[Regon]])</f>
        <v>14657183</v>
      </c>
      <c r="F43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435" s="1"/>
      <c r="H43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36" spans="1:8" x14ac:dyDescent="0.25">
      <c r="A436" s="1" t="s">
        <v>565</v>
      </c>
      <c r="B436" s="11">
        <v>14670710</v>
      </c>
      <c r="C436" s="1" t="s">
        <v>21</v>
      </c>
      <c r="D436" s="1" t="s">
        <v>22</v>
      </c>
      <c r="E436" s="12">
        <f>IF(LEN(regon9[[#This Row],[Regon]]) = 7,TEXT(regon9[[#This Row],[Regon]],"000000000"),regon9[[#This Row],[Regon]])</f>
        <v>14670710</v>
      </c>
      <c r="F43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436" s="1"/>
      <c r="H43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37" spans="1:8" x14ac:dyDescent="0.25">
      <c r="A437" s="1" t="s">
        <v>566</v>
      </c>
      <c r="B437" s="11">
        <v>14687930</v>
      </c>
      <c r="C437" s="1" t="s">
        <v>21</v>
      </c>
      <c r="D437" s="1" t="s">
        <v>22</v>
      </c>
      <c r="E437" s="12">
        <f>IF(LEN(regon9[[#This Row],[Regon]]) = 7,TEXT(regon9[[#This Row],[Regon]],"000000000"),regon9[[#This Row],[Regon]])</f>
        <v>14687930</v>
      </c>
      <c r="F43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437" s="1"/>
      <c r="H43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38" spans="1:8" x14ac:dyDescent="0.25">
      <c r="A438" s="1" t="s">
        <v>567</v>
      </c>
      <c r="B438" s="11">
        <v>14697793</v>
      </c>
      <c r="C438" s="1" t="s">
        <v>21</v>
      </c>
      <c r="D438" s="1" t="s">
        <v>22</v>
      </c>
      <c r="E438" s="12">
        <f>IF(LEN(regon9[[#This Row],[Regon]]) = 7,TEXT(regon9[[#This Row],[Regon]],"000000000"),regon9[[#This Row],[Regon]])</f>
        <v>14697793</v>
      </c>
      <c r="F43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438" s="1"/>
      <c r="H43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39" spans="1:8" x14ac:dyDescent="0.25">
      <c r="A439" s="1" t="s">
        <v>568</v>
      </c>
      <c r="B439" s="11">
        <v>14709740</v>
      </c>
      <c r="C439" s="1" t="s">
        <v>21</v>
      </c>
      <c r="D439" s="1" t="s">
        <v>22</v>
      </c>
      <c r="E439" s="12">
        <f>IF(LEN(regon9[[#This Row],[Regon]]) = 7,TEXT(regon9[[#This Row],[Regon]],"000000000"),regon9[[#This Row],[Regon]])</f>
        <v>14709740</v>
      </c>
      <c r="F43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439" s="1"/>
      <c r="H43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40" spans="1:8" x14ac:dyDescent="0.25">
      <c r="A440" s="1" t="s">
        <v>569</v>
      </c>
      <c r="B440" s="11">
        <v>14716031</v>
      </c>
      <c r="C440" s="1" t="s">
        <v>21</v>
      </c>
      <c r="D440" s="1" t="s">
        <v>22</v>
      </c>
      <c r="E440" s="12">
        <f>IF(LEN(regon9[[#This Row],[Regon]]) = 7,TEXT(regon9[[#This Row],[Regon]],"000000000"),regon9[[#This Row],[Regon]])</f>
        <v>14716031</v>
      </c>
      <c r="F44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440" s="1"/>
      <c r="H44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41" spans="1:8" x14ac:dyDescent="0.25">
      <c r="A441" s="1" t="s">
        <v>570</v>
      </c>
      <c r="B441" s="11">
        <v>14729788</v>
      </c>
      <c r="C441" s="1" t="s">
        <v>21</v>
      </c>
      <c r="D441" s="1" t="s">
        <v>22</v>
      </c>
      <c r="E441" s="12">
        <f>IF(LEN(regon9[[#This Row],[Regon]]) = 7,TEXT(regon9[[#This Row],[Regon]],"000000000"),regon9[[#This Row],[Regon]])</f>
        <v>14729788</v>
      </c>
      <c r="F44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441" s="1"/>
      <c r="H44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42" spans="1:8" x14ac:dyDescent="0.25">
      <c r="A442" s="1" t="s">
        <v>571</v>
      </c>
      <c r="B442" s="11">
        <v>14737509</v>
      </c>
      <c r="C442" s="1" t="s">
        <v>21</v>
      </c>
      <c r="D442" s="1" t="s">
        <v>22</v>
      </c>
      <c r="E442" s="12">
        <f>IF(LEN(regon9[[#This Row],[Regon]]) = 7,TEXT(regon9[[#This Row],[Regon]],"000000000"),regon9[[#This Row],[Regon]])</f>
        <v>14737509</v>
      </c>
      <c r="F44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442" s="1"/>
      <c r="H44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43" spans="1:8" x14ac:dyDescent="0.25">
      <c r="A443" s="1" t="s">
        <v>572</v>
      </c>
      <c r="B443" s="11">
        <v>36060740</v>
      </c>
      <c r="C443" s="1" t="s">
        <v>21</v>
      </c>
      <c r="D443" s="1" t="s">
        <v>22</v>
      </c>
      <c r="E443" s="12">
        <f>IF(LEN(regon9[[#This Row],[Regon]]) = 7,TEXT(regon9[[#This Row],[Regon]],"000000000"),regon9[[#This Row],[Regon]])</f>
        <v>36060740</v>
      </c>
      <c r="F44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443" s="1"/>
      <c r="H44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44" spans="1:8" x14ac:dyDescent="0.25">
      <c r="A444" s="1" t="s">
        <v>573</v>
      </c>
      <c r="B444" s="11">
        <v>36082090</v>
      </c>
      <c r="C444" s="1" t="s">
        <v>21</v>
      </c>
      <c r="D444" s="1" t="s">
        <v>22</v>
      </c>
      <c r="E444" s="12">
        <f>IF(LEN(regon9[[#This Row],[Regon]]) = 7,TEXT(regon9[[#This Row],[Regon]],"000000000"),regon9[[#This Row],[Regon]])</f>
        <v>36082090</v>
      </c>
      <c r="F44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444" s="1"/>
      <c r="H44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45" spans="1:8" x14ac:dyDescent="0.25">
      <c r="A445" s="1" t="s">
        <v>574</v>
      </c>
      <c r="B445" s="11">
        <v>36230693</v>
      </c>
      <c r="C445" s="1" t="s">
        <v>21</v>
      </c>
      <c r="D445" s="1" t="s">
        <v>22</v>
      </c>
      <c r="E445" s="12">
        <f>IF(LEN(regon9[[#This Row],[Regon]]) = 7,TEXT(regon9[[#This Row],[Regon]],"000000000"),regon9[[#This Row],[Regon]])</f>
        <v>36230693</v>
      </c>
      <c r="F44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445" s="1"/>
      <c r="H44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46" spans="1:8" x14ac:dyDescent="0.25">
      <c r="A446" s="1" t="s">
        <v>575</v>
      </c>
      <c r="B446" s="11">
        <v>36259843</v>
      </c>
      <c r="C446" s="1" t="s">
        <v>21</v>
      </c>
      <c r="D446" s="1" t="s">
        <v>22</v>
      </c>
      <c r="E446" s="12">
        <f>IF(LEN(regon9[[#This Row],[Regon]]) = 7,TEXT(regon9[[#This Row],[Regon]],"000000000"),regon9[[#This Row],[Regon]])</f>
        <v>36259843</v>
      </c>
      <c r="F44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446" s="1"/>
      <c r="H44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47" spans="1:8" x14ac:dyDescent="0.25">
      <c r="A447" s="1" t="s">
        <v>576</v>
      </c>
      <c r="B447" s="11">
        <v>36394992</v>
      </c>
      <c r="C447" s="1" t="s">
        <v>21</v>
      </c>
      <c r="D447" s="1" t="s">
        <v>577</v>
      </c>
      <c r="E447" s="12">
        <f>IF(LEN(regon9[[#This Row],[Regon]]) = 7,TEXT(regon9[[#This Row],[Regon]],"000000000"),regon9[[#This Row],[Regon]])</f>
        <v>36394992</v>
      </c>
      <c r="F44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447" s="1"/>
      <c r="H44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48" spans="1:8" x14ac:dyDescent="0.25">
      <c r="A448" s="1" t="s">
        <v>578</v>
      </c>
      <c r="B448" s="11">
        <v>36401190</v>
      </c>
      <c r="C448" s="1" t="s">
        <v>21</v>
      </c>
      <c r="D448" s="1" t="s">
        <v>22</v>
      </c>
      <c r="E448" s="12">
        <f>IF(LEN(regon9[[#This Row],[Regon]]) = 7,TEXT(regon9[[#This Row],[Regon]],"000000000"),regon9[[#This Row],[Regon]])</f>
        <v>36401190</v>
      </c>
      <c r="F44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448" s="1"/>
      <c r="H44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49" spans="1:8" x14ac:dyDescent="0.25">
      <c r="A449" s="1" t="s">
        <v>579</v>
      </c>
      <c r="B449" s="11">
        <v>36414024</v>
      </c>
      <c r="C449" s="1" t="s">
        <v>21</v>
      </c>
      <c r="D449" s="1" t="s">
        <v>22</v>
      </c>
      <c r="E449" s="12">
        <f>IF(LEN(regon9[[#This Row],[Regon]]) = 7,TEXT(regon9[[#This Row],[Regon]],"000000000"),regon9[[#This Row],[Regon]])</f>
        <v>36414024</v>
      </c>
      <c r="F44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449" s="1"/>
      <c r="H44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50" spans="1:8" x14ac:dyDescent="0.25">
      <c r="A450" s="1" t="s">
        <v>580</v>
      </c>
      <c r="B450" s="11">
        <v>36475741</v>
      </c>
      <c r="C450" s="1" t="s">
        <v>21</v>
      </c>
      <c r="D450" s="1" t="s">
        <v>22</v>
      </c>
      <c r="E450" s="12">
        <f>IF(LEN(regon9[[#This Row],[Regon]]) = 7,TEXT(regon9[[#This Row],[Regon]],"000000000"),regon9[[#This Row],[Regon]])</f>
        <v>36475741</v>
      </c>
      <c r="F45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450" s="1"/>
      <c r="H45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51" spans="1:8" x14ac:dyDescent="0.25">
      <c r="A451" s="1" t="s">
        <v>581</v>
      </c>
      <c r="B451" s="11">
        <v>36522762</v>
      </c>
      <c r="C451" s="1" t="s">
        <v>21</v>
      </c>
      <c r="D451" s="1" t="s">
        <v>22</v>
      </c>
      <c r="E451" s="12">
        <f>IF(LEN(regon9[[#This Row],[Regon]]) = 7,TEXT(regon9[[#This Row],[Regon]],"000000000"),regon9[[#This Row],[Regon]])</f>
        <v>36522762</v>
      </c>
      <c r="F45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451" s="1"/>
      <c r="H45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52" spans="1:8" x14ac:dyDescent="0.25">
      <c r="A452" s="1" t="s">
        <v>582</v>
      </c>
      <c r="B452" s="11">
        <v>43092872</v>
      </c>
      <c r="C452" s="1" t="s">
        <v>21</v>
      </c>
      <c r="D452" s="1" t="s">
        <v>22</v>
      </c>
      <c r="E452" s="12">
        <f>IF(LEN(regon9[[#This Row],[Regon]]) = 7,TEXT(regon9[[#This Row],[Regon]],"000000000"),regon9[[#This Row],[Regon]])</f>
        <v>43092872</v>
      </c>
      <c r="F45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452" s="1"/>
      <c r="H45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53" spans="1:8" x14ac:dyDescent="0.25">
      <c r="A453" s="1" t="s">
        <v>583</v>
      </c>
      <c r="B453" s="11">
        <v>47169382</v>
      </c>
      <c r="C453" s="1" t="s">
        <v>21</v>
      </c>
      <c r="D453" s="1" t="s">
        <v>22</v>
      </c>
      <c r="E453" s="12">
        <f>IF(LEN(regon9[[#This Row],[Regon]]) = 7,TEXT(regon9[[#This Row],[Regon]],"000000000"),regon9[[#This Row],[Regon]])</f>
        <v>47169382</v>
      </c>
      <c r="F45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453" s="1"/>
      <c r="H45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54" spans="1:8" x14ac:dyDescent="0.25">
      <c r="A454" s="1" t="s">
        <v>584</v>
      </c>
      <c r="B454" s="11">
        <v>47322011</v>
      </c>
      <c r="C454" s="1" t="s">
        <v>21</v>
      </c>
      <c r="D454" s="1" t="s">
        <v>585</v>
      </c>
      <c r="E454" s="12">
        <f>IF(LEN(regon9[[#This Row],[Regon]]) = 7,TEXT(regon9[[#This Row],[Regon]],"000000000"),regon9[[#This Row],[Regon]])</f>
        <v>47322011</v>
      </c>
      <c r="F45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454" s="1"/>
      <c r="H45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55" spans="1:8" x14ac:dyDescent="0.25">
      <c r="A455" s="1" t="s">
        <v>586</v>
      </c>
      <c r="B455" s="11">
        <v>203899</v>
      </c>
      <c r="C455" s="1" t="s">
        <v>45</v>
      </c>
      <c r="D455" s="1" t="s">
        <v>22</v>
      </c>
      <c r="E455" s="12">
        <f>IF(LEN(regon9[[#This Row],[Regon]]) = 7,TEXT(regon9[[#This Row],[Regon]],"000000000"),regon9[[#This Row],[Regon]])</f>
        <v>203899</v>
      </c>
      <c r="F45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455" s="1"/>
      <c r="H45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56" spans="1:8" x14ac:dyDescent="0.25">
      <c r="A456" s="1" t="s">
        <v>587</v>
      </c>
      <c r="B456" s="11">
        <v>1000418</v>
      </c>
      <c r="C456" s="1" t="s">
        <v>45</v>
      </c>
      <c r="D456" s="1" t="s">
        <v>22</v>
      </c>
      <c r="E456" s="12" t="str">
        <f>IF(LEN(regon9[[#This Row],[Regon]]) = 7,TEXT(regon9[[#This Row],[Regon]],"000000000"),regon9[[#This Row],[Regon]])</f>
        <v>001000418</v>
      </c>
      <c r="F45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56" s="1"/>
      <c r="H45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57" spans="1:8" x14ac:dyDescent="0.25">
      <c r="A457" s="1" t="s">
        <v>588</v>
      </c>
      <c r="B457" s="11">
        <v>1026166</v>
      </c>
      <c r="C457" s="1" t="s">
        <v>45</v>
      </c>
      <c r="D457" s="1" t="s">
        <v>22</v>
      </c>
      <c r="E457" s="12" t="str">
        <f>IF(LEN(regon9[[#This Row],[Regon]]) = 7,TEXT(regon9[[#This Row],[Regon]],"000000000"),regon9[[#This Row],[Regon]])</f>
        <v>001026166</v>
      </c>
      <c r="F45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57" s="1"/>
      <c r="H45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58" spans="1:8" x14ac:dyDescent="0.25">
      <c r="A458" s="1" t="s">
        <v>589</v>
      </c>
      <c r="B458" s="11">
        <v>1034952</v>
      </c>
      <c r="C458" s="1" t="s">
        <v>45</v>
      </c>
      <c r="D458" s="1" t="s">
        <v>22</v>
      </c>
      <c r="E458" s="12" t="str">
        <f>IF(LEN(regon9[[#This Row],[Regon]]) = 7,TEXT(regon9[[#This Row],[Regon]],"000000000"),regon9[[#This Row],[Regon]])</f>
        <v>001034952</v>
      </c>
      <c r="F45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58" s="1"/>
      <c r="H45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59" spans="1:8" x14ac:dyDescent="0.25">
      <c r="A459" s="1" t="s">
        <v>590</v>
      </c>
      <c r="B459" s="11">
        <v>1047985</v>
      </c>
      <c r="C459" s="1" t="s">
        <v>45</v>
      </c>
      <c r="D459" s="1" t="s">
        <v>22</v>
      </c>
      <c r="E459" s="12" t="str">
        <f>IF(LEN(regon9[[#This Row],[Regon]]) = 7,TEXT(regon9[[#This Row],[Regon]],"000000000"),regon9[[#This Row],[Regon]])</f>
        <v>001047985</v>
      </c>
      <c r="F45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59" s="1"/>
      <c r="H45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60" spans="1:8" x14ac:dyDescent="0.25">
      <c r="A460" s="1" t="s">
        <v>591</v>
      </c>
      <c r="B460" s="11">
        <v>1056716</v>
      </c>
      <c r="C460" s="1" t="s">
        <v>45</v>
      </c>
      <c r="D460" s="1" t="s">
        <v>22</v>
      </c>
      <c r="E460" s="12" t="str">
        <f>IF(LEN(regon9[[#This Row],[Regon]]) = 7,TEXT(regon9[[#This Row],[Regon]],"000000000"),regon9[[#This Row],[Regon]])</f>
        <v>001056716</v>
      </c>
      <c r="F46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60" s="1"/>
      <c r="H46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61" spans="1:8" x14ac:dyDescent="0.25">
      <c r="A461" s="1" t="s">
        <v>592</v>
      </c>
      <c r="B461" s="11">
        <v>1112799</v>
      </c>
      <c r="C461" s="1" t="s">
        <v>45</v>
      </c>
      <c r="D461" s="1" t="s">
        <v>22</v>
      </c>
      <c r="E461" s="12" t="str">
        <f>IF(LEN(regon9[[#This Row],[Regon]]) = 7,TEXT(regon9[[#This Row],[Regon]],"000000000"),regon9[[#This Row],[Regon]])</f>
        <v>001112799</v>
      </c>
      <c r="F46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61" s="1"/>
      <c r="H46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62" spans="1:8" x14ac:dyDescent="0.25">
      <c r="A462" s="1" t="s">
        <v>593</v>
      </c>
      <c r="B462" s="11">
        <v>1200402</v>
      </c>
      <c r="C462" s="1" t="s">
        <v>45</v>
      </c>
      <c r="D462" s="1" t="s">
        <v>22</v>
      </c>
      <c r="E462" s="12" t="str">
        <f>IF(LEN(regon9[[#This Row],[Regon]]) = 7,TEXT(regon9[[#This Row],[Regon]],"000000000"),regon9[[#This Row],[Regon]])</f>
        <v>001200402</v>
      </c>
      <c r="F46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62" s="1"/>
      <c r="H46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63" spans="1:8" x14ac:dyDescent="0.25">
      <c r="A463" s="1" t="s">
        <v>594</v>
      </c>
      <c r="B463" s="11">
        <v>1266905</v>
      </c>
      <c r="C463" s="1" t="s">
        <v>45</v>
      </c>
      <c r="D463" s="1" t="s">
        <v>22</v>
      </c>
      <c r="E463" s="12" t="str">
        <f>IF(LEN(regon9[[#This Row],[Regon]]) = 7,TEXT(regon9[[#This Row],[Regon]],"000000000"),regon9[[#This Row],[Regon]])</f>
        <v>001266905</v>
      </c>
      <c r="F46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63" s="1"/>
      <c r="H46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64" spans="1:8" x14ac:dyDescent="0.25">
      <c r="A464" s="1" t="s">
        <v>595</v>
      </c>
      <c r="B464" s="11">
        <v>1271989</v>
      </c>
      <c r="C464" s="1" t="s">
        <v>45</v>
      </c>
      <c r="D464" s="1" t="s">
        <v>22</v>
      </c>
      <c r="E464" s="12" t="str">
        <f>IF(LEN(regon9[[#This Row],[Regon]]) = 7,TEXT(regon9[[#This Row],[Regon]],"000000000"),regon9[[#This Row],[Regon]])</f>
        <v>001271989</v>
      </c>
      <c r="F46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64" s="1"/>
      <c r="H46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65" spans="1:8" x14ac:dyDescent="0.25">
      <c r="A465" s="1" t="s">
        <v>596</v>
      </c>
      <c r="B465" s="11">
        <v>1276694</v>
      </c>
      <c r="C465" s="1" t="s">
        <v>45</v>
      </c>
      <c r="D465" s="1" t="s">
        <v>22</v>
      </c>
      <c r="E465" s="12" t="str">
        <f>IF(LEN(regon9[[#This Row],[Regon]]) = 7,TEXT(regon9[[#This Row],[Regon]],"000000000"),regon9[[#This Row],[Regon]])</f>
        <v>001276694</v>
      </c>
      <c r="F46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65" s="1"/>
      <c r="H46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66" spans="1:8" x14ac:dyDescent="0.25">
      <c r="A466" s="1" t="s">
        <v>597</v>
      </c>
      <c r="B466" s="11">
        <v>1292137</v>
      </c>
      <c r="C466" s="1" t="s">
        <v>45</v>
      </c>
      <c r="D466" s="1" t="s">
        <v>22</v>
      </c>
      <c r="E466" s="12" t="str">
        <f>IF(LEN(regon9[[#This Row],[Regon]]) = 7,TEXT(regon9[[#This Row],[Regon]],"000000000"),regon9[[#This Row],[Regon]])</f>
        <v>001292137</v>
      </c>
      <c r="F46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66" s="1"/>
      <c r="H46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67" spans="1:8" x14ac:dyDescent="0.25">
      <c r="A467" s="1" t="s">
        <v>598</v>
      </c>
      <c r="B467" s="11">
        <v>1313391</v>
      </c>
      <c r="C467" s="1" t="s">
        <v>45</v>
      </c>
      <c r="D467" s="1" t="s">
        <v>22</v>
      </c>
      <c r="E467" s="12" t="str">
        <f>IF(LEN(regon9[[#This Row],[Regon]]) = 7,TEXT(regon9[[#This Row],[Regon]],"000000000"),regon9[[#This Row],[Regon]])</f>
        <v>001313391</v>
      </c>
      <c r="F46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67" s="1"/>
      <c r="H46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68" spans="1:8" x14ac:dyDescent="0.25">
      <c r="A468" s="1" t="s">
        <v>599</v>
      </c>
      <c r="B468" s="11">
        <v>1607937</v>
      </c>
      <c r="C468" s="1" t="s">
        <v>45</v>
      </c>
      <c r="D468" s="1" t="s">
        <v>22</v>
      </c>
      <c r="E468" s="12" t="str">
        <f>IF(LEN(regon9[[#This Row],[Regon]]) = 7,TEXT(regon9[[#This Row],[Regon]],"000000000"),regon9[[#This Row],[Regon]])</f>
        <v>001607937</v>
      </c>
      <c r="F46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68" s="1"/>
      <c r="H46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69" spans="1:8" x14ac:dyDescent="0.25">
      <c r="A469" s="1" t="s">
        <v>600</v>
      </c>
      <c r="B469" s="11">
        <v>1609629</v>
      </c>
      <c r="C469" s="1" t="s">
        <v>45</v>
      </c>
      <c r="D469" s="1" t="s">
        <v>22</v>
      </c>
      <c r="E469" s="12" t="str">
        <f>IF(LEN(regon9[[#This Row],[Regon]]) = 7,TEXT(regon9[[#This Row],[Regon]],"000000000"),regon9[[#This Row],[Regon]])</f>
        <v>001609629</v>
      </c>
      <c r="F46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69" s="1"/>
      <c r="H46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70" spans="1:8" x14ac:dyDescent="0.25">
      <c r="A470" s="1" t="s">
        <v>601</v>
      </c>
      <c r="B470" s="11">
        <v>1624790</v>
      </c>
      <c r="C470" s="1" t="s">
        <v>45</v>
      </c>
      <c r="D470" s="1" t="s">
        <v>22</v>
      </c>
      <c r="E470" s="12" t="str">
        <f>IF(LEN(regon9[[#This Row],[Regon]]) = 7,TEXT(regon9[[#This Row],[Regon]],"000000000"),regon9[[#This Row],[Regon]])</f>
        <v>001624790</v>
      </c>
      <c r="F47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70" s="1"/>
      <c r="H47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71" spans="1:8" x14ac:dyDescent="0.25">
      <c r="A471" s="1" t="s">
        <v>602</v>
      </c>
      <c r="B471" s="11">
        <v>1738027</v>
      </c>
      <c r="C471" s="1" t="s">
        <v>45</v>
      </c>
      <c r="D471" s="1" t="s">
        <v>22</v>
      </c>
      <c r="E471" s="12" t="str">
        <f>IF(LEN(regon9[[#This Row],[Regon]]) = 7,TEXT(regon9[[#This Row],[Regon]],"000000000"),regon9[[#This Row],[Regon]])</f>
        <v>001738027</v>
      </c>
      <c r="F47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71" s="1"/>
      <c r="H47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72" spans="1:8" x14ac:dyDescent="0.25">
      <c r="A472" s="1" t="s">
        <v>603</v>
      </c>
      <c r="B472" s="11">
        <v>14113725</v>
      </c>
      <c r="C472" s="1" t="s">
        <v>45</v>
      </c>
      <c r="D472" s="1" t="s">
        <v>22</v>
      </c>
      <c r="E472" s="12">
        <f>IF(LEN(regon9[[#This Row],[Regon]]) = 7,TEXT(regon9[[#This Row],[Regon]],"000000000"),regon9[[#This Row],[Regon]])</f>
        <v>14113725</v>
      </c>
      <c r="F47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472" s="1"/>
      <c r="H47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73" spans="1:8" x14ac:dyDescent="0.25">
      <c r="A473" s="1" t="s">
        <v>604</v>
      </c>
      <c r="B473" s="11">
        <v>14175081</v>
      </c>
      <c r="C473" s="1" t="s">
        <v>45</v>
      </c>
      <c r="D473" s="1" t="s">
        <v>22</v>
      </c>
      <c r="E473" s="12">
        <f>IF(LEN(regon9[[#This Row],[Regon]]) = 7,TEXT(regon9[[#This Row],[Regon]],"000000000"),regon9[[#This Row],[Regon]])</f>
        <v>14175081</v>
      </c>
      <c r="F47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473" s="1"/>
      <c r="H47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74" spans="1:8" x14ac:dyDescent="0.25">
      <c r="A474" s="1" t="s">
        <v>605</v>
      </c>
      <c r="B474" s="11">
        <v>14217073</v>
      </c>
      <c r="C474" s="1" t="s">
        <v>45</v>
      </c>
      <c r="D474" s="1" t="s">
        <v>22</v>
      </c>
      <c r="E474" s="12">
        <f>IF(LEN(regon9[[#This Row],[Regon]]) = 7,TEXT(regon9[[#This Row],[Regon]],"000000000"),regon9[[#This Row],[Regon]])</f>
        <v>14217073</v>
      </c>
      <c r="F47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474" s="1"/>
      <c r="H47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75" spans="1:8" x14ac:dyDescent="0.25">
      <c r="A475" s="1" t="s">
        <v>606</v>
      </c>
      <c r="B475" s="11">
        <v>14602437</v>
      </c>
      <c r="C475" s="1" t="s">
        <v>45</v>
      </c>
      <c r="D475" s="1" t="s">
        <v>22</v>
      </c>
      <c r="E475" s="12">
        <f>IF(LEN(regon9[[#This Row],[Regon]]) = 7,TEXT(regon9[[#This Row],[Regon]],"000000000"),regon9[[#This Row],[Regon]])</f>
        <v>14602437</v>
      </c>
      <c r="F47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475" s="1"/>
      <c r="H47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76" spans="1:8" x14ac:dyDescent="0.25">
      <c r="A476" s="1" t="s">
        <v>607</v>
      </c>
      <c r="B476" s="11">
        <v>14705564</v>
      </c>
      <c r="C476" s="1" t="s">
        <v>45</v>
      </c>
      <c r="D476" s="1" t="s">
        <v>22</v>
      </c>
      <c r="E476" s="12">
        <f>IF(LEN(regon9[[#This Row],[Regon]]) = 7,TEXT(regon9[[#This Row],[Regon]],"000000000"),regon9[[#This Row],[Regon]])</f>
        <v>14705564</v>
      </c>
      <c r="F47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476" s="1"/>
      <c r="H47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77" spans="1:8" x14ac:dyDescent="0.25">
      <c r="A477" s="1" t="s">
        <v>608</v>
      </c>
      <c r="B477" s="11">
        <v>14734942</v>
      </c>
      <c r="C477" s="1" t="s">
        <v>45</v>
      </c>
      <c r="D477" s="1" t="s">
        <v>22</v>
      </c>
      <c r="E477" s="12">
        <f>IF(LEN(regon9[[#This Row],[Regon]]) = 7,TEXT(regon9[[#This Row],[Regon]],"000000000"),regon9[[#This Row],[Regon]])</f>
        <v>14734942</v>
      </c>
      <c r="F47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477" s="1"/>
      <c r="H47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78" spans="1:8" x14ac:dyDescent="0.25">
      <c r="A478" s="1" t="s">
        <v>609</v>
      </c>
      <c r="B478" s="11">
        <v>14749306</v>
      </c>
      <c r="C478" s="1" t="s">
        <v>45</v>
      </c>
      <c r="D478" s="1" t="s">
        <v>22</v>
      </c>
      <c r="E478" s="12">
        <f>IF(LEN(regon9[[#This Row],[Regon]]) = 7,TEXT(regon9[[#This Row],[Regon]],"000000000"),regon9[[#This Row],[Regon]])</f>
        <v>14749306</v>
      </c>
      <c r="F47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478" s="1"/>
      <c r="H47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79" spans="1:8" x14ac:dyDescent="0.25">
      <c r="A479" s="1" t="s">
        <v>610</v>
      </c>
      <c r="B479" s="11">
        <v>11127120001</v>
      </c>
      <c r="C479" s="1" t="s">
        <v>51</v>
      </c>
      <c r="D479" s="1" t="s">
        <v>22</v>
      </c>
      <c r="E479" s="12">
        <f>IF(LEN(regon9[[#This Row],[Regon]]) = 7,TEXT(regon9[[#This Row],[Regon]],"000000000"),regon9[[#This Row],[Regon]])</f>
        <v>11127120001</v>
      </c>
      <c r="F47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479" s="1"/>
      <c r="H47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80" spans="1:8" x14ac:dyDescent="0.25">
      <c r="A480" s="1" t="s">
        <v>611</v>
      </c>
      <c r="B480" s="11">
        <v>16448600002</v>
      </c>
      <c r="C480" s="1" t="s">
        <v>51</v>
      </c>
      <c r="D480" s="1" t="s">
        <v>22</v>
      </c>
      <c r="E480" s="12">
        <f>IF(LEN(regon9[[#This Row],[Regon]]) = 7,TEXT(regon9[[#This Row],[Regon]],"000000000"),regon9[[#This Row],[Regon]])</f>
        <v>16448600002</v>
      </c>
      <c r="F48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480" s="1"/>
      <c r="H48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81" spans="1:8" x14ac:dyDescent="0.25">
      <c r="A481" s="1" t="s">
        <v>612</v>
      </c>
      <c r="B481" s="11">
        <v>6712010005</v>
      </c>
      <c r="C481" s="1" t="s">
        <v>297</v>
      </c>
      <c r="D481" s="1" t="s">
        <v>22</v>
      </c>
      <c r="E481" s="12">
        <f>IF(LEN(regon9[[#This Row],[Regon]]) = 7,TEXT(regon9[[#This Row],[Regon]],"000000000"),regon9[[#This Row],[Regon]])</f>
        <v>6712010005</v>
      </c>
      <c r="F48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481" s="1"/>
      <c r="H48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82" spans="1:8" x14ac:dyDescent="0.25">
      <c r="A482" s="1" t="s">
        <v>613</v>
      </c>
      <c r="B482" s="11">
        <v>6149391</v>
      </c>
      <c r="C482" s="1" t="s">
        <v>21</v>
      </c>
      <c r="D482" s="1" t="s">
        <v>22</v>
      </c>
      <c r="E482" s="12" t="str">
        <f>IF(LEN(regon9[[#This Row],[Regon]]) = 7,TEXT(regon9[[#This Row],[Regon]],"000000000"),regon9[[#This Row],[Regon]])</f>
        <v>006149391</v>
      </c>
      <c r="F48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482" s="1"/>
      <c r="H48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83" spans="1:8" x14ac:dyDescent="0.25">
      <c r="A483" s="1" t="s">
        <v>614</v>
      </c>
      <c r="B483" s="11">
        <v>30026602</v>
      </c>
      <c r="C483" s="1" t="s">
        <v>21</v>
      </c>
      <c r="D483" s="1" t="s">
        <v>65</v>
      </c>
      <c r="E483" s="12">
        <f>IF(LEN(regon9[[#This Row],[Regon]]) = 7,TEXT(regon9[[#This Row],[Regon]],"000000000"),regon9[[#This Row],[Regon]])</f>
        <v>30026602</v>
      </c>
      <c r="F48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483" s="1"/>
      <c r="H48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84" spans="1:8" x14ac:dyDescent="0.25">
      <c r="A484" s="1" t="s">
        <v>615</v>
      </c>
      <c r="B484" s="11">
        <v>30027826</v>
      </c>
      <c r="C484" s="1" t="s">
        <v>21</v>
      </c>
      <c r="D484" s="1" t="s">
        <v>616</v>
      </c>
      <c r="E484" s="12">
        <f>IF(LEN(regon9[[#This Row],[Regon]]) = 7,TEXT(regon9[[#This Row],[Regon]],"000000000"),regon9[[#This Row],[Regon]])</f>
        <v>30027826</v>
      </c>
      <c r="F48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484" s="1"/>
      <c r="H48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85" spans="1:8" x14ac:dyDescent="0.25">
      <c r="A485" s="1" t="s">
        <v>617</v>
      </c>
      <c r="B485" s="11">
        <v>30039321</v>
      </c>
      <c r="C485" s="1" t="s">
        <v>21</v>
      </c>
      <c r="D485" s="1" t="s">
        <v>22</v>
      </c>
      <c r="E485" s="12">
        <f>IF(LEN(regon9[[#This Row],[Regon]]) = 7,TEXT(regon9[[#This Row],[Regon]],"000000000"),regon9[[#This Row],[Regon]])</f>
        <v>30039321</v>
      </c>
      <c r="F48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485" s="1"/>
      <c r="H48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86" spans="1:8" x14ac:dyDescent="0.25">
      <c r="A486" s="1" t="s">
        <v>618</v>
      </c>
      <c r="B486" s="11">
        <v>30053281</v>
      </c>
      <c r="C486" s="1" t="s">
        <v>21</v>
      </c>
      <c r="D486" s="1" t="s">
        <v>619</v>
      </c>
      <c r="E486" s="12">
        <f>IF(LEN(regon9[[#This Row],[Regon]]) = 7,TEXT(regon9[[#This Row],[Regon]],"000000000"),regon9[[#This Row],[Regon]])</f>
        <v>30053281</v>
      </c>
      <c r="F48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486" s="1"/>
      <c r="H48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87" spans="1:8" x14ac:dyDescent="0.25">
      <c r="A487" s="1" t="s">
        <v>620</v>
      </c>
      <c r="B487" s="11">
        <v>30103478</v>
      </c>
      <c r="C487" s="1" t="s">
        <v>21</v>
      </c>
      <c r="D487" s="1" t="s">
        <v>22</v>
      </c>
      <c r="E487" s="12">
        <f>IF(LEN(regon9[[#This Row],[Regon]]) = 7,TEXT(regon9[[#This Row],[Regon]],"000000000"),regon9[[#This Row],[Regon]])</f>
        <v>30103478</v>
      </c>
      <c r="F48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487" s="1"/>
      <c r="H48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88" spans="1:8" x14ac:dyDescent="0.25">
      <c r="A488" s="1" t="s">
        <v>621</v>
      </c>
      <c r="B488" s="11">
        <v>30106484</v>
      </c>
      <c r="C488" s="1" t="s">
        <v>21</v>
      </c>
      <c r="D488" s="1" t="s">
        <v>622</v>
      </c>
      <c r="E488" s="12">
        <f>IF(LEN(regon9[[#This Row],[Regon]]) = 7,TEXT(regon9[[#This Row],[Regon]],"000000000"),regon9[[#This Row],[Regon]])</f>
        <v>30106484</v>
      </c>
      <c r="F48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488" s="1"/>
      <c r="H48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89" spans="1:8" x14ac:dyDescent="0.25">
      <c r="A489" s="1" t="s">
        <v>623</v>
      </c>
      <c r="B489" s="11">
        <v>30167431</v>
      </c>
      <c r="C489" s="1" t="s">
        <v>21</v>
      </c>
      <c r="D489" s="1" t="s">
        <v>624</v>
      </c>
      <c r="E489" s="12">
        <f>IF(LEN(regon9[[#This Row],[Regon]]) = 7,TEXT(regon9[[#This Row],[Regon]],"000000000"),regon9[[#This Row],[Regon]])</f>
        <v>30167431</v>
      </c>
      <c r="F48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489" s="1"/>
      <c r="H48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90" spans="1:8" x14ac:dyDescent="0.25">
      <c r="A490" s="1" t="s">
        <v>625</v>
      </c>
      <c r="B490" s="11">
        <v>30213849</v>
      </c>
      <c r="C490" s="1" t="s">
        <v>21</v>
      </c>
      <c r="D490" s="1" t="s">
        <v>626</v>
      </c>
      <c r="E490" s="12">
        <f>IF(LEN(regon9[[#This Row],[Regon]]) = 7,TEXT(regon9[[#This Row],[Regon]],"000000000"),regon9[[#This Row],[Regon]])</f>
        <v>30213849</v>
      </c>
      <c r="F49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490" s="1"/>
      <c r="H49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91" spans="1:8" x14ac:dyDescent="0.25">
      <c r="A491" s="1" t="s">
        <v>627</v>
      </c>
      <c r="B491" s="11">
        <v>30217088</v>
      </c>
      <c r="C491" s="1" t="s">
        <v>21</v>
      </c>
      <c r="D491" s="1" t="s">
        <v>22</v>
      </c>
      <c r="E491" s="12">
        <f>IF(LEN(regon9[[#This Row],[Regon]]) = 7,TEXT(regon9[[#This Row],[Regon]],"000000000"),regon9[[#This Row],[Regon]])</f>
        <v>30217088</v>
      </c>
      <c r="F49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491" s="1"/>
      <c r="H49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92" spans="1:8" x14ac:dyDescent="0.25">
      <c r="A492" s="1" t="s">
        <v>628</v>
      </c>
      <c r="B492" s="11">
        <v>30246267</v>
      </c>
      <c r="C492" s="1" t="s">
        <v>21</v>
      </c>
      <c r="D492" s="1" t="s">
        <v>69</v>
      </c>
      <c r="E492" s="12">
        <f>IF(LEN(regon9[[#This Row],[Regon]]) = 7,TEXT(regon9[[#This Row],[Regon]],"000000000"),regon9[[#This Row],[Regon]])</f>
        <v>30246267</v>
      </c>
      <c r="F49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492" s="1"/>
      <c r="H49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93" spans="1:8" x14ac:dyDescent="0.25">
      <c r="A493" s="1" t="s">
        <v>629</v>
      </c>
      <c r="B493" s="11">
        <v>30251680</v>
      </c>
      <c r="C493" s="1" t="s">
        <v>21</v>
      </c>
      <c r="D493" s="1" t="s">
        <v>630</v>
      </c>
      <c r="E493" s="12">
        <f>IF(LEN(regon9[[#This Row],[Regon]]) = 7,TEXT(regon9[[#This Row],[Regon]],"000000000"),regon9[[#This Row],[Regon]])</f>
        <v>30251680</v>
      </c>
      <c r="F49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493" s="1"/>
      <c r="H49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94" spans="1:8" x14ac:dyDescent="0.25">
      <c r="A494" s="1" t="s">
        <v>631</v>
      </c>
      <c r="B494" s="11">
        <v>30278043</v>
      </c>
      <c r="C494" s="1" t="s">
        <v>21</v>
      </c>
      <c r="D494" s="1" t="s">
        <v>632</v>
      </c>
      <c r="E494" s="12">
        <f>IF(LEN(regon9[[#This Row],[Regon]]) = 7,TEXT(regon9[[#This Row],[Regon]],"000000000"),regon9[[#This Row],[Regon]])</f>
        <v>30278043</v>
      </c>
      <c r="F49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494" s="1"/>
      <c r="H49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95" spans="1:8" x14ac:dyDescent="0.25">
      <c r="A495" s="1" t="s">
        <v>633</v>
      </c>
      <c r="B495" s="11">
        <v>32157856</v>
      </c>
      <c r="C495" s="1" t="s">
        <v>21</v>
      </c>
      <c r="D495" s="1" t="s">
        <v>22</v>
      </c>
      <c r="E495" s="12">
        <f>IF(LEN(regon9[[#This Row],[Regon]]) = 7,TEXT(regon9[[#This Row],[Regon]],"000000000"),regon9[[#This Row],[Regon]])</f>
        <v>32157856</v>
      </c>
      <c r="F49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495" s="1"/>
      <c r="H49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96" spans="1:8" x14ac:dyDescent="0.25">
      <c r="A496" s="1" t="s">
        <v>634</v>
      </c>
      <c r="B496" s="11">
        <v>36151901</v>
      </c>
      <c r="C496" s="1" t="s">
        <v>21</v>
      </c>
      <c r="D496" s="1" t="s">
        <v>635</v>
      </c>
      <c r="E496" s="12">
        <f>IF(LEN(regon9[[#This Row],[Regon]]) = 7,TEXT(regon9[[#This Row],[Regon]],"000000000"),regon9[[#This Row],[Regon]])</f>
        <v>36151901</v>
      </c>
      <c r="F49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496" s="1"/>
      <c r="H49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97" spans="1:8" x14ac:dyDescent="0.25">
      <c r="A497" s="1" t="s">
        <v>636</v>
      </c>
      <c r="B497" s="11">
        <v>36198283</v>
      </c>
      <c r="C497" s="1" t="s">
        <v>21</v>
      </c>
      <c r="D497" s="1" t="s">
        <v>637</v>
      </c>
      <c r="E497" s="12">
        <f>IF(LEN(regon9[[#This Row],[Regon]]) = 7,TEXT(regon9[[#This Row],[Regon]],"000000000"),regon9[[#This Row],[Regon]])</f>
        <v>36198283</v>
      </c>
      <c r="F49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497" s="1"/>
      <c r="H49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98" spans="1:8" x14ac:dyDescent="0.25">
      <c r="A498" s="1" t="s">
        <v>638</v>
      </c>
      <c r="B498" s="11">
        <v>36270312</v>
      </c>
      <c r="C498" s="1" t="s">
        <v>21</v>
      </c>
      <c r="D498" s="1" t="s">
        <v>639</v>
      </c>
      <c r="E498" s="12">
        <f>IF(LEN(regon9[[#This Row],[Regon]]) = 7,TEXT(regon9[[#This Row],[Regon]],"000000000"),regon9[[#This Row],[Regon]])</f>
        <v>36270312</v>
      </c>
      <c r="F49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498" s="1"/>
      <c r="H49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499" spans="1:8" x14ac:dyDescent="0.25">
      <c r="A499" s="1" t="s">
        <v>640</v>
      </c>
      <c r="B499" s="11">
        <v>36283218</v>
      </c>
      <c r="C499" s="1" t="s">
        <v>21</v>
      </c>
      <c r="D499" s="1" t="s">
        <v>641</v>
      </c>
      <c r="E499" s="12">
        <f>IF(LEN(regon9[[#This Row],[Regon]]) = 7,TEXT(regon9[[#This Row],[Regon]],"000000000"),regon9[[#This Row],[Regon]])</f>
        <v>36283218</v>
      </c>
      <c r="F49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499" s="1"/>
      <c r="H49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00" spans="1:8" x14ac:dyDescent="0.25">
      <c r="A500" s="1" t="s">
        <v>642</v>
      </c>
      <c r="B500" s="11">
        <v>36347905</v>
      </c>
      <c r="C500" s="1" t="s">
        <v>21</v>
      </c>
      <c r="D500" s="1" t="s">
        <v>22</v>
      </c>
      <c r="E500" s="12">
        <f>IF(LEN(regon9[[#This Row],[Regon]]) = 7,TEXT(regon9[[#This Row],[Regon]],"000000000"),regon9[[#This Row],[Regon]])</f>
        <v>36347905</v>
      </c>
      <c r="F50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500" s="1"/>
      <c r="H50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01" spans="1:8" x14ac:dyDescent="0.25">
      <c r="A501" s="1" t="s">
        <v>643</v>
      </c>
      <c r="B501" s="11">
        <v>36445575</v>
      </c>
      <c r="C501" s="1" t="s">
        <v>21</v>
      </c>
      <c r="D501" s="1" t="s">
        <v>22</v>
      </c>
      <c r="E501" s="12">
        <f>IF(LEN(regon9[[#This Row],[Regon]]) = 7,TEXT(regon9[[#This Row],[Regon]],"000000000"),regon9[[#This Row],[Regon]])</f>
        <v>36445575</v>
      </c>
      <c r="F50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501" s="1"/>
      <c r="H50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02" spans="1:8" x14ac:dyDescent="0.25">
      <c r="A502" s="1" t="s">
        <v>644</v>
      </c>
      <c r="B502" s="11">
        <v>63032083</v>
      </c>
      <c r="C502" s="1" t="s">
        <v>21</v>
      </c>
      <c r="D502" s="1" t="s">
        <v>22</v>
      </c>
      <c r="E502" s="12">
        <f>IF(LEN(regon9[[#This Row],[Regon]]) = 7,TEXT(regon9[[#This Row],[Regon]],"000000000"),regon9[[#This Row],[Regon]])</f>
        <v>63032083</v>
      </c>
      <c r="F50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02" s="1"/>
      <c r="H50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03" spans="1:8" x14ac:dyDescent="0.25">
      <c r="A503" s="1" t="s">
        <v>645</v>
      </c>
      <c r="B503" s="11">
        <v>63064671</v>
      </c>
      <c r="C503" s="1" t="s">
        <v>21</v>
      </c>
      <c r="D503" s="1" t="s">
        <v>646</v>
      </c>
      <c r="E503" s="12">
        <f>IF(LEN(regon9[[#This Row],[Regon]]) = 7,TEXT(regon9[[#This Row],[Regon]],"000000000"),regon9[[#This Row],[Regon]])</f>
        <v>63064671</v>
      </c>
      <c r="F50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503" s="1"/>
      <c r="H50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04" spans="1:8" x14ac:dyDescent="0.25">
      <c r="A504" s="1" t="s">
        <v>647</v>
      </c>
      <c r="B504" s="11">
        <v>63103030</v>
      </c>
      <c r="C504" s="1" t="s">
        <v>21</v>
      </c>
      <c r="D504" s="1" t="s">
        <v>648</v>
      </c>
      <c r="E504" s="12">
        <f>IF(LEN(regon9[[#This Row],[Regon]]) = 7,TEXT(regon9[[#This Row],[Regon]],"000000000"),regon9[[#This Row],[Regon]])</f>
        <v>63103030</v>
      </c>
      <c r="F50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504" s="1"/>
      <c r="H50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05" spans="1:8" x14ac:dyDescent="0.25">
      <c r="A505" s="1" t="s">
        <v>649</v>
      </c>
      <c r="B505" s="11">
        <v>63111818</v>
      </c>
      <c r="C505" s="1" t="s">
        <v>21</v>
      </c>
      <c r="D505" s="1" t="s">
        <v>650</v>
      </c>
      <c r="E505" s="12">
        <f>IF(LEN(regon9[[#This Row],[Regon]]) = 7,TEXT(regon9[[#This Row],[Regon]],"000000000"),regon9[[#This Row],[Regon]])</f>
        <v>63111818</v>
      </c>
      <c r="F50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505" s="1"/>
      <c r="H50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06" spans="1:8" x14ac:dyDescent="0.25">
      <c r="A506" s="1" t="s">
        <v>651</v>
      </c>
      <c r="B506" s="11">
        <v>63200605</v>
      </c>
      <c r="C506" s="1" t="s">
        <v>21</v>
      </c>
      <c r="D506" s="1" t="s">
        <v>65</v>
      </c>
      <c r="E506" s="12">
        <f>IF(LEN(regon9[[#This Row],[Regon]]) = 7,TEXT(regon9[[#This Row],[Regon]],"000000000"),regon9[[#This Row],[Regon]])</f>
        <v>63200605</v>
      </c>
      <c r="F50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506" s="1"/>
      <c r="H50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07" spans="1:8" x14ac:dyDescent="0.25">
      <c r="A507" s="1" t="s">
        <v>652</v>
      </c>
      <c r="B507" s="11">
        <v>63426865</v>
      </c>
      <c r="C507" s="1" t="s">
        <v>21</v>
      </c>
      <c r="D507" s="1" t="s">
        <v>616</v>
      </c>
      <c r="E507" s="12">
        <f>IF(LEN(regon9[[#This Row],[Regon]]) = 7,TEXT(regon9[[#This Row],[Regon]],"000000000"),regon9[[#This Row],[Regon]])</f>
        <v>63426865</v>
      </c>
      <c r="F50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507" s="1"/>
      <c r="H50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08" spans="1:8" x14ac:dyDescent="0.25">
      <c r="A508" s="1" t="s">
        <v>653</v>
      </c>
      <c r="B508" s="11">
        <v>63444022</v>
      </c>
      <c r="C508" s="1" t="s">
        <v>21</v>
      </c>
      <c r="D508" s="1" t="s">
        <v>654</v>
      </c>
      <c r="E508" s="12">
        <f>IF(LEN(regon9[[#This Row],[Regon]]) = 7,TEXT(regon9[[#This Row],[Regon]],"000000000"),regon9[[#This Row],[Regon]])</f>
        <v>63444022</v>
      </c>
      <c r="F50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508" s="1"/>
      <c r="H50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09" spans="1:8" x14ac:dyDescent="0.25">
      <c r="A509" s="1" t="s">
        <v>655</v>
      </c>
      <c r="B509" s="11">
        <v>63455178</v>
      </c>
      <c r="C509" s="1" t="s">
        <v>21</v>
      </c>
      <c r="D509" s="1" t="s">
        <v>481</v>
      </c>
      <c r="E509" s="12">
        <f>IF(LEN(regon9[[#This Row],[Regon]]) = 7,TEXT(regon9[[#This Row],[Regon]],"000000000"),regon9[[#This Row],[Regon]])</f>
        <v>63455178</v>
      </c>
      <c r="F50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509" s="1"/>
      <c r="H50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10" spans="1:8" x14ac:dyDescent="0.25">
      <c r="A510" s="1" t="s">
        <v>656</v>
      </c>
      <c r="B510" s="11">
        <v>63968493</v>
      </c>
      <c r="C510" s="1" t="s">
        <v>21</v>
      </c>
      <c r="D510" s="1" t="s">
        <v>657</v>
      </c>
      <c r="E510" s="12">
        <f>IF(LEN(regon9[[#This Row],[Regon]]) = 7,TEXT(regon9[[#This Row],[Regon]],"000000000"),regon9[[#This Row],[Regon]])</f>
        <v>63968493</v>
      </c>
      <c r="F51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10" s="1"/>
      <c r="H51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11" spans="1:8" x14ac:dyDescent="0.25">
      <c r="A511" s="1" t="s">
        <v>658</v>
      </c>
      <c r="B511" s="11">
        <v>2064773</v>
      </c>
      <c r="C511" s="1" t="s">
        <v>45</v>
      </c>
      <c r="D511" s="1" t="s">
        <v>22</v>
      </c>
      <c r="E511" s="12" t="str">
        <f>IF(LEN(regon9[[#This Row],[Regon]]) = 7,TEXT(regon9[[#This Row],[Regon]],"000000000"),regon9[[#This Row],[Regon]])</f>
        <v>002064773</v>
      </c>
      <c r="F51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11" s="1"/>
      <c r="H51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12" spans="1:8" x14ac:dyDescent="0.25">
      <c r="A512" s="1" t="s">
        <v>659</v>
      </c>
      <c r="B512" s="11">
        <v>2117115</v>
      </c>
      <c r="C512" s="1" t="s">
        <v>45</v>
      </c>
      <c r="D512" s="1" t="s">
        <v>22</v>
      </c>
      <c r="E512" s="12" t="str">
        <f>IF(LEN(regon9[[#This Row],[Regon]]) = 7,TEXT(regon9[[#This Row],[Regon]],"000000000"),regon9[[#This Row],[Regon]])</f>
        <v>002117115</v>
      </c>
      <c r="F51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12" s="1"/>
      <c r="H51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13" spans="1:8" x14ac:dyDescent="0.25">
      <c r="A513" s="1" t="s">
        <v>660</v>
      </c>
      <c r="B513" s="11">
        <v>2213927</v>
      </c>
      <c r="C513" s="1" t="s">
        <v>45</v>
      </c>
      <c r="D513" s="1" t="s">
        <v>22</v>
      </c>
      <c r="E513" s="12" t="str">
        <f>IF(LEN(regon9[[#This Row],[Regon]]) = 7,TEXT(regon9[[#This Row],[Regon]],"000000000"),regon9[[#This Row],[Regon]])</f>
        <v>002213927</v>
      </c>
      <c r="F51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13" s="1"/>
      <c r="H51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14" spans="1:8" x14ac:dyDescent="0.25">
      <c r="A514" s="1" t="s">
        <v>661</v>
      </c>
      <c r="B514" s="11">
        <v>2221592</v>
      </c>
      <c r="C514" s="1" t="s">
        <v>45</v>
      </c>
      <c r="D514" s="1" t="s">
        <v>22</v>
      </c>
      <c r="E514" s="12" t="str">
        <f>IF(LEN(regon9[[#This Row],[Regon]]) = 7,TEXT(regon9[[#This Row],[Regon]],"000000000"),regon9[[#This Row],[Regon]])</f>
        <v>002221592</v>
      </c>
      <c r="F51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14" s="1"/>
      <c r="H51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15" spans="1:8" x14ac:dyDescent="0.25">
      <c r="A515" s="1" t="s">
        <v>662</v>
      </c>
      <c r="B515" s="11">
        <v>8035122</v>
      </c>
      <c r="C515" s="1" t="s">
        <v>45</v>
      </c>
      <c r="D515" s="1" t="s">
        <v>22</v>
      </c>
      <c r="E515" s="12" t="str">
        <f>IF(LEN(regon9[[#This Row],[Regon]]) = 7,TEXT(regon9[[#This Row],[Regon]],"000000000"),regon9[[#This Row],[Regon]])</f>
        <v>008035122</v>
      </c>
      <c r="F51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15" s="1"/>
      <c r="H51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16" spans="1:8" x14ac:dyDescent="0.25">
      <c r="A516" s="1" t="s">
        <v>663</v>
      </c>
      <c r="B516" s="11">
        <v>8099045</v>
      </c>
      <c r="C516" s="1" t="s">
        <v>45</v>
      </c>
      <c r="D516" s="1" t="s">
        <v>22</v>
      </c>
      <c r="E516" s="12" t="str">
        <f>IF(LEN(regon9[[#This Row],[Regon]]) = 7,TEXT(regon9[[#This Row],[Regon]],"000000000"),regon9[[#This Row],[Regon]])</f>
        <v>008099045</v>
      </c>
      <c r="F51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516" s="1"/>
      <c r="H51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17" spans="1:8" x14ac:dyDescent="0.25">
      <c r="A517" s="1" t="s">
        <v>664</v>
      </c>
      <c r="B517" s="11">
        <v>10176962</v>
      </c>
      <c r="C517" s="1" t="s">
        <v>45</v>
      </c>
      <c r="D517" s="1" t="s">
        <v>22</v>
      </c>
      <c r="E517" s="12">
        <f>IF(LEN(regon9[[#This Row],[Regon]]) = 7,TEXT(regon9[[#This Row],[Regon]],"000000000"),regon9[[#This Row],[Regon]])</f>
        <v>10176962</v>
      </c>
      <c r="F51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17" s="1"/>
      <c r="H51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18" spans="1:8" x14ac:dyDescent="0.25">
      <c r="A518" s="1" t="s">
        <v>665</v>
      </c>
      <c r="B518" s="11">
        <v>12151001</v>
      </c>
      <c r="C518" s="1" t="s">
        <v>45</v>
      </c>
      <c r="D518" s="1" t="s">
        <v>22</v>
      </c>
      <c r="E518" s="12">
        <f>IF(LEN(regon9[[#This Row],[Regon]]) = 7,TEXT(regon9[[#This Row],[Regon]],"000000000"),regon9[[#This Row],[Regon]])</f>
        <v>12151001</v>
      </c>
      <c r="F51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518" s="1"/>
      <c r="H51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19" spans="1:8" x14ac:dyDescent="0.25">
      <c r="A519" s="1" t="s">
        <v>666</v>
      </c>
      <c r="B519" s="11">
        <v>12153597</v>
      </c>
      <c r="C519" s="1" t="s">
        <v>45</v>
      </c>
      <c r="D519" s="1" t="s">
        <v>22</v>
      </c>
      <c r="E519" s="12">
        <f>IF(LEN(regon9[[#This Row],[Regon]]) = 7,TEXT(regon9[[#This Row],[Regon]],"000000000"),regon9[[#This Row],[Regon]])</f>
        <v>12153597</v>
      </c>
      <c r="F51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19" s="1"/>
      <c r="H51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20" spans="1:8" x14ac:dyDescent="0.25">
      <c r="A520" s="1" t="s">
        <v>667</v>
      </c>
      <c r="B520" s="11">
        <v>12244583</v>
      </c>
      <c r="C520" s="1" t="s">
        <v>45</v>
      </c>
      <c r="D520" s="1" t="s">
        <v>22</v>
      </c>
      <c r="E520" s="12">
        <f>IF(LEN(regon9[[#This Row],[Regon]]) = 7,TEXT(regon9[[#This Row],[Regon]],"000000000"),regon9[[#This Row],[Regon]])</f>
        <v>12244583</v>
      </c>
      <c r="F52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520" s="1"/>
      <c r="H52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21" spans="1:8" x14ac:dyDescent="0.25">
      <c r="A521" s="1" t="s">
        <v>668</v>
      </c>
      <c r="B521" s="11">
        <v>12255049</v>
      </c>
      <c r="C521" s="1" t="s">
        <v>45</v>
      </c>
      <c r="D521" s="1" t="s">
        <v>22</v>
      </c>
      <c r="E521" s="12">
        <f>IF(LEN(regon9[[#This Row],[Regon]]) = 7,TEXT(regon9[[#This Row],[Regon]],"000000000"),regon9[[#This Row],[Regon]])</f>
        <v>12255049</v>
      </c>
      <c r="F52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521" s="1"/>
      <c r="H52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22" spans="1:8" x14ac:dyDescent="0.25">
      <c r="A522" s="1" t="s">
        <v>669</v>
      </c>
      <c r="B522" s="11">
        <v>12270666</v>
      </c>
      <c r="C522" s="1" t="s">
        <v>45</v>
      </c>
      <c r="D522" s="1" t="s">
        <v>22</v>
      </c>
      <c r="E522" s="12">
        <f>IF(LEN(regon9[[#This Row],[Regon]]) = 7,TEXT(regon9[[#This Row],[Regon]],"000000000"),regon9[[#This Row],[Regon]])</f>
        <v>12270666</v>
      </c>
      <c r="F52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522" s="1"/>
      <c r="H52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23" spans="1:8" x14ac:dyDescent="0.25">
      <c r="A523" s="1" t="s">
        <v>670</v>
      </c>
      <c r="B523" s="11">
        <v>14106206</v>
      </c>
      <c r="C523" s="1" t="s">
        <v>45</v>
      </c>
      <c r="D523" s="1" t="s">
        <v>22</v>
      </c>
      <c r="E523" s="12">
        <f>IF(LEN(regon9[[#This Row],[Regon]]) = 7,TEXT(regon9[[#This Row],[Regon]],"000000000"),regon9[[#This Row],[Regon]])</f>
        <v>14106206</v>
      </c>
      <c r="F52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523" s="1"/>
      <c r="H52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24" spans="1:8" x14ac:dyDescent="0.25">
      <c r="A524" s="1" t="s">
        <v>671</v>
      </c>
      <c r="B524" s="11">
        <v>14172928</v>
      </c>
      <c r="C524" s="1" t="s">
        <v>45</v>
      </c>
      <c r="D524" s="1" t="s">
        <v>22</v>
      </c>
      <c r="E524" s="12">
        <f>IF(LEN(regon9[[#This Row],[Regon]]) = 7,TEXT(regon9[[#This Row],[Regon]],"000000000"),regon9[[#This Row],[Regon]])</f>
        <v>14172928</v>
      </c>
      <c r="F52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524" s="1"/>
      <c r="H52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25" spans="1:8" x14ac:dyDescent="0.25">
      <c r="A525" s="1" t="s">
        <v>672</v>
      </c>
      <c r="B525" s="11">
        <v>14200323</v>
      </c>
      <c r="C525" s="1" t="s">
        <v>45</v>
      </c>
      <c r="D525" s="1" t="s">
        <v>22</v>
      </c>
      <c r="E525" s="12">
        <f>IF(LEN(regon9[[#This Row],[Regon]]) = 7,TEXT(regon9[[#This Row],[Regon]],"000000000"),regon9[[#This Row],[Regon]])</f>
        <v>14200323</v>
      </c>
      <c r="F52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525" s="1"/>
      <c r="H52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26" spans="1:8" x14ac:dyDescent="0.25">
      <c r="A526" s="1" t="s">
        <v>673</v>
      </c>
      <c r="B526" s="11">
        <v>14281750</v>
      </c>
      <c r="C526" s="1" t="s">
        <v>45</v>
      </c>
      <c r="D526" s="1" t="s">
        <v>22</v>
      </c>
      <c r="E526" s="12">
        <f>IF(LEN(regon9[[#This Row],[Regon]]) = 7,TEXT(regon9[[#This Row],[Regon]],"000000000"),regon9[[#This Row],[Regon]])</f>
        <v>14281750</v>
      </c>
      <c r="F52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526" s="1"/>
      <c r="H52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27" spans="1:8" x14ac:dyDescent="0.25">
      <c r="A527" s="1" t="s">
        <v>674</v>
      </c>
      <c r="B527" s="11">
        <v>14294161</v>
      </c>
      <c r="C527" s="1" t="s">
        <v>45</v>
      </c>
      <c r="D527" s="1" t="s">
        <v>22</v>
      </c>
      <c r="E527" s="12">
        <f>IF(LEN(regon9[[#This Row],[Regon]]) = 7,TEXT(regon9[[#This Row],[Regon]],"000000000"),regon9[[#This Row],[Regon]])</f>
        <v>14294161</v>
      </c>
      <c r="F52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27" s="1"/>
      <c r="H52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28" spans="1:8" x14ac:dyDescent="0.25">
      <c r="A528" s="1" t="s">
        <v>675</v>
      </c>
      <c r="B528" s="11">
        <v>14671848</v>
      </c>
      <c r="C528" s="1" t="s">
        <v>45</v>
      </c>
      <c r="D528" s="1" t="s">
        <v>22</v>
      </c>
      <c r="E528" s="12">
        <f>IF(LEN(regon9[[#This Row],[Regon]]) = 7,TEXT(regon9[[#This Row],[Regon]],"000000000"),regon9[[#This Row],[Regon]])</f>
        <v>14671848</v>
      </c>
      <c r="F52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528" s="1"/>
      <c r="H52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29" spans="1:8" x14ac:dyDescent="0.25">
      <c r="A529" s="1" t="s">
        <v>676</v>
      </c>
      <c r="B529" s="11">
        <v>14749037</v>
      </c>
      <c r="C529" s="1" t="s">
        <v>45</v>
      </c>
      <c r="D529" s="1" t="s">
        <v>22</v>
      </c>
      <c r="E529" s="12">
        <f>IF(LEN(regon9[[#This Row],[Regon]]) = 7,TEXT(regon9[[#This Row],[Regon]],"000000000"),regon9[[#This Row],[Regon]])</f>
        <v>14749037</v>
      </c>
      <c r="F52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529" s="1"/>
      <c r="H52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30" spans="1:8" x14ac:dyDescent="0.25">
      <c r="A530" s="1" t="s">
        <v>677</v>
      </c>
      <c r="B530" s="11">
        <v>19263447</v>
      </c>
      <c r="C530" s="1" t="s">
        <v>45</v>
      </c>
      <c r="D530" s="1" t="s">
        <v>22</v>
      </c>
      <c r="E530" s="12">
        <f>IF(LEN(regon9[[#This Row],[Regon]]) = 7,TEXT(regon9[[#This Row],[Regon]],"000000000"),regon9[[#This Row],[Regon]])</f>
        <v>19263447</v>
      </c>
      <c r="F53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30" s="1"/>
      <c r="H53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31" spans="1:8" x14ac:dyDescent="0.25">
      <c r="A531" s="1" t="s">
        <v>678</v>
      </c>
      <c r="B531" s="11">
        <v>22107039</v>
      </c>
      <c r="C531" s="1" t="s">
        <v>45</v>
      </c>
      <c r="D531" s="1" t="s">
        <v>22</v>
      </c>
      <c r="E531" s="12">
        <f>IF(LEN(regon9[[#This Row],[Regon]]) = 7,TEXT(regon9[[#This Row],[Regon]],"000000000"),regon9[[#This Row],[Regon]])</f>
        <v>22107039</v>
      </c>
      <c r="F53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531" s="1"/>
      <c r="H53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32" spans="1:8" x14ac:dyDescent="0.25">
      <c r="A532" s="1" t="s">
        <v>679</v>
      </c>
      <c r="B532" s="11">
        <v>24304721</v>
      </c>
      <c r="C532" s="1" t="s">
        <v>45</v>
      </c>
      <c r="D532" s="1" t="s">
        <v>22</v>
      </c>
      <c r="E532" s="12">
        <f>IF(LEN(regon9[[#This Row],[Regon]]) = 7,TEXT(regon9[[#This Row],[Regon]],"000000000"),regon9[[#This Row],[Regon]])</f>
        <v>24304721</v>
      </c>
      <c r="F53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32" s="1"/>
      <c r="H53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33" spans="1:8" x14ac:dyDescent="0.25">
      <c r="A533" s="1" t="s">
        <v>680</v>
      </c>
      <c r="B533" s="11">
        <v>30007083</v>
      </c>
      <c r="C533" s="1" t="s">
        <v>45</v>
      </c>
      <c r="D533" s="1" t="s">
        <v>22</v>
      </c>
      <c r="E533" s="12">
        <f>IF(LEN(regon9[[#This Row],[Regon]]) = 7,TEXT(regon9[[#This Row],[Regon]],"000000000"),regon9[[#This Row],[Regon]])</f>
        <v>30007083</v>
      </c>
      <c r="F53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533" s="1"/>
      <c r="H53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34" spans="1:8" x14ac:dyDescent="0.25">
      <c r="A534" s="1" t="s">
        <v>681</v>
      </c>
      <c r="B534" s="11">
        <v>30022009</v>
      </c>
      <c r="C534" s="1" t="s">
        <v>45</v>
      </c>
      <c r="D534" s="1" t="s">
        <v>22</v>
      </c>
      <c r="E534" s="12">
        <f>IF(LEN(regon9[[#This Row],[Regon]]) = 7,TEXT(regon9[[#This Row],[Regon]],"000000000"),regon9[[#This Row],[Regon]])</f>
        <v>30022009</v>
      </c>
      <c r="F53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534" s="1"/>
      <c r="H53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35" spans="1:8" x14ac:dyDescent="0.25">
      <c r="A535" s="1" t="s">
        <v>682</v>
      </c>
      <c r="B535" s="11">
        <v>16030193</v>
      </c>
      <c r="C535" s="1" t="s">
        <v>45</v>
      </c>
      <c r="D535" s="1" t="s">
        <v>22</v>
      </c>
      <c r="E535" s="12">
        <f>IF(LEN(regon9[[#This Row],[Regon]]) = 7,TEXT(regon9[[#This Row],[Regon]],"000000000"),regon9[[#This Row],[Regon]])</f>
        <v>16030193</v>
      </c>
      <c r="F53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535" s="1"/>
      <c r="H53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36" spans="1:8" x14ac:dyDescent="0.25">
      <c r="A536" s="1" t="s">
        <v>683</v>
      </c>
      <c r="B536" s="11">
        <v>16031108</v>
      </c>
      <c r="C536" s="1" t="s">
        <v>45</v>
      </c>
      <c r="D536" s="1" t="s">
        <v>22</v>
      </c>
      <c r="E536" s="12">
        <f>IF(LEN(regon9[[#This Row],[Regon]]) = 7,TEXT(regon9[[#This Row],[Regon]],"000000000"),regon9[[#This Row],[Regon]])</f>
        <v>16031108</v>
      </c>
      <c r="F53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536" s="1"/>
      <c r="H53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37" spans="1:8" x14ac:dyDescent="0.25">
      <c r="A537" s="1" t="s">
        <v>684</v>
      </c>
      <c r="B537" s="11">
        <v>16032334</v>
      </c>
      <c r="C537" s="1" t="s">
        <v>45</v>
      </c>
      <c r="D537" s="1" t="s">
        <v>22</v>
      </c>
      <c r="E537" s="12">
        <f>IF(LEN(regon9[[#This Row],[Regon]]) = 7,TEXT(regon9[[#This Row],[Regon]],"000000000"),regon9[[#This Row],[Regon]])</f>
        <v>16032334</v>
      </c>
      <c r="F53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537" s="1"/>
      <c r="H53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38" spans="1:8" x14ac:dyDescent="0.25">
      <c r="A538" s="1" t="s">
        <v>685</v>
      </c>
      <c r="B538" s="11">
        <v>16034270</v>
      </c>
      <c r="C538" s="1" t="s">
        <v>45</v>
      </c>
      <c r="D538" s="1" t="s">
        <v>22</v>
      </c>
      <c r="E538" s="12">
        <f>IF(LEN(regon9[[#This Row],[Regon]]) = 7,TEXT(regon9[[#This Row],[Regon]],"000000000"),regon9[[#This Row],[Regon]])</f>
        <v>16034270</v>
      </c>
      <c r="F53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38" s="1"/>
      <c r="H53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39" spans="1:8" x14ac:dyDescent="0.25">
      <c r="A539" s="1" t="s">
        <v>686</v>
      </c>
      <c r="B539" s="11">
        <v>16041555</v>
      </c>
      <c r="C539" s="1" t="s">
        <v>45</v>
      </c>
      <c r="D539" s="1" t="s">
        <v>22</v>
      </c>
      <c r="E539" s="12">
        <f>IF(LEN(regon9[[#This Row],[Regon]]) = 7,TEXT(regon9[[#This Row],[Regon]],"000000000"),regon9[[#This Row],[Regon]])</f>
        <v>16041555</v>
      </c>
      <c r="F53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539" s="1"/>
      <c r="H53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40" spans="1:8" x14ac:dyDescent="0.25">
      <c r="A540" s="1" t="s">
        <v>687</v>
      </c>
      <c r="B540" s="11">
        <v>16043795</v>
      </c>
      <c r="C540" s="1" t="s">
        <v>45</v>
      </c>
      <c r="D540" s="1" t="s">
        <v>22</v>
      </c>
      <c r="E540" s="12">
        <f>IF(LEN(regon9[[#This Row],[Regon]]) = 7,TEXT(regon9[[#This Row],[Regon]],"000000000"),regon9[[#This Row],[Regon]])</f>
        <v>16043795</v>
      </c>
      <c r="F54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540" s="1"/>
      <c r="H54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41" spans="1:8" x14ac:dyDescent="0.25">
      <c r="A541" s="1" t="s">
        <v>688</v>
      </c>
      <c r="B541" s="11">
        <v>16050144</v>
      </c>
      <c r="C541" s="1" t="s">
        <v>45</v>
      </c>
      <c r="D541" s="1" t="s">
        <v>22</v>
      </c>
      <c r="E541" s="12">
        <f>IF(LEN(regon9[[#This Row],[Regon]]) = 7,TEXT(regon9[[#This Row],[Regon]],"000000000"),regon9[[#This Row],[Regon]])</f>
        <v>16050144</v>
      </c>
      <c r="F54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541" s="1"/>
      <c r="H54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42" spans="1:8" x14ac:dyDescent="0.25">
      <c r="A542" s="1" t="s">
        <v>689</v>
      </c>
      <c r="B542" s="11">
        <v>16050871</v>
      </c>
      <c r="C542" s="1" t="s">
        <v>45</v>
      </c>
      <c r="D542" s="1" t="s">
        <v>22</v>
      </c>
      <c r="E542" s="12">
        <f>IF(LEN(regon9[[#This Row],[Regon]]) = 7,TEXT(regon9[[#This Row],[Regon]],"000000000"),regon9[[#This Row],[Regon]])</f>
        <v>16050871</v>
      </c>
      <c r="F54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542" s="1"/>
      <c r="H54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43" spans="1:8" x14ac:dyDescent="0.25">
      <c r="A543" s="1" t="s">
        <v>690</v>
      </c>
      <c r="B543" s="11">
        <v>16051668</v>
      </c>
      <c r="C543" s="1" t="s">
        <v>45</v>
      </c>
      <c r="D543" s="1" t="s">
        <v>22</v>
      </c>
      <c r="E543" s="12">
        <f>IF(LEN(regon9[[#This Row],[Regon]]) = 7,TEXT(regon9[[#This Row],[Regon]],"000000000"),regon9[[#This Row],[Regon]])</f>
        <v>16051668</v>
      </c>
      <c r="F54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543" s="1"/>
      <c r="H54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44" spans="1:8" x14ac:dyDescent="0.25">
      <c r="A544" s="1" t="s">
        <v>691</v>
      </c>
      <c r="B544" s="11">
        <v>16058855</v>
      </c>
      <c r="C544" s="1" t="s">
        <v>45</v>
      </c>
      <c r="D544" s="1" t="s">
        <v>22</v>
      </c>
      <c r="E544" s="12">
        <f>IF(LEN(regon9[[#This Row],[Regon]]) = 7,TEXT(regon9[[#This Row],[Regon]],"000000000"),regon9[[#This Row],[Regon]])</f>
        <v>16058855</v>
      </c>
      <c r="F54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544" s="1"/>
      <c r="H54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45" spans="1:8" x14ac:dyDescent="0.25">
      <c r="A545" s="1" t="s">
        <v>692</v>
      </c>
      <c r="B545" s="11">
        <v>16059621</v>
      </c>
      <c r="C545" s="1" t="s">
        <v>45</v>
      </c>
      <c r="D545" s="1" t="s">
        <v>22</v>
      </c>
      <c r="E545" s="12">
        <f>IF(LEN(regon9[[#This Row],[Regon]]) = 7,TEXT(regon9[[#This Row],[Regon]],"000000000"),regon9[[#This Row],[Regon]])</f>
        <v>16059621</v>
      </c>
      <c r="F54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545" s="1"/>
      <c r="H54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46" spans="1:8" x14ac:dyDescent="0.25">
      <c r="A546" s="1" t="s">
        <v>693</v>
      </c>
      <c r="B546" s="11">
        <v>16061214</v>
      </c>
      <c r="C546" s="1" t="s">
        <v>45</v>
      </c>
      <c r="D546" s="1" t="s">
        <v>22</v>
      </c>
      <c r="E546" s="12">
        <f>IF(LEN(regon9[[#This Row],[Regon]]) = 7,TEXT(regon9[[#This Row],[Regon]],"000000000"),regon9[[#This Row],[Regon]])</f>
        <v>16061214</v>
      </c>
      <c r="F54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46" s="1"/>
      <c r="H54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47" spans="1:8" x14ac:dyDescent="0.25">
      <c r="A547" s="1" t="s">
        <v>694</v>
      </c>
      <c r="B547" s="11">
        <v>16065298</v>
      </c>
      <c r="C547" s="1" t="s">
        <v>45</v>
      </c>
      <c r="D547" s="1" t="s">
        <v>22</v>
      </c>
      <c r="E547" s="12">
        <f>IF(LEN(regon9[[#This Row],[Regon]]) = 7,TEXT(regon9[[#This Row],[Regon]],"000000000"),regon9[[#This Row],[Regon]])</f>
        <v>16065298</v>
      </c>
      <c r="F54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547" s="1"/>
      <c r="H54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48" spans="1:8" x14ac:dyDescent="0.25">
      <c r="A548" s="1" t="s">
        <v>695</v>
      </c>
      <c r="B548" s="11">
        <v>16071107</v>
      </c>
      <c r="C548" s="1" t="s">
        <v>45</v>
      </c>
      <c r="D548" s="1" t="s">
        <v>22</v>
      </c>
      <c r="E548" s="12">
        <f>IF(LEN(regon9[[#This Row],[Regon]]) = 7,TEXT(regon9[[#This Row],[Regon]],"000000000"),regon9[[#This Row],[Regon]])</f>
        <v>16071107</v>
      </c>
      <c r="F54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548" s="1"/>
      <c r="H54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49" spans="1:8" x14ac:dyDescent="0.25">
      <c r="A549" s="1" t="s">
        <v>696</v>
      </c>
      <c r="B549" s="11">
        <v>16091815</v>
      </c>
      <c r="C549" s="1" t="s">
        <v>45</v>
      </c>
      <c r="D549" s="1" t="s">
        <v>22</v>
      </c>
      <c r="E549" s="12">
        <f>IF(LEN(regon9[[#This Row],[Regon]]) = 7,TEXT(regon9[[#This Row],[Regon]],"000000000"),regon9[[#This Row],[Regon]])</f>
        <v>16091815</v>
      </c>
      <c r="F54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549" s="1"/>
      <c r="H54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50" spans="1:8" x14ac:dyDescent="0.25">
      <c r="A550" s="1" t="s">
        <v>697</v>
      </c>
      <c r="B550" s="11">
        <v>16100726</v>
      </c>
      <c r="C550" s="1" t="s">
        <v>45</v>
      </c>
      <c r="D550" s="1" t="s">
        <v>22</v>
      </c>
      <c r="E550" s="12">
        <f>IF(LEN(regon9[[#This Row],[Regon]]) = 7,TEXT(regon9[[#This Row],[Regon]],"000000000"),regon9[[#This Row],[Regon]])</f>
        <v>16100726</v>
      </c>
      <c r="F55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550" s="1"/>
      <c r="H55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51" spans="1:8" x14ac:dyDescent="0.25">
      <c r="A551" s="1" t="s">
        <v>698</v>
      </c>
      <c r="B551" s="11">
        <v>16106226</v>
      </c>
      <c r="C551" s="1" t="s">
        <v>45</v>
      </c>
      <c r="D551" s="1" t="s">
        <v>22</v>
      </c>
      <c r="E551" s="12">
        <f>IF(LEN(regon9[[#This Row],[Regon]]) = 7,TEXT(regon9[[#This Row],[Regon]],"000000000"),regon9[[#This Row],[Regon]])</f>
        <v>16106226</v>
      </c>
      <c r="F55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551" s="1"/>
      <c r="H55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52" spans="1:8" x14ac:dyDescent="0.25">
      <c r="A552" s="1" t="s">
        <v>699</v>
      </c>
      <c r="B552" s="11">
        <v>16106707</v>
      </c>
      <c r="C552" s="1" t="s">
        <v>45</v>
      </c>
      <c r="D552" s="1" t="s">
        <v>22</v>
      </c>
      <c r="E552" s="12">
        <f>IF(LEN(regon9[[#This Row],[Regon]]) = 7,TEXT(regon9[[#This Row],[Regon]],"000000000"),regon9[[#This Row],[Regon]])</f>
        <v>16106707</v>
      </c>
      <c r="F55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52" s="1"/>
      <c r="H55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53" spans="1:8" x14ac:dyDescent="0.25">
      <c r="A553" s="1" t="s">
        <v>700</v>
      </c>
      <c r="B553" s="11">
        <v>16119035</v>
      </c>
      <c r="C553" s="1" t="s">
        <v>45</v>
      </c>
      <c r="D553" s="1" t="s">
        <v>22</v>
      </c>
      <c r="E553" s="12">
        <f>IF(LEN(regon9[[#This Row],[Regon]]) = 7,TEXT(regon9[[#This Row],[Regon]],"000000000"),regon9[[#This Row],[Regon]])</f>
        <v>16119035</v>
      </c>
      <c r="F55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553" s="1"/>
      <c r="H55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54" spans="1:8" x14ac:dyDescent="0.25">
      <c r="A554" s="1" t="s">
        <v>701</v>
      </c>
      <c r="B554" s="11">
        <v>16121695</v>
      </c>
      <c r="C554" s="1" t="s">
        <v>45</v>
      </c>
      <c r="D554" s="1" t="s">
        <v>22</v>
      </c>
      <c r="E554" s="12">
        <f>IF(LEN(regon9[[#This Row],[Regon]]) = 7,TEXT(regon9[[#This Row],[Regon]],"000000000"),regon9[[#This Row],[Regon]])</f>
        <v>16121695</v>
      </c>
      <c r="F55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554" s="1"/>
      <c r="H55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55" spans="1:8" x14ac:dyDescent="0.25">
      <c r="A555" s="1" t="s">
        <v>702</v>
      </c>
      <c r="B555" s="11">
        <v>16122605</v>
      </c>
      <c r="C555" s="1" t="s">
        <v>45</v>
      </c>
      <c r="D555" s="1" t="s">
        <v>22</v>
      </c>
      <c r="E555" s="12">
        <f>IF(LEN(regon9[[#This Row],[Regon]]) = 7,TEXT(regon9[[#This Row],[Regon]],"000000000"),regon9[[#This Row],[Regon]])</f>
        <v>16122605</v>
      </c>
      <c r="F55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555" s="1"/>
      <c r="H55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56" spans="1:8" x14ac:dyDescent="0.25">
      <c r="A556" s="1" t="s">
        <v>703</v>
      </c>
      <c r="B556" s="11">
        <v>16124842</v>
      </c>
      <c r="C556" s="1" t="s">
        <v>45</v>
      </c>
      <c r="D556" s="1" t="s">
        <v>22</v>
      </c>
      <c r="E556" s="12">
        <f>IF(LEN(regon9[[#This Row],[Regon]]) = 7,TEXT(regon9[[#This Row],[Regon]],"000000000"),regon9[[#This Row],[Regon]])</f>
        <v>16124842</v>
      </c>
      <c r="F55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556" s="1"/>
      <c r="H55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57" spans="1:8" x14ac:dyDescent="0.25">
      <c r="A557" s="1" t="s">
        <v>704</v>
      </c>
      <c r="B557" s="11">
        <v>16141199</v>
      </c>
      <c r="C557" s="1" t="s">
        <v>45</v>
      </c>
      <c r="D557" s="1" t="s">
        <v>22</v>
      </c>
      <c r="E557" s="12">
        <f>IF(LEN(regon9[[#This Row],[Regon]]) = 7,TEXT(regon9[[#This Row],[Regon]],"000000000"),regon9[[#This Row],[Regon]])</f>
        <v>16141199</v>
      </c>
      <c r="F55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557" s="1"/>
      <c r="H55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58" spans="1:8" x14ac:dyDescent="0.25">
      <c r="A558" s="1" t="s">
        <v>282</v>
      </c>
      <c r="B558" s="11">
        <v>16141578</v>
      </c>
      <c r="C558" s="1" t="s">
        <v>45</v>
      </c>
      <c r="D558" s="1" t="s">
        <v>22</v>
      </c>
      <c r="E558" s="12">
        <f>IF(LEN(regon9[[#This Row],[Regon]]) = 7,TEXT(regon9[[#This Row],[Regon]],"000000000"),regon9[[#This Row],[Regon]])</f>
        <v>16141578</v>
      </c>
      <c r="F55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558" s="1"/>
      <c r="H55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59" spans="1:8" x14ac:dyDescent="0.25">
      <c r="A559" s="1" t="s">
        <v>705</v>
      </c>
      <c r="B559" s="11">
        <v>16148189</v>
      </c>
      <c r="C559" s="1" t="s">
        <v>45</v>
      </c>
      <c r="D559" s="1" t="s">
        <v>22</v>
      </c>
      <c r="E559" s="12">
        <f>IF(LEN(regon9[[#This Row],[Regon]]) = 7,TEXT(regon9[[#This Row],[Regon]],"000000000"),regon9[[#This Row],[Regon]])</f>
        <v>16148189</v>
      </c>
      <c r="F55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559" s="1"/>
      <c r="H55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60" spans="1:8" x14ac:dyDescent="0.25">
      <c r="A560" s="1" t="s">
        <v>706</v>
      </c>
      <c r="B560" s="11">
        <v>16150042</v>
      </c>
      <c r="C560" s="1" t="s">
        <v>45</v>
      </c>
      <c r="D560" s="1" t="s">
        <v>22</v>
      </c>
      <c r="E560" s="12">
        <f>IF(LEN(regon9[[#This Row],[Regon]]) = 7,TEXT(regon9[[#This Row],[Regon]],"000000000"),regon9[[#This Row],[Regon]])</f>
        <v>16150042</v>
      </c>
      <c r="F56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60" s="1"/>
      <c r="H56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61" spans="1:8" x14ac:dyDescent="0.25">
      <c r="A561" s="1" t="s">
        <v>707</v>
      </c>
      <c r="B561" s="11">
        <v>16150499</v>
      </c>
      <c r="C561" s="1" t="s">
        <v>45</v>
      </c>
      <c r="D561" s="1" t="s">
        <v>22</v>
      </c>
      <c r="E561" s="12">
        <f>IF(LEN(regon9[[#This Row],[Regon]]) = 7,TEXT(regon9[[#This Row],[Regon]],"000000000"),regon9[[#This Row],[Regon]])</f>
        <v>16150499</v>
      </c>
      <c r="F56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61" s="1"/>
      <c r="H56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62" spans="1:8" x14ac:dyDescent="0.25">
      <c r="A562" s="1" t="s">
        <v>708</v>
      </c>
      <c r="B562" s="11">
        <v>16152717</v>
      </c>
      <c r="C562" s="1" t="s">
        <v>45</v>
      </c>
      <c r="D562" s="1" t="s">
        <v>22</v>
      </c>
      <c r="E562" s="12">
        <f>IF(LEN(regon9[[#This Row],[Regon]]) = 7,TEXT(regon9[[#This Row],[Regon]],"000000000"),regon9[[#This Row],[Regon]])</f>
        <v>16152717</v>
      </c>
      <c r="F56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562" s="1"/>
      <c r="H56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63" spans="1:8" x14ac:dyDescent="0.25">
      <c r="A563" s="1" t="s">
        <v>709</v>
      </c>
      <c r="B563" s="11">
        <v>16157433</v>
      </c>
      <c r="C563" s="1" t="s">
        <v>45</v>
      </c>
      <c r="D563" s="1" t="s">
        <v>22</v>
      </c>
      <c r="E563" s="12">
        <f>IF(LEN(regon9[[#This Row],[Regon]]) = 7,TEXT(regon9[[#This Row],[Regon]],"000000000"),regon9[[#This Row],[Regon]])</f>
        <v>16157433</v>
      </c>
      <c r="F56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563" s="1"/>
      <c r="H56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64" spans="1:8" x14ac:dyDescent="0.25">
      <c r="A564" s="1" t="s">
        <v>710</v>
      </c>
      <c r="B564" s="11">
        <v>16158691</v>
      </c>
      <c r="C564" s="1" t="s">
        <v>45</v>
      </c>
      <c r="D564" s="1" t="s">
        <v>22</v>
      </c>
      <c r="E564" s="12">
        <f>IF(LEN(regon9[[#This Row],[Regon]]) = 7,TEXT(regon9[[#This Row],[Regon]],"000000000"),regon9[[#This Row],[Regon]])</f>
        <v>16158691</v>
      </c>
      <c r="F56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564" s="1"/>
      <c r="H56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65" spans="1:8" x14ac:dyDescent="0.25">
      <c r="A565" s="1" t="s">
        <v>711</v>
      </c>
      <c r="B565" s="11">
        <v>16158692</v>
      </c>
      <c r="C565" s="1" t="s">
        <v>45</v>
      </c>
      <c r="D565" s="1" t="s">
        <v>22</v>
      </c>
      <c r="E565" s="12">
        <f>IF(LEN(regon9[[#This Row],[Regon]]) = 7,TEXT(regon9[[#This Row],[Regon]],"000000000"),regon9[[#This Row],[Regon]])</f>
        <v>16158692</v>
      </c>
      <c r="F56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565" s="1"/>
      <c r="H56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66" spans="1:8" x14ac:dyDescent="0.25">
      <c r="A566" s="1" t="s">
        <v>712</v>
      </c>
      <c r="B566" s="11">
        <v>30160236</v>
      </c>
      <c r="C566" s="1" t="s">
        <v>45</v>
      </c>
      <c r="D566" s="1" t="s">
        <v>22</v>
      </c>
      <c r="E566" s="12">
        <f>IF(LEN(regon9[[#This Row],[Regon]]) = 7,TEXT(regon9[[#This Row],[Regon]],"000000000"),regon9[[#This Row],[Regon]])</f>
        <v>30160236</v>
      </c>
      <c r="F56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566" s="1"/>
      <c r="H56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67" spans="1:8" x14ac:dyDescent="0.25">
      <c r="A567" s="1" t="s">
        <v>713</v>
      </c>
      <c r="B567" s="11">
        <v>30163814</v>
      </c>
      <c r="C567" s="1" t="s">
        <v>45</v>
      </c>
      <c r="D567" s="1" t="s">
        <v>22</v>
      </c>
      <c r="E567" s="12">
        <f>IF(LEN(regon9[[#This Row],[Regon]]) = 7,TEXT(regon9[[#This Row],[Regon]],"000000000"),regon9[[#This Row],[Regon]])</f>
        <v>30163814</v>
      </c>
      <c r="F56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567" s="1"/>
      <c r="H56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68" spans="1:8" x14ac:dyDescent="0.25">
      <c r="A568" s="1" t="s">
        <v>714</v>
      </c>
      <c r="B568" s="11">
        <v>30165042</v>
      </c>
      <c r="C568" s="1" t="s">
        <v>45</v>
      </c>
      <c r="D568" s="1" t="s">
        <v>22</v>
      </c>
      <c r="E568" s="12">
        <f>IF(LEN(regon9[[#This Row],[Regon]]) = 7,TEXT(regon9[[#This Row],[Regon]],"000000000"),regon9[[#This Row],[Regon]])</f>
        <v>30165042</v>
      </c>
      <c r="F56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568" s="1"/>
      <c r="H56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69" spans="1:8" x14ac:dyDescent="0.25">
      <c r="A569" s="1" t="s">
        <v>715</v>
      </c>
      <c r="B569" s="11">
        <v>30165825</v>
      </c>
      <c r="C569" s="1" t="s">
        <v>45</v>
      </c>
      <c r="D569" s="1" t="s">
        <v>22</v>
      </c>
      <c r="E569" s="12">
        <f>IF(LEN(regon9[[#This Row],[Regon]]) = 7,TEXT(regon9[[#This Row],[Regon]],"000000000"),regon9[[#This Row],[Regon]])</f>
        <v>30165825</v>
      </c>
      <c r="F56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569" s="1"/>
      <c r="H56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70" spans="1:8" x14ac:dyDescent="0.25">
      <c r="A570" s="1" t="s">
        <v>716</v>
      </c>
      <c r="B570" s="11">
        <v>30166105</v>
      </c>
      <c r="C570" s="1" t="s">
        <v>45</v>
      </c>
      <c r="D570" s="1" t="s">
        <v>22</v>
      </c>
      <c r="E570" s="12">
        <f>IF(LEN(regon9[[#This Row],[Regon]]) = 7,TEXT(regon9[[#This Row],[Regon]],"000000000"),regon9[[#This Row],[Regon]])</f>
        <v>30166105</v>
      </c>
      <c r="F57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570" s="1"/>
      <c r="H57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71" spans="1:8" x14ac:dyDescent="0.25">
      <c r="A571" s="1" t="s">
        <v>717</v>
      </c>
      <c r="B571" s="11">
        <v>30171157</v>
      </c>
      <c r="C571" s="1" t="s">
        <v>45</v>
      </c>
      <c r="D571" s="1" t="s">
        <v>22</v>
      </c>
      <c r="E571" s="12">
        <f>IF(LEN(regon9[[#This Row],[Regon]]) = 7,TEXT(regon9[[#This Row],[Regon]],"000000000"),regon9[[#This Row],[Regon]])</f>
        <v>30171157</v>
      </c>
      <c r="F57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571" s="1"/>
      <c r="H57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72" spans="1:8" x14ac:dyDescent="0.25">
      <c r="A572" s="1" t="s">
        <v>718</v>
      </c>
      <c r="B572" s="11">
        <v>30171790</v>
      </c>
      <c r="C572" s="1" t="s">
        <v>45</v>
      </c>
      <c r="D572" s="1" t="s">
        <v>22</v>
      </c>
      <c r="E572" s="12">
        <f>IF(LEN(regon9[[#This Row],[Regon]]) = 7,TEXT(regon9[[#This Row],[Regon]],"000000000"),regon9[[#This Row],[Regon]])</f>
        <v>30171790</v>
      </c>
      <c r="F57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572" s="1"/>
      <c r="H57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73" spans="1:8" x14ac:dyDescent="0.25">
      <c r="A573" s="1" t="s">
        <v>719</v>
      </c>
      <c r="B573" s="11">
        <v>30171944</v>
      </c>
      <c r="C573" s="1" t="s">
        <v>45</v>
      </c>
      <c r="D573" s="1" t="s">
        <v>22</v>
      </c>
      <c r="E573" s="12">
        <f>IF(LEN(regon9[[#This Row],[Regon]]) = 7,TEXT(regon9[[#This Row],[Regon]],"000000000"),regon9[[#This Row],[Regon]])</f>
        <v>30171944</v>
      </c>
      <c r="F57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573" s="1"/>
      <c r="H57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74" spans="1:8" x14ac:dyDescent="0.25">
      <c r="A574" s="1" t="s">
        <v>720</v>
      </c>
      <c r="B574" s="11">
        <v>30171968</v>
      </c>
      <c r="C574" s="1" t="s">
        <v>45</v>
      </c>
      <c r="D574" s="1" t="s">
        <v>22</v>
      </c>
      <c r="E574" s="12">
        <f>IF(LEN(regon9[[#This Row],[Regon]]) = 7,TEXT(regon9[[#This Row],[Regon]],"000000000"),regon9[[#This Row],[Regon]])</f>
        <v>30171968</v>
      </c>
      <c r="F57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574" s="1"/>
      <c r="H57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75" spans="1:8" x14ac:dyDescent="0.25">
      <c r="A575" s="1" t="s">
        <v>721</v>
      </c>
      <c r="B575" s="11">
        <v>30172849</v>
      </c>
      <c r="C575" s="1" t="s">
        <v>45</v>
      </c>
      <c r="D575" s="1" t="s">
        <v>22</v>
      </c>
      <c r="E575" s="12">
        <f>IF(LEN(regon9[[#This Row],[Regon]]) = 7,TEXT(regon9[[#This Row],[Regon]],"000000000"),regon9[[#This Row],[Regon]])</f>
        <v>30172849</v>
      </c>
      <c r="F57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575" s="1"/>
      <c r="H57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76" spans="1:8" x14ac:dyDescent="0.25">
      <c r="A576" s="1" t="s">
        <v>722</v>
      </c>
      <c r="B576" s="11">
        <v>30172855</v>
      </c>
      <c r="C576" s="1" t="s">
        <v>45</v>
      </c>
      <c r="D576" s="1" t="s">
        <v>22</v>
      </c>
      <c r="E576" s="12">
        <f>IF(LEN(regon9[[#This Row],[Regon]]) = 7,TEXT(regon9[[#This Row],[Regon]],"000000000"),regon9[[#This Row],[Regon]])</f>
        <v>30172855</v>
      </c>
      <c r="F57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576" s="1"/>
      <c r="H57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77" spans="1:8" x14ac:dyDescent="0.25">
      <c r="A577" s="1" t="s">
        <v>723</v>
      </c>
      <c r="B577" s="11">
        <v>30173274</v>
      </c>
      <c r="C577" s="1" t="s">
        <v>45</v>
      </c>
      <c r="D577" s="1" t="s">
        <v>22</v>
      </c>
      <c r="E577" s="12">
        <f>IF(LEN(regon9[[#This Row],[Regon]]) = 7,TEXT(regon9[[#This Row],[Regon]],"000000000"),regon9[[#This Row],[Regon]])</f>
        <v>30173274</v>
      </c>
      <c r="F57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77" s="1"/>
      <c r="H57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78" spans="1:8" x14ac:dyDescent="0.25">
      <c r="A578" s="1" t="s">
        <v>724</v>
      </c>
      <c r="B578" s="11">
        <v>30174360</v>
      </c>
      <c r="C578" s="1" t="s">
        <v>45</v>
      </c>
      <c r="D578" s="1" t="s">
        <v>22</v>
      </c>
      <c r="E578" s="12">
        <f>IF(LEN(regon9[[#This Row],[Regon]]) = 7,TEXT(regon9[[#This Row],[Regon]],"000000000"),regon9[[#This Row],[Regon]])</f>
        <v>30174360</v>
      </c>
      <c r="F57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578" s="1"/>
      <c r="H57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79" spans="1:8" x14ac:dyDescent="0.25">
      <c r="A579" s="1" t="s">
        <v>725</v>
      </c>
      <c r="B579" s="11">
        <v>30174588</v>
      </c>
      <c r="C579" s="1" t="s">
        <v>45</v>
      </c>
      <c r="D579" s="1" t="s">
        <v>726</v>
      </c>
      <c r="E579" s="12">
        <f>IF(LEN(regon9[[#This Row],[Regon]]) = 7,TEXT(regon9[[#This Row],[Regon]],"000000000"),regon9[[#This Row],[Regon]])</f>
        <v>30174588</v>
      </c>
      <c r="F57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579" s="1"/>
      <c r="H57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80" spans="1:8" x14ac:dyDescent="0.25">
      <c r="A580" s="1" t="s">
        <v>727</v>
      </c>
      <c r="B580" s="11">
        <v>30175858</v>
      </c>
      <c r="C580" s="1" t="s">
        <v>45</v>
      </c>
      <c r="D580" s="1" t="s">
        <v>22</v>
      </c>
      <c r="E580" s="12">
        <f>IF(LEN(regon9[[#This Row],[Regon]]) = 7,TEXT(regon9[[#This Row],[Regon]],"000000000"),regon9[[#This Row],[Regon]])</f>
        <v>30175858</v>
      </c>
      <c r="F58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580" s="1"/>
      <c r="H58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81" spans="1:8" x14ac:dyDescent="0.25">
      <c r="A581" s="1" t="s">
        <v>728</v>
      </c>
      <c r="B581" s="11">
        <v>30175896</v>
      </c>
      <c r="C581" s="1" t="s">
        <v>45</v>
      </c>
      <c r="D581" s="1" t="s">
        <v>22</v>
      </c>
      <c r="E581" s="12">
        <f>IF(LEN(regon9[[#This Row],[Regon]]) = 7,TEXT(regon9[[#This Row],[Regon]],"000000000"),regon9[[#This Row],[Regon]])</f>
        <v>30175896</v>
      </c>
      <c r="F58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581" s="1"/>
      <c r="H58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82" spans="1:8" x14ac:dyDescent="0.25">
      <c r="A582" s="1" t="s">
        <v>729</v>
      </c>
      <c r="B582" s="11">
        <v>30175989</v>
      </c>
      <c r="C582" s="1" t="s">
        <v>45</v>
      </c>
      <c r="D582" s="1" t="s">
        <v>22</v>
      </c>
      <c r="E582" s="12">
        <f>IF(LEN(regon9[[#This Row],[Regon]]) = 7,TEXT(regon9[[#This Row],[Regon]],"000000000"),regon9[[#This Row],[Regon]])</f>
        <v>30175989</v>
      </c>
      <c r="F58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582" s="1"/>
      <c r="H58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83" spans="1:8" x14ac:dyDescent="0.25">
      <c r="A583" s="1" t="s">
        <v>730</v>
      </c>
      <c r="B583" s="11">
        <v>30176729</v>
      </c>
      <c r="C583" s="1" t="s">
        <v>45</v>
      </c>
      <c r="D583" s="1" t="s">
        <v>22</v>
      </c>
      <c r="E583" s="12">
        <f>IF(LEN(regon9[[#This Row],[Regon]]) = 7,TEXT(regon9[[#This Row],[Regon]],"000000000"),regon9[[#This Row],[Regon]])</f>
        <v>30176729</v>
      </c>
      <c r="F58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583" s="1"/>
      <c r="H58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84" spans="1:8" x14ac:dyDescent="0.25">
      <c r="A584" s="1" t="s">
        <v>731</v>
      </c>
      <c r="B584" s="11">
        <v>30176750</v>
      </c>
      <c r="C584" s="1" t="s">
        <v>45</v>
      </c>
      <c r="D584" s="1" t="s">
        <v>22</v>
      </c>
      <c r="E584" s="12">
        <f>IF(LEN(regon9[[#This Row],[Regon]]) = 7,TEXT(regon9[[#This Row],[Regon]],"000000000"),regon9[[#This Row],[Regon]])</f>
        <v>30176750</v>
      </c>
      <c r="F58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584" s="1"/>
      <c r="H58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85" spans="1:8" x14ac:dyDescent="0.25">
      <c r="A585" s="1" t="s">
        <v>732</v>
      </c>
      <c r="B585" s="11">
        <v>30176827</v>
      </c>
      <c r="C585" s="1" t="s">
        <v>45</v>
      </c>
      <c r="D585" s="1" t="s">
        <v>22</v>
      </c>
      <c r="E585" s="12">
        <f>IF(LEN(regon9[[#This Row],[Regon]]) = 7,TEXT(regon9[[#This Row],[Regon]],"000000000"),regon9[[#This Row],[Regon]])</f>
        <v>30176827</v>
      </c>
      <c r="F58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85" s="1"/>
      <c r="H58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86" spans="1:8" x14ac:dyDescent="0.25">
      <c r="A586" s="1" t="s">
        <v>733</v>
      </c>
      <c r="B586" s="11">
        <v>30177710</v>
      </c>
      <c r="C586" s="1" t="s">
        <v>45</v>
      </c>
      <c r="D586" s="1" t="s">
        <v>22</v>
      </c>
      <c r="E586" s="12">
        <f>IF(LEN(regon9[[#This Row],[Regon]]) = 7,TEXT(regon9[[#This Row],[Regon]],"000000000"),regon9[[#This Row],[Regon]])</f>
        <v>30177710</v>
      </c>
      <c r="F58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586" s="1"/>
      <c r="H58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87" spans="1:8" x14ac:dyDescent="0.25">
      <c r="A587" s="1" t="s">
        <v>734</v>
      </c>
      <c r="B587" s="11">
        <v>30178486</v>
      </c>
      <c r="C587" s="1" t="s">
        <v>45</v>
      </c>
      <c r="D587" s="1" t="s">
        <v>22</v>
      </c>
      <c r="E587" s="12">
        <f>IF(LEN(regon9[[#This Row],[Regon]]) = 7,TEXT(regon9[[#This Row],[Regon]],"000000000"),regon9[[#This Row],[Regon]])</f>
        <v>30178486</v>
      </c>
      <c r="F58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587" s="1"/>
      <c r="H58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88" spans="1:8" x14ac:dyDescent="0.25">
      <c r="A588" s="1" t="s">
        <v>735</v>
      </c>
      <c r="B588" s="11">
        <v>30192385</v>
      </c>
      <c r="C588" s="1" t="s">
        <v>45</v>
      </c>
      <c r="D588" s="1" t="s">
        <v>22</v>
      </c>
      <c r="E588" s="12">
        <f>IF(LEN(regon9[[#This Row],[Regon]]) = 7,TEXT(regon9[[#This Row],[Regon]],"000000000"),regon9[[#This Row],[Regon]])</f>
        <v>30192385</v>
      </c>
      <c r="F58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588" s="1"/>
      <c r="H58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89" spans="1:8" x14ac:dyDescent="0.25">
      <c r="A589" s="1" t="s">
        <v>736</v>
      </c>
      <c r="B589" s="11">
        <v>30193214</v>
      </c>
      <c r="C589" s="1" t="s">
        <v>45</v>
      </c>
      <c r="D589" s="1" t="s">
        <v>22</v>
      </c>
      <c r="E589" s="12">
        <f>IF(LEN(regon9[[#This Row],[Regon]]) = 7,TEXT(regon9[[#This Row],[Regon]],"000000000"),regon9[[#This Row],[Regon]])</f>
        <v>30193214</v>
      </c>
      <c r="F58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589" s="1"/>
      <c r="H58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90" spans="1:8" x14ac:dyDescent="0.25">
      <c r="A590" s="1" t="s">
        <v>737</v>
      </c>
      <c r="B590" s="11">
        <v>30193316</v>
      </c>
      <c r="C590" s="1" t="s">
        <v>45</v>
      </c>
      <c r="D590" s="1" t="s">
        <v>22</v>
      </c>
      <c r="E590" s="12">
        <f>IF(LEN(regon9[[#This Row],[Regon]]) = 7,TEXT(regon9[[#This Row],[Regon]],"000000000"),regon9[[#This Row],[Regon]])</f>
        <v>30193316</v>
      </c>
      <c r="F59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90" s="1"/>
      <c r="H59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91" spans="1:8" x14ac:dyDescent="0.25">
      <c r="A591" s="1" t="s">
        <v>738</v>
      </c>
      <c r="B591" s="11">
        <v>30193620</v>
      </c>
      <c r="C591" s="1" t="s">
        <v>45</v>
      </c>
      <c r="D591" s="1" t="s">
        <v>22</v>
      </c>
      <c r="E591" s="12">
        <f>IF(LEN(regon9[[#This Row],[Regon]]) = 7,TEXT(regon9[[#This Row],[Regon]],"000000000"),regon9[[#This Row],[Regon]])</f>
        <v>30193620</v>
      </c>
      <c r="F59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591" s="1"/>
      <c r="H59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92" spans="1:8" x14ac:dyDescent="0.25">
      <c r="A592" s="1" t="s">
        <v>739</v>
      </c>
      <c r="B592" s="11">
        <v>30194269</v>
      </c>
      <c r="C592" s="1" t="s">
        <v>45</v>
      </c>
      <c r="D592" s="1" t="s">
        <v>22</v>
      </c>
      <c r="E592" s="12">
        <f>IF(LEN(regon9[[#This Row],[Regon]]) = 7,TEXT(regon9[[#This Row],[Regon]],"000000000"),regon9[[#This Row],[Regon]])</f>
        <v>30194269</v>
      </c>
      <c r="F59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592" s="1"/>
      <c r="H59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93" spans="1:8" x14ac:dyDescent="0.25">
      <c r="A593" s="1" t="s">
        <v>740</v>
      </c>
      <c r="B593" s="11">
        <v>30195097</v>
      </c>
      <c r="C593" s="1" t="s">
        <v>45</v>
      </c>
      <c r="D593" s="1" t="s">
        <v>22</v>
      </c>
      <c r="E593" s="12">
        <f>IF(LEN(regon9[[#This Row],[Regon]]) = 7,TEXT(regon9[[#This Row],[Regon]],"000000000"),regon9[[#This Row],[Regon]])</f>
        <v>30195097</v>
      </c>
      <c r="F59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593" s="1"/>
      <c r="H59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94" spans="1:8" x14ac:dyDescent="0.25">
      <c r="A594" s="1" t="s">
        <v>741</v>
      </c>
      <c r="B594" s="11">
        <v>30199168</v>
      </c>
      <c r="C594" s="1" t="s">
        <v>45</v>
      </c>
      <c r="D594" s="1" t="s">
        <v>22</v>
      </c>
      <c r="E594" s="12">
        <f>IF(LEN(regon9[[#This Row],[Regon]]) = 7,TEXT(regon9[[#This Row],[Regon]],"000000000"),regon9[[#This Row],[Regon]])</f>
        <v>30199168</v>
      </c>
      <c r="F59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594" s="1"/>
      <c r="H59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95" spans="1:8" x14ac:dyDescent="0.25">
      <c r="A595" s="1" t="s">
        <v>742</v>
      </c>
      <c r="B595" s="11">
        <v>30199768</v>
      </c>
      <c r="C595" s="1" t="s">
        <v>45</v>
      </c>
      <c r="D595" s="1" t="s">
        <v>22</v>
      </c>
      <c r="E595" s="12">
        <f>IF(LEN(regon9[[#This Row],[Regon]]) = 7,TEXT(regon9[[#This Row],[Regon]],"000000000"),regon9[[#This Row],[Regon]])</f>
        <v>30199768</v>
      </c>
      <c r="F59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595" s="1"/>
      <c r="H59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96" spans="1:8" x14ac:dyDescent="0.25">
      <c r="A596" s="1" t="s">
        <v>743</v>
      </c>
      <c r="B596" s="11">
        <v>30201341</v>
      </c>
      <c r="C596" s="1" t="s">
        <v>45</v>
      </c>
      <c r="D596" s="1" t="s">
        <v>22</v>
      </c>
      <c r="E596" s="12">
        <f>IF(LEN(regon9[[#This Row],[Regon]]) = 7,TEXT(regon9[[#This Row],[Regon]],"000000000"),regon9[[#This Row],[Regon]])</f>
        <v>30201341</v>
      </c>
      <c r="F59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596" s="1"/>
      <c r="H59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97" spans="1:8" x14ac:dyDescent="0.25">
      <c r="A597" s="1" t="s">
        <v>744</v>
      </c>
      <c r="B597" s="11">
        <v>30201734</v>
      </c>
      <c r="C597" s="1" t="s">
        <v>45</v>
      </c>
      <c r="D597" s="1" t="s">
        <v>22</v>
      </c>
      <c r="E597" s="12">
        <f>IF(LEN(regon9[[#This Row],[Regon]]) = 7,TEXT(regon9[[#This Row],[Regon]],"000000000"),regon9[[#This Row],[Regon]])</f>
        <v>30201734</v>
      </c>
      <c r="F59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597" s="1"/>
      <c r="H59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98" spans="1:8" x14ac:dyDescent="0.25">
      <c r="A598" s="1" t="s">
        <v>745</v>
      </c>
      <c r="B598" s="11">
        <v>30202168</v>
      </c>
      <c r="C598" s="1" t="s">
        <v>45</v>
      </c>
      <c r="D598" s="1" t="s">
        <v>22</v>
      </c>
      <c r="E598" s="12">
        <f>IF(LEN(regon9[[#This Row],[Regon]]) = 7,TEXT(regon9[[#This Row],[Regon]],"000000000"),regon9[[#This Row],[Regon]])</f>
        <v>30202168</v>
      </c>
      <c r="F59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598" s="1"/>
      <c r="H59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599" spans="1:8" x14ac:dyDescent="0.25">
      <c r="A599" s="1" t="s">
        <v>746</v>
      </c>
      <c r="B599" s="11">
        <v>30202391</v>
      </c>
      <c r="C599" s="1" t="s">
        <v>45</v>
      </c>
      <c r="D599" s="1" t="s">
        <v>22</v>
      </c>
      <c r="E599" s="12">
        <f>IF(LEN(regon9[[#This Row],[Regon]]) = 7,TEXT(regon9[[#This Row],[Regon]],"000000000"),regon9[[#This Row],[Regon]])</f>
        <v>30202391</v>
      </c>
      <c r="F59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599" s="1"/>
      <c r="H59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00" spans="1:8" x14ac:dyDescent="0.25">
      <c r="A600" s="1" t="s">
        <v>747</v>
      </c>
      <c r="B600" s="11">
        <v>30202522</v>
      </c>
      <c r="C600" s="1" t="s">
        <v>45</v>
      </c>
      <c r="D600" s="1" t="s">
        <v>22</v>
      </c>
      <c r="E600" s="12">
        <f>IF(LEN(regon9[[#This Row],[Regon]]) = 7,TEXT(regon9[[#This Row],[Regon]],"000000000"),regon9[[#This Row],[Regon]])</f>
        <v>30202522</v>
      </c>
      <c r="F60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600" s="1"/>
      <c r="H60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01" spans="1:8" x14ac:dyDescent="0.25">
      <c r="A601" s="1" t="s">
        <v>748</v>
      </c>
      <c r="B601" s="11">
        <v>30202895</v>
      </c>
      <c r="C601" s="1" t="s">
        <v>45</v>
      </c>
      <c r="D601" s="1" t="s">
        <v>22</v>
      </c>
      <c r="E601" s="12">
        <f>IF(LEN(regon9[[#This Row],[Regon]]) = 7,TEXT(regon9[[#This Row],[Regon]],"000000000"),regon9[[#This Row],[Regon]])</f>
        <v>30202895</v>
      </c>
      <c r="F60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601" s="1"/>
      <c r="H60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02" spans="1:8" x14ac:dyDescent="0.25">
      <c r="A602" s="1" t="s">
        <v>749</v>
      </c>
      <c r="B602" s="11">
        <v>30203205</v>
      </c>
      <c r="C602" s="1" t="s">
        <v>45</v>
      </c>
      <c r="D602" s="1" t="s">
        <v>22</v>
      </c>
      <c r="E602" s="12">
        <f>IF(LEN(regon9[[#This Row],[Regon]]) = 7,TEXT(regon9[[#This Row],[Regon]],"000000000"),regon9[[#This Row],[Regon]])</f>
        <v>30203205</v>
      </c>
      <c r="F60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602" s="1"/>
      <c r="H60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03" spans="1:8" x14ac:dyDescent="0.25">
      <c r="A603" s="1" t="s">
        <v>750</v>
      </c>
      <c r="B603" s="11">
        <v>30203907</v>
      </c>
      <c r="C603" s="1" t="s">
        <v>45</v>
      </c>
      <c r="D603" s="1" t="s">
        <v>22</v>
      </c>
      <c r="E603" s="12">
        <f>IF(LEN(regon9[[#This Row],[Regon]]) = 7,TEXT(regon9[[#This Row],[Regon]],"000000000"),regon9[[#This Row],[Regon]])</f>
        <v>30203907</v>
      </c>
      <c r="F60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603" s="1"/>
      <c r="H60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04" spans="1:8" x14ac:dyDescent="0.25">
      <c r="A604" s="1" t="s">
        <v>751</v>
      </c>
      <c r="B604" s="11">
        <v>30203923</v>
      </c>
      <c r="C604" s="1" t="s">
        <v>45</v>
      </c>
      <c r="D604" s="1" t="s">
        <v>22</v>
      </c>
      <c r="E604" s="12">
        <f>IF(LEN(regon9[[#This Row],[Regon]]) = 7,TEXT(regon9[[#This Row],[Regon]],"000000000"),regon9[[#This Row],[Regon]])</f>
        <v>30203923</v>
      </c>
      <c r="F60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604" s="1"/>
      <c r="H60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05" spans="1:8" x14ac:dyDescent="0.25">
      <c r="A605" s="1" t="s">
        <v>752</v>
      </c>
      <c r="B605" s="11">
        <v>30205047</v>
      </c>
      <c r="C605" s="1" t="s">
        <v>45</v>
      </c>
      <c r="D605" s="1" t="s">
        <v>22</v>
      </c>
      <c r="E605" s="12">
        <f>IF(LEN(regon9[[#This Row],[Regon]]) = 7,TEXT(regon9[[#This Row],[Regon]],"000000000"),regon9[[#This Row],[Regon]])</f>
        <v>30205047</v>
      </c>
      <c r="F60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605" s="1"/>
      <c r="H60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06" spans="1:8" x14ac:dyDescent="0.25">
      <c r="A606" s="1" t="s">
        <v>753</v>
      </c>
      <c r="B606" s="11">
        <v>30206066</v>
      </c>
      <c r="C606" s="1" t="s">
        <v>45</v>
      </c>
      <c r="D606" s="1" t="s">
        <v>22</v>
      </c>
      <c r="E606" s="12">
        <f>IF(LEN(regon9[[#This Row],[Regon]]) = 7,TEXT(regon9[[#This Row],[Regon]],"000000000"),regon9[[#This Row],[Regon]])</f>
        <v>30206066</v>
      </c>
      <c r="F60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606" s="1"/>
      <c r="H60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07" spans="1:8" x14ac:dyDescent="0.25">
      <c r="A607" s="1" t="s">
        <v>754</v>
      </c>
      <c r="B607" s="11">
        <v>30207214</v>
      </c>
      <c r="C607" s="1" t="s">
        <v>45</v>
      </c>
      <c r="D607" s="1" t="s">
        <v>22</v>
      </c>
      <c r="E607" s="12">
        <f>IF(LEN(regon9[[#This Row],[Regon]]) = 7,TEXT(regon9[[#This Row],[Regon]],"000000000"),regon9[[#This Row],[Regon]])</f>
        <v>30207214</v>
      </c>
      <c r="F60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607" s="1"/>
      <c r="H60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08" spans="1:8" x14ac:dyDescent="0.25">
      <c r="A608" s="1" t="s">
        <v>755</v>
      </c>
      <c r="B608" s="11">
        <v>67207222</v>
      </c>
      <c r="C608" s="1" t="s">
        <v>45</v>
      </c>
      <c r="D608" s="1" t="s">
        <v>22</v>
      </c>
      <c r="E608" s="12">
        <f>IF(LEN(regon9[[#This Row],[Regon]]) = 7,TEXT(regon9[[#This Row],[Regon]],"000000000"),regon9[[#This Row],[Regon]])</f>
        <v>67207222</v>
      </c>
      <c r="F60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608" s="1"/>
      <c r="H60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09" spans="1:8" x14ac:dyDescent="0.25">
      <c r="A609" s="1" t="s">
        <v>756</v>
      </c>
      <c r="B609" s="11">
        <v>67207223</v>
      </c>
      <c r="C609" s="1" t="s">
        <v>45</v>
      </c>
      <c r="D609" s="1" t="s">
        <v>22</v>
      </c>
      <c r="E609" s="12">
        <f>IF(LEN(regon9[[#This Row],[Regon]]) = 7,TEXT(regon9[[#This Row],[Regon]],"000000000"),regon9[[#This Row],[Regon]])</f>
        <v>67207223</v>
      </c>
      <c r="F60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609" s="1"/>
      <c r="H60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10" spans="1:8" x14ac:dyDescent="0.25">
      <c r="A610" s="1" t="s">
        <v>757</v>
      </c>
      <c r="B610" s="11">
        <v>67207569</v>
      </c>
      <c r="C610" s="1" t="s">
        <v>45</v>
      </c>
      <c r="D610" s="1" t="s">
        <v>22</v>
      </c>
      <c r="E610" s="12">
        <f>IF(LEN(regon9[[#This Row],[Regon]]) = 7,TEXT(regon9[[#This Row],[Regon]],"000000000"),regon9[[#This Row],[Regon]])</f>
        <v>67207569</v>
      </c>
      <c r="F61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610" s="1"/>
      <c r="H61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11" spans="1:8" x14ac:dyDescent="0.25">
      <c r="A611" s="1" t="s">
        <v>758</v>
      </c>
      <c r="B611" s="11">
        <v>67207572</v>
      </c>
      <c r="C611" s="1" t="s">
        <v>45</v>
      </c>
      <c r="D611" s="1" t="s">
        <v>22</v>
      </c>
      <c r="E611" s="12">
        <f>IF(LEN(regon9[[#This Row],[Regon]]) = 7,TEXT(regon9[[#This Row],[Regon]],"000000000"),regon9[[#This Row],[Regon]])</f>
        <v>67207572</v>
      </c>
      <c r="F61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611" s="1"/>
      <c r="H61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12" spans="1:8" x14ac:dyDescent="0.25">
      <c r="A612" s="1" t="s">
        <v>759</v>
      </c>
      <c r="B612" s="11">
        <v>67207578</v>
      </c>
      <c r="C612" s="1" t="s">
        <v>45</v>
      </c>
      <c r="D612" s="1" t="s">
        <v>22</v>
      </c>
      <c r="E612" s="12">
        <f>IF(LEN(regon9[[#This Row],[Regon]]) = 7,TEXT(regon9[[#This Row],[Regon]],"000000000"),regon9[[#This Row],[Regon]])</f>
        <v>67207578</v>
      </c>
      <c r="F61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612" s="1"/>
      <c r="H61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13" spans="1:8" x14ac:dyDescent="0.25">
      <c r="A613" s="1" t="s">
        <v>760</v>
      </c>
      <c r="B613" s="11">
        <v>67207583</v>
      </c>
      <c r="C613" s="1" t="s">
        <v>45</v>
      </c>
      <c r="D613" s="1" t="s">
        <v>22</v>
      </c>
      <c r="E613" s="12">
        <f>IF(LEN(regon9[[#This Row],[Regon]]) = 7,TEXT(regon9[[#This Row],[Regon]],"000000000"),regon9[[#This Row],[Regon]])</f>
        <v>67207583</v>
      </c>
      <c r="F61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613" s="1"/>
      <c r="H61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14" spans="1:8" x14ac:dyDescent="0.25">
      <c r="A614" s="1" t="s">
        <v>761</v>
      </c>
      <c r="B614" s="11">
        <v>67210789</v>
      </c>
      <c r="C614" s="1" t="s">
        <v>45</v>
      </c>
      <c r="D614" s="1" t="s">
        <v>22</v>
      </c>
      <c r="E614" s="12">
        <f>IF(LEN(regon9[[#This Row],[Regon]]) = 7,TEXT(regon9[[#This Row],[Regon]],"000000000"),regon9[[#This Row],[Regon]])</f>
        <v>67210789</v>
      </c>
      <c r="F61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614" s="1"/>
      <c r="H61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15" spans="1:8" x14ac:dyDescent="0.25">
      <c r="A615" s="1" t="s">
        <v>762</v>
      </c>
      <c r="B615" s="11">
        <v>67211413</v>
      </c>
      <c r="C615" s="1" t="s">
        <v>45</v>
      </c>
      <c r="D615" s="1" t="s">
        <v>22</v>
      </c>
      <c r="E615" s="12">
        <f>IF(LEN(regon9[[#This Row],[Regon]]) = 7,TEXT(regon9[[#This Row],[Regon]],"000000000"),regon9[[#This Row],[Regon]])</f>
        <v>67211413</v>
      </c>
      <c r="F61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615" s="1"/>
      <c r="H61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16" spans="1:8" x14ac:dyDescent="0.25">
      <c r="A616" s="1" t="s">
        <v>763</v>
      </c>
      <c r="B616" s="11">
        <v>67211972</v>
      </c>
      <c r="C616" s="1" t="s">
        <v>45</v>
      </c>
      <c r="D616" s="1" t="s">
        <v>22</v>
      </c>
      <c r="E616" s="12">
        <f>IF(LEN(regon9[[#This Row],[Regon]]) = 7,TEXT(regon9[[#This Row],[Regon]],"000000000"),regon9[[#This Row],[Regon]])</f>
        <v>67211972</v>
      </c>
      <c r="F61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616" s="1"/>
      <c r="H61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17" spans="1:8" x14ac:dyDescent="0.25">
      <c r="A617" s="1" t="s">
        <v>764</v>
      </c>
      <c r="B617" s="11">
        <v>67212195</v>
      </c>
      <c r="C617" s="1" t="s">
        <v>45</v>
      </c>
      <c r="D617" s="1" t="s">
        <v>22</v>
      </c>
      <c r="E617" s="12">
        <f>IF(LEN(regon9[[#This Row],[Regon]]) = 7,TEXT(regon9[[#This Row],[Regon]],"000000000"),regon9[[#This Row],[Regon]])</f>
        <v>67212195</v>
      </c>
      <c r="F61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617" s="1"/>
      <c r="H61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18" spans="1:8" x14ac:dyDescent="0.25">
      <c r="A618" s="1" t="s">
        <v>765</v>
      </c>
      <c r="B618" s="11">
        <v>67212616</v>
      </c>
      <c r="C618" s="1" t="s">
        <v>45</v>
      </c>
      <c r="D618" s="1" t="s">
        <v>22</v>
      </c>
      <c r="E618" s="12">
        <f>IF(LEN(regon9[[#This Row],[Regon]]) = 7,TEXT(regon9[[#This Row],[Regon]],"000000000"),regon9[[#This Row],[Regon]])</f>
        <v>67212616</v>
      </c>
      <c r="F61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618" s="1"/>
      <c r="H61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19" spans="1:8" x14ac:dyDescent="0.25">
      <c r="A619" s="1" t="s">
        <v>766</v>
      </c>
      <c r="B619" s="11">
        <v>67213386</v>
      </c>
      <c r="C619" s="1" t="s">
        <v>45</v>
      </c>
      <c r="D619" s="1" t="s">
        <v>22</v>
      </c>
      <c r="E619" s="12">
        <f>IF(LEN(regon9[[#This Row],[Regon]]) = 7,TEXT(regon9[[#This Row],[Regon]],"000000000"),regon9[[#This Row],[Regon]])</f>
        <v>67213386</v>
      </c>
      <c r="F61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619" s="1"/>
      <c r="H61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20" spans="1:8" x14ac:dyDescent="0.25">
      <c r="A620" s="1" t="s">
        <v>767</v>
      </c>
      <c r="B620" s="11">
        <v>67213866</v>
      </c>
      <c r="C620" s="1" t="s">
        <v>45</v>
      </c>
      <c r="D620" s="1" t="s">
        <v>22</v>
      </c>
      <c r="E620" s="12">
        <f>IF(LEN(regon9[[#This Row],[Regon]]) = 7,TEXT(regon9[[#This Row],[Regon]],"000000000"),regon9[[#This Row],[Regon]])</f>
        <v>67213866</v>
      </c>
      <c r="F62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620" s="1"/>
      <c r="H62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21" spans="1:8" x14ac:dyDescent="0.25">
      <c r="A621" s="1" t="s">
        <v>768</v>
      </c>
      <c r="B621" s="11">
        <v>67214380</v>
      </c>
      <c r="C621" s="1" t="s">
        <v>45</v>
      </c>
      <c r="D621" s="1" t="s">
        <v>22</v>
      </c>
      <c r="E621" s="12">
        <f>IF(LEN(regon9[[#This Row],[Regon]]) = 7,TEXT(regon9[[#This Row],[Regon]],"000000000"),regon9[[#This Row],[Regon]])</f>
        <v>67214380</v>
      </c>
      <c r="F62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621" s="1"/>
      <c r="H62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22" spans="1:8" x14ac:dyDescent="0.25">
      <c r="A622" s="1" t="s">
        <v>769</v>
      </c>
      <c r="B622" s="11">
        <v>67215497</v>
      </c>
      <c r="C622" s="1" t="s">
        <v>45</v>
      </c>
      <c r="D622" s="1" t="s">
        <v>22</v>
      </c>
      <c r="E622" s="12">
        <f>IF(LEN(regon9[[#This Row],[Regon]]) = 7,TEXT(regon9[[#This Row],[Regon]],"000000000"),regon9[[#This Row],[Regon]])</f>
        <v>67215497</v>
      </c>
      <c r="F62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622" s="1"/>
      <c r="H62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23" spans="1:8" x14ac:dyDescent="0.25">
      <c r="A623" s="1" t="s">
        <v>770</v>
      </c>
      <c r="B623" s="11">
        <v>67217725</v>
      </c>
      <c r="C623" s="1" t="s">
        <v>45</v>
      </c>
      <c r="D623" s="1" t="s">
        <v>22</v>
      </c>
      <c r="E623" s="12">
        <f>IF(LEN(regon9[[#This Row],[Regon]]) = 7,TEXT(regon9[[#This Row],[Regon]],"000000000"),regon9[[#This Row],[Regon]])</f>
        <v>67217725</v>
      </c>
      <c r="F62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623" s="1"/>
      <c r="H62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24" spans="1:8" x14ac:dyDescent="0.25">
      <c r="A624" s="1" t="s">
        <v>771</v>
      </c>
      <c r="B624" s="11">
        <v>67217819</v>
      </c>
      <c r="C624" s="1" t="s">
        <v>45</v>
      </c>
      <c r="D624" s="1" t="s">
        <v>22</v>
      </c>
      <c r="E624" s="12">
        <f>IF(LEN(regon9[[#This Row],[Regon]]) = 7,TEXT(regon9[[#This Row],[Regon]],"000000000"),regon9[[#This Row],[Regon]])</f>
        <v>67217819</v>
      </c>
      <c r="F62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624" s="1"/>
      <c r="H62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25" spans="1:8" x14ac:dyDescent="0.25">
      <c r="A625" s="1" t="s">
        <v>772</v>
      </c>
      <c r="B625" s="11">
        <v>67217821</v>
      </c>
      <c r="C625" s="1" t="s">
        <v>45</v>
      </c>
      <c r="D625" s="1" t="s">
        <v>22</v>
      </c>
      <c r="E625" s="12">
        <f>IF(LEN(regon9[[#This Row],[Regon]]) = 7,TEXT(regon9[[#This Row],[Regon]],"000000000"),regon9[[#This Row],[Regon]])</f>
        <v>67217821</v>
      </c>
      <c r="F62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625" s="1"/>
      <c r="H62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26" spans="1:8" x14ac:dyDescent="0.25">
      <c r="A626" s="1" t="s">
        <v>773</v>
      </c>
      <c r="B626" s="11">
        <v>67218541</v>
      </c>
      <c r="C626" s="1" t="s">
        <v>45</v>
      </c>
      <c r="D626" s="1" t="s">
        <v>22</v>
      </c>
      <c r="E626" s="12">
        <f>IF(LEN(regon9[[#This Row],[Regon]]) = 7,TEXT(regon9[[#This Row],[Regon]],"000000000"),regon9[[#This Row],[Regon]])</f>
        <v>67218541</v>
      </c>
      <c r="F62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626" s="1"/>
      <c r="H62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27" spans="1:8" x14ac:dyDescent="0.25">
      <c r="A627" s="1" t="s">
        <v>774</v>
      </c>
      <c r="B627" s="11">
        <v>67218725</v>
      </c>
      <c r="C627" s="1" t="s">
        <v>45</v>
      </c>
      <c r="D627" s="1" t="s">
        <v>22</v>
      </c>
      <c r="E627" s="12">
        <f>IF(LEN(regon9[[#This Row],[Regon]]) = 7,TEXT(regon9[[#This Row],[Regon]],"000000000"),regon9[[#This Row],[Regon]])</f>
        <v>67218725</v>
      </c>
      <c r="F62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627" s="1"/>
      <c r="H62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28" spans="1:8" x14ac:dyDescent="0.25">
      <c r="A628" s="1" t="s">
        <v>775</v>
      </c>
      <c r="B628" s="11">
        <v>67219750</v>
      </c>
      <c r="C628" s="1" t="s">
        <v>45</v>
      </c>
      <c r="D628" s="1" t="s">
        <v>22</v>
      </c>
      <c r="E628" s="12">
        <f>IF(LEN(regon9[[#This Row],[Regon]]) = 7,TEXT(regon9[[#This Row],[Regon]],"000000000"),regon9[[#This Row],[Regon]])</f>
        <v>67219750</v>
      </c>
      <c r="F62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628" s="1"/>
      <c r="H62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29" spans="1:8" x14ac:dyDescent="0.25">
      <c r="A629" s="1" t="s">
        <v>776</v>
      </c>
      <c r="B629" s="11">
        <v>67219940</v>
      </c>
      <c r="C629" s="1" t="s">
        <v>45</v>
      </c>
      <c r="D629" s="1" t="s">
        <v>22</v>
      </c>
      <c r="E629" s="12">
        <f>IF(LEN(regon9[[#This Row],[Regon]]) = 7,TEXT(regon9[[#This Row],[Regon]],"000000000"),regon9[[#This Row],[Regon]])</f>
        <v>67219940</v>
      </c>
      <c r="F62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629" s="1"/>
      <c r="H62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30" spans="1:8" x14ac:dyDescent="0.25">
      <c r="A630" s="1" t="s">
        <v>777</v>
      </c>
      <c r="B630" s="11">
        <v>67220353</v>
      </c>
      <c r="C630" s="1" t="s">
        <v>45</v>
      </c>
      <c r="D630" s="1" t="s">
        <v>22</v>
      </c>
      <c r="E630" s="12">
        <f>IF(LEN(regon9[[#This Row],[Regon]]) = 7,TEXT(regon9[[#This Row],[Regon]],"000000000"),regon9[[#This Row],[Regon]])</f>
        <v>67220353</v>
      </c>
      <c r="F63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630" s="1"/>
      <c r="H63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31" spans="1:8" x14ac:dyDescent="0.25">
      <c r="A631" s="1" t="s">
        <v>778</v>
      </c>
      <c r="B631" s="11">
        <v>67220358</v>
      </c>
      <c r="C631" s="1" t="s">
        <v>45</v>
      </c>
      <c r="D631" s="1" t="s">
        <v>22</v>
      </c>
      <c r="E631" s="12">
        <f>IF(LEN(regon9[[#This Row],[Regon]]) = 7,TEXT(regon9[[#This Row],[Regon]],"000000000"),regon9[[#This Row],[Regon]])</f>
        <v>67220358</v>
      </c>
      <c r="F63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631" s="1"/>
      <c r="H63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32" spans="1:8" x14ac:dyDescent="0.25">
      <c r="A632" s="1" t="s">
        <v>779</v>
      </c>
      <c r="B632" s="11">
        <v>67220964</v>
      </c>
      <c r="C632" s="1" t="s">
        <v>45</v>
      </c>
      <c r="D632" s="1" t="s">
        <v>22</v>
      </c>
      <c r="E632" s="12">
        <f>IF(LEN(regon9[[#This Row],[Regon]]) = 7,TEXT(regon9[[#This Row],[Regon]],"000000000"),regon9[[#This Row],[Regon]])</f>
        <v>67220964</v>
      </c>
      <c r="F63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632" s="1"/>
      <c r="H63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33" spans="1:8" x14ac:dyDescent="0.25">
      <c r="A633" s="1" t="s">
        <v>780</v>
      </c>
      <c r="B633" s="11">
        <v>67222153</v>
      </c>
      <c r="C633" s="1" t="s">
        <v>45</v>
      </c>
      <c r="D633" s="1" t="s">
        <v>22</v>
      </c>
      <c r="E633" s="12">
        <f>IF(LEN(regon9[[#This Row],[Regon]]) = 7,TEXT(regon9[[#This Row],[Regon]],"000000000"),regon9[[#This Row],[Regon]])</f>
        <v>67222153</v>
      </c>
      <c r="F63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633" s="1"/>
      <c r="H63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34" spans="1:8" x14ac:dyDescent="0.25">
      <c r="A634" s="1" t="s">
        <v>781</v>
      </c>
      <c r="B634" s="11">
        <v>67223044</v>
      </c>
      <c r="C634" s="1" t="s">
        <v>45</v>
      </c>
      <c r="D634" s="1" t="s">
        <v>22</v>
      </c>
      <c r="E634" s="12">
        <f>IF(LEN(regon9[[#This Row],[Regon]]) = 7,TEXT(regon9[[#This Row],[Regon]],"000000000"),regon9[[#This Row],[Regon]])</f>
        <v>67223044</v>
      </c>
      <c r="F63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634" s="1"/>
      <c r="H63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35" spans="1:8" x14ac:dyDescent="0.25">
      <c r="A635" s="1" t="s">
        <v>782</v>
      </c>
      <c r="B635" s="11">
        <v>67226790</v>
      </c>
      <c r="C635" s="1" t="s">
        <v>45</v>
      </c>
      <c r="D635" s="1" t="s">
        <v>22</v>
      </c>
      <c r="E635" s="12">
        <f>IF(LEN(regon9[[#This Row],[Regon]]) = 7,TEXT(regon9[[#This Row],[Regon]],"000000000"),regon9[[#This Row],[Regon]])</f>
        <v>67226790</v>
      </c>
      <c r="F63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635" s="1"/>
      <c r="H63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36" spans="1:8" x14ac:dyDescent="0.25">
      <c r="A636" s="1" t="s">
        <v>783</v>
      </c>
      <c r="B636" s="11">
        <v>67226802</v>
      </c>
      <c r="C636" s="1" t="s">
        <v>45</v>
      </c>
      <c r="D636" s="1" t="s">
        <v>22</v>
      </c>
      <c r="E636" s="12">
        <f>IF(LEN(regon9[[#This Row],[Regon]]) = 7,TEXT(regon9[[#This Row],[Regon]],"000000000"),regon9[[#This Row],[Regon]])</f>
        <v>67226802</v>
      </c>
      <c r="F63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636" s="1"/>
      <c r="H63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37" spans="1:8" x14ac:dyDescent="0.25">
      <c r="A637" s="1" t="s">
        <v>784</v>
      </c>
      <c r="B637" s="11">
        <v>67227723</v>
      </c>
      <c r="C637" s="1" t="s">
        <v>45</v>
      </c>
      <c r="D637" s="1" t="s">
        <v>22</v>
      </c>
      <c r="E637" s="12">
        <f>IF(LEN(regon9[[#This Row],[Regon]]) = 7,TEXT(regon9[[#This Row],[Regon]],"000000000"),regon9[[#This Row],[Regon]])</f>
        <v>67227723</v>
      </c>
      <c r="F63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637" s="1"/>
      <c r="H63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38" spans="1:8" x14ac:dyDescent="0.25">
      <c r="A638" s="1" t="s">
        <v>785</v>
      </c>
      <c r="B638" s="11">
        <v>67227749</v>
      </c>
      <c r="C638" s="1" t="s">
        <v>45</v>
      </c>
      <c r="D638" s="1" t="s">
        <v>22</v>
      </c>
      <c r="E638" s="12">
        <f>IF(LEN(regon9[[#This Row],[Regon]]) = 7,TEXT(regon9[[#This Row],[Regon]],"000000000"),regon9[[#This Row],[Regon]])</f>
        <v>67227749</v>
      </c>
      <c r="F63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638" s="1"/>
      <c r="H63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39" spans="1:8" x14ac:dyDescent="0.25">
      <c r="A639" s="1" t="s">
        <v>786</v>
      </c>
      <c r="B639" s="11">
        <v>67227800</v>
      </c>
      <c r="C639" s="1" t="s">
        <v>45</v>
      </c>
      <c r="D639" s="1" t="s">
        <v>22</v>
      </c>
      <c r="E639" s="12">
        <f>IF(LEN(regon9[[#This Row],[Regon]]) = 7,TEXT(regon9[[#This Row],[Regon]],"000000000"),regon9[[#This Row],[Regon]])</f>
        <v>67227800</v>
      </c>
      <c r="F63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639" s="1"/>
      <c r="H63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40" spans="1:8" x14ac:dyDescent="0.25">
      <c r="A640" s="1" t="s">
        <v>787</v>
      </c>
      <c r="B640" s="11">
        <v>67229053</v>
      </c>
      <c r="C640" s="1" t="s">
        <v>45</v>
      </c>
      <c r="D640" s="1" t="s">
        <v>22</v>
      </c>
      <c r="E640" s="12">
        <f>IF(LEN(regon9[[#This Row],[Regon]]) = 7,TEXT(regon9[[#This Row],[Regon]],"000000000"),regon9[[#This Row],[Regon]])</f>
        <v>67229053</v>
      </c>
      <c r="F64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640" s="1"/>
      <c r="H64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41" spans="1:8" x14ac:dyDescent="0.25">
      <c r="A641" s="1" t="s">
        <v>788</v>
      </c>
      <c r="B641" s="11">
        <v>67230085</v>
      </c>
      <c r="C641" s="1" t="s">
        <v>45</v>
      </c>
      <c r="D641" s="1" t="s">
        <v>22</v>
      </c>
      <c r="E641" s="12">
        <f>IF(LEN(regon9[[#This Row],[Regon]]) = 7,TEXT(regon9[[#This Row],[Regon]],"000000000"),regon9[[#This Row],[Regon]])</f>
        <v>67230085</v>
      </c>
      <c r="F64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641" s="1"/>
      <c r="H64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42" spans="1:8" x14ac:dyDescent="0.25">
      <c r="A642" s="1" t="s">
        <v>789</v>
      </c>
      <c r="B642" s="11">
        <v>67231695</v>
      </c>
      <c r="C642" s="1" t="s">
        <v>45</v>
      </c>
      <c r="D642" s="1" t="s">
        <v>22</v>
      </c>
      <c r="E642" s="12">
        <f>IF(LEN(regon9[[#This Row],[Regon]]) = 7,TEXT(regon9[[#This Row],[Regon]],"000000000"),regon9[[#This Row],[Regon]])</f>
        <v>67231695</v>
      </c>
      <c r="F64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642" s="1"/>
      <c r="H64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43" spans="1:8" x14ac:dyDescent="0.25">
      <c r="A643" s="1" t="s">
        <v>790</v>
      </c>
      <c r="B643" s="11">
        <v>67231696</v>
      </c>
      <c r="C643" s="1" t="s">
        <v>45</v>
      </c>
      <c r="D643" s="1" t="s">
        <v>22</v>
      </c>
      <c r="E643" s="12">
        <f>IF(LEN(regon9[[#This Row],[Regon]]) = 7,TEXT(regon9[[#This Row],[Regon]],"000000000"),regon9[[#This Row],[Regon]])</f>
        <v>67231696</v>
      </c>
      <c r="F64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643" s="1"/>
      <c r="H64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44" spans="1:8" x14ac:dyDescent="0.25">
      <c r="A644" s="1" t="s">
        <v>791</v>
      </c>
      <c r="B644" s="11">
        <v>67231722</v>
      </c>
      <c r="C644" s="1" t="s">
        <v>45</v>
      </c>
      <c r="D644" s="1" t="s">
        <v>22</v>
      </c>
      <c r="E644" s="12">
        <f>IF(LEN(regon9[[#This Row],[Regon]]) = 7,TEXT(regon9[[#This Row],[Regon]],"000000000"),regon9[[#This Row],[Regon]])</f>
        <v>67231722</v>
      </c>
      <c r="F64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644" s="1"/>
      <c r="H64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45" spans="1:8" x14ac:dyDescent="0.25">
      <c r="A645" s="1" t="s">
        <v>792</v>
      </c>
      <c r="B645" s="11">
        <v>67233327</v>
      </c>
      <c r="C645" s="1" t="s">
        <v>45</v>
      </c>
      <c r="D645" s="1" t="s">
        <v>22</v>
      </c>
      <c r="E645" s="12">
        <f>IF(LEN(regon9[[#This Row],[Regon]]) = 7,TEXT(regon9[[#This Row],[Regon]],"000000000"),regon9[[#This Row],[Regon]])</f>
        <v>67233327</v>
      </c>
      <c r="F64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645" s="1"/>
      <c r="H64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46" spans="1:8" x14ac:dyDescent="0.25">
      <c r="A646" s="1" t="s">
        <v>793</v>
      </c>
      <c r="B646" s="11">
        <v>67233328</v>
      </c>
      <c r="C646" s="1" t="s">
        <v>45</v>
      </c>
      <c r="D646" s="1" t="s">
        <v>22</v>
      </c>
      <c r="E646" s="12">
        <f>IF(LEN(regon9[[#This Row],[Regon]]) = 7,TEXT(regon9[[#This Row],[Regon]],"000000000"),regon9[[#This Row],[Regon]])</f>
        <v>67233328</v>
      </c>
      <c r="F64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646" s="1"/>
      <c r="H64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47" spans="1:8" x14ac:dyDescent="0.25">
      <c r="A647" s="1" t="s">
        <v>794</v>
      </c>
      <c r="B647" s="11">
        <v>67233329</v>
      </c>
      <c r="C647" s="1" t="s">
        <v>45</v>
      </c>
      <c r="D647" s="1" t="s">
        <v>22</v>
      </c>
      <c r="E647" s="12">
        <f>IF(LEN(regon9[[#This Row],[Regon]]) = 7,TEXT(regon9[[#This Row],[Regon]],"000000000"),regon9[[#This Row],[Regon]])</f>
        <v>67233329</v>
      </c>
      <c r="F64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647" s="1"/>
      <c r="H64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48" spans="1:8" x14ac:dyDescent="0.25">
      <c r="A648" s="1" t="s">
        <v>795</v>
      </c>
      <c r="B648" s="11">
        <v>67233341</v>
      </c>
      <c r="C648" s="1" t="s">
        <v>45</v>
      </c>
      <c r="D648" s="1" t="s">
        <v>22</v>
      </c>
      <c r="E648" s="12">
        <f>IF(LEN(regon9[[#This Row],[Regon]]) = 7,TEXT(regon9[[#This Row],[Regon]],"000000000"),regon9[[#This Row],[Regon]])</f>
        <v>67233341</v>
      </c>
      <c r="F64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648" s="1"/>
      <c r="H64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49" spans="1:8" x14ac:dyDescent="0.25">
      <c r="A649" s="1" t="s">
        <v>796</v>
      </c>
      <c r="B649" s="11">
        <v>67234224</v>
      </c>
      <c r="C649" s="1" t="s">
        <v>45</v>
      </c>
      <c r="D649" s="1" t="s">
        <v>22</v>
      </c>
      <c r="E649" s="12">
        <f>IF(LEN(regon9[[#This Row],[Regon]]) = 7,TEXT(regon9[[#This Row],[Regon]],"000000000"),regon9[[#This Row],[Regon]])</f>
        <v>67234224</v>
      </c>
      <c r="F64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649" s="1"/>
      <c r="H64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50" spans="1:8" x14ac:dyDescent="0.25">
      <c r="A650" s="1" t="s">
        <v>797</v>
      </c>
      <c r="B650" s="11">
        <v>67234984</v>
      </c>
      <c r="C650" s="1" t="s">
        <v>45</v>
      </c>
      <c r="D650" s="1" t="s">
        <v>22</v>
      </c>
      <c r="E650" s="12">
        <f>IF(LEN(regon9[[#This Row],[Regon]]) = 7,TEXT(regon9[[#This Row],[Regon]],"000000000"),regon9[[#This Row],[Regon]])</f>
        <v>67234984</v>
      </c>
      <c r="F65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650" s="1"/>
      <c r="H65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51" spans="1:8" x14ac:dyDescent="0.25">
      <c r="A651" s="1" t="s">
        <v>798</v>
      </c>
      <c r="B651" s="11">
        <v>67235000</v>
      </c>
      <c r="C651" s="1" t="s">
        <v>45</v>
      </c>
      <c r="D651" s="1" t="s">
        <v>22</v>
      </c>
      <c r="E651" s="12">
        <f>IF(LEN(regon9[[#This Row],[Regon]]) = 7,TEXT(regon9[[#This Row],[Regon]],"000000000"),regon9[[#This Row],[Regon]])</f>
        <v>67235000</v>
      </c>
      <c r="F65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651" s="1"/>
      <c r="H65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52" spans="1:8" x14ac:dyDescent="0.25">
      <c r="A652" s="1" t="s">
        <v>799</v>
      </c>
      <c r="B652" s="11">
        <v>67235254</v>
      </c>
      <c r="C652" s="1" t="s">
        <v>45</v>
      </c>
      <c r="D652" s="1" t="s">
        <v>22</v>
      </c>
      <c r="E652" s="12">
        <f>IF(LEN(regon9[[#This Row],[Regon]]) = 7,TEXT(regon9[[#This Row],[Regon]],"000000000"),regon9[[#This Row],[Regon]])</f>
        <v>67235254</v>
      </c>
      <c r="F65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652" s="1"/>
      <c r="H65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53" spans="1:8" x14ac:dyDescent="0.25">
      <c r="A653" s="1" t="s">
        <v>800</v>
      </c>
      <c r="B653" s="11">
        <v>67236011</v>
      </c>
      <c r="C653" s="1" t="s">
        <v>45</v>
      </c>
      <c r="D653" s="1" t="s">
        <v>22</v>
      </c>
      <c r="E653" s="12">
        <f>IF(LEN(regon9[[#This Row],[Regon]]) = 7,TEXT(regon9[[#This Row],[Regon]],"000000000"),regon9[[#This Row],[Regon]])</f>
        <v>67236011</v>
      </c>
      <c r="F65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653" s="1"/>
      <c r="H65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54" spans="1:8" x14ac:dyDescent="0.25">
      <c r="A654" s="1" t="s">
        <v>801</v>
      </c>
      <c r="B654" s="11">
        <v>67237820</v>
      </c>
      <c r="C654" s="1" t="s">
        <v>45</v>
      </c>
      <c r="D654" s="1" t="s">
        <v>22</v>
      </c>
      <c r="E654" s="12">
        <f>IF(LEN(regon9[[#This Row],[Regon]]) = 7,TEXT(regon9[[#This Row],[Regon]],"000000000"),regon9[[#This Row],[Regon]])</f>
        <v>67237820</v>
      </c>
      <c r="F65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654" s="1"/>
      <c r="H65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55" spans="1:8" x14ac:dyDescent="0.25">
      <c r="A655" s="1" t="s">
        <v>802</v>
      </c>
      <c r="B655" s="11">
        <v>67237987</v>
      </c>
      <c r="C655" s="1" t="s">
        <v>45</v>
      </c>
      <c r="D655" s="1" t="s">
        <v>22</v>
      </c>
      <c r="E655" s="12">
        <f>IF(LEN(regon9[[#This Row],[Regon]]) = 7,TEXT(regon9[[#This Row],[Regon]],"000000000"),regon9[[#This Row],[Regon]])</f>
        <v>67237987</v>
      </c>
      <c r="F65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655" s="1"/>
      <c r="H65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56" spans="1:8" x14ac:dyDescent="0.25">
      <c r="A656" s="1" t="s">
        <v>803</v>
      </c>
      <c r="B656" s="11">
        <v>67237999</v>
      </c>
      <c r="C656" s="1" t="s">
        <v>45</v>
      </c>
      <c r="D656" s="1" t="s">
        <v>22</v>
      </c>
      <c r="E656" s="12">
        <f>IF(LEN(regon9[[#This Row],[Regon]]) = 7,TEXT(regon9[[#This Row],[Regon]],"000000000"),regon9[[#This Row],[Regon]])</f>
        <v>67237999</v>
      </c>
      <c r="F65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656" s="1"/>
      <c r="H65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57" spans="1:8" x14ac:dyDescent="0.25">
      <c r="A657" s="1" t="s">
        <v>804</v>
      </c>
      <c r="B657" s="11">
        <v>67238088</v>
      </c>
      <c r="C657" s="1" t="s">
        <v>45</v>
      </c>
      <c r="D657" s="1" t="s">
        <v>22</v>
      </c>
      <c r="E657" s="12">
        <f>IF(LEN(regon9[[#This Row],[Regon]]) = 7,TEXT(regon9[[#This Row],[Regon]],"000000000"),regon9[[#This Row],[Regon]])</f>
        <v>67238088</v>
      </c>
      <c r="F65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657" s="1"/>
      <c r="H65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58" spans="1:8" x14ac:dyDescent="0.25">
      <c r="A658" s="1" t="s">
        <v>805</v>
      </c>
      <c r="B658" s="11">
        <v>67238277</v>
      </c>
      <c r="C658" s="1" t="s">
        <v>45</v>
      </c>
      <c r="D658" s="1" t="s">
        <v>22</v>
      </c>
      <c r="E658" s="12">
        <f>IF(LEN(regon9[[#This Row],[Regon]]) = 7,TEXT(regon9[[#This Row],[Regon]],"000000000"),regon9[[#This Row],[Regon]])</f>
        <v>67238277</v>
      </c>
      <c r="F65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658" s="1"/>
      <c r="H65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59" spans="1:8" x14ac:dyDescent="0.25">
      <c r="A659" s="1" t="s">
        <v>806</v>
      </c>
      <c r="B659" s="11">
        <v>67241962</v>
      </c>
      <c r="C659" s="1" t="s">
        <v>45</v>
      </c>
      <c r="D659" s="1" t="s">
        <v>22</v>
      </c>
      <c r="E659" s="12">
        <f>IF(LEN(regon9[[#This Row],[Regon]]) = 7,TEXT(regon9[[#This Row],[Regon]],"000000000"),regon9[[#This Row],[Regon]])</f>
        <v>67241962</v>
      </c>
      <c r="F65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659" s="1"/>
      <c r="H65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60" spans="1:8" x14ac:dyDescent="0.25">
      <c r="A660" s="1" t="s">
        <v>807</v>
      </c>
      <c r="B660" s="11">
        <v>67242204</v>
      </c>
      <c r="C660" s="1" t="s">
        <v>45</v>
      </c>
      <c r="D660" s="1" t="s">
        <v>22</v>
      </c>
      <c r="E660" s="12">
        <f>IF(LEN(regon9[[#This Row],[Regon]]) = 7,TEXT(regon9[[#This Row],[Regon]],"000000000"),regon9[[#This Row],[Regon]])</f>
        <v>67242204</v>
      </c>
      <c r="F66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660" s="1"/>
      <c r="H66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61" spans="1:8" x14ac:dyDescent="0.25">
      <c r="A661" s="1" t="s">
        <v>808</v>
      </c>
      <c r="B661" s="11">
        <v>67242208</v>
      </c>
      <c r="C661" s="1" t="s">
        <v>45</v>
      </c>
      <c r="D661" s="1" t="s">
        <v>22</v>
      </c>
      <c r="E661" s="12">
        <f>IF(LEN(regon9[[#This Row],[Regon]]) = 7,TEXT(regon9[[#This Row],[Regon]],"000000000"),regon9[[#This Row],[Regon]])</f>
        <v>67242208</v>
      </c>
      <c r="F66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661" s="1"/>
      <c r="H66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62" spans="1:8" x14ac:dyDescent="0.25">
      <c r="A662" s="1" t="s">
        <v>809</v>
      </c>
      <c r="B662" s="11">
        <v>67243041</v>
      </c>
      <c r="C662" s="1" t="s">
        <v>45</v>
      </c>
      <c r="D662" s="1" t="s">
        <v>22</v>
      </c>
      <c r="E662" s="12">
        <f>IF(LEN(regon9[[#This Row],[Regon]]) = 7,TEXT(regon9[[#This Row],[Regon]],"000000000"),regon9[[#This Row],[Regon]])</f>
        <v>67243041</v>
      </c>
      <c r="F66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662" s="1"/>
      <c r="H66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63" spans="1:8" x14ac:dyDescent="0.25">
      <c r="A663" s="1" t="s">
        <v>810</v>
      </c>
      <c r="B663" s="11">
        <v>67243264</v>
      </c>
      <c r="C663" s="1" t="s">
        <v>45</v>
      </c>
      <c r="D663" s="1" t="s">
        <v>22</v>
      </c>
      <c r="E663" s="12">
        <f>IF(LEN(regon9[[#This Row],[Regon]]) = 7,TEXT(regon9[[#This Row],[Regon]],"000000000"),regon9[[#This Row],[Regon]])</f>
        <v>67243264</v>
      </c>
      <c r="F66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663" s="1"/>
      <c r="H66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64" spans="1:8" x14ac:dyDescent="0.25">
      <c r="A664" s="1" t="s">
        <v>811</v>
      </c>
      <c r="B664" s="11">
        <v>67245817</v>
      </c>
      <c r="C664" s="1" t="s">
        <v>45</v>
      </c>
      <c r="D664" s="1" t="s">
        <v>22</v>
      </c>
      <c r="E664" s="12">
        <f>IF(LEN(regon9[[#This Row],[Regon]]) = 7,TEXT(regon9[[#This Row],[Regon]],"000000000"),regon9[[#This Row],[Regon]])</f>
        <v>67245817</v>
      </c>
      <c r="F66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664" s="1"/>
      <c r="H66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65" spans="1:8" x14ac:dyDescent="0.25">
      <c r="A665" s="1" t="s">
        <v>812</v>
      </c>
      <c r="B665" s="11">
        <v>67245824</v>
      </c>
      <c r="C665" s="1" t="s">
        <v>45</v>
      </c>
      <c r="D665" s="1" t="s">
        <v>22</v>
      </c>
      <c r="E665" s="12">
        <f>IF(LEN(regon9[[#This Row],[Regon]]) = 7,TEXT(regon9[[#This Row],[Regon]],"000000000"),regon9[[#This Row],[Regon]])</f>
        <v>67245824</v>
      </c>
      <c r="F66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665" s="1"/>
      <c r="H66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66" spans="1:8" x14ac:dyDescent="0.25">
      <c r="A666" s="1" t="s">
        <v>813</v>
      </c>
      <c r="B666" s="11">
        <v>67245830</v>
      </c>
      <c r="C666" s="1" t="s">
        <v>45</v>
      </c>
      <c r="D666" s="1" t="s">
        <v>22</v>
      </c>
      <c r="E666" s="12">
        <f>IF(LEN(regon9[[#This Row],[Regon]]) = 7,TEXT(regon9[[#This Row],[Regon]],"000000000"),regon9[[#This Row],[Regon]])</f>
        <v>67245830</v>
      </c>
      <c r="F66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666" s="1"/>
      <c r="H66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67" spans="1:8" x14ac:dyDescent="0.25">
      <c r="A667" s="1" t="s">
        <v>814</v>
      </c>
      <c r="B667" s="11">
        <v>67246734</v>
      </c>
      <c r="C667" s="1" t="s">
        <v>45</v>
      </c>
      <c r="D667" s="1" t="s">
        <v>22</v>
      </c>
      <c r="E667" s="12">
        <f>IF(LEN(regon9[[#This Row],[Regon]]) = 7,TEXT(regon9[[#This Row],[Regon]],"000000000"),regon9[[#This Row],[Regon]])</f>
        <v>67246734</v>
      </c>
      <c r="F66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667" s="1"/>
      <c r="H66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68" spans="1:8" x14ac:dyDescent="0.25">
      <c r="A668" s="1" t="s">
        <v>815</v>
      </c>
      <c r="B668" s="11">
        <v>67246739</v>
      </c>
      <c r="C668" s="1" t="s">
        <v>45</v>
      </c>
      <c r="D668" s="1" t="s">
        <v>22</v>
      </c>
      <c r="E668" s="12">
        <f>IF(LEN(regon9[[#This Row],[Regon]]) = 7,TEXT(regon9[[#This Row],[Regon]],"000000000"),regon9[[#This Row],[Regon]])</f>
        <v>67246739</v>
      </c>
      <c r="F66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668" s="1"/>
      <c r="H66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69" spans="1:8" x14ac:dyDescent="0.25">
      <c r="A669" s="1" t="s">
        <v>816</v>
      </c>
      <c r="B669" s="11">
        <v>67246796</v>
      </c>
      <c r="C669" s="1" t="s">
        <v>45</v>
      </c>
      <c r="D669" s="1" t="s">
        <v>22</v>
      </c>
      <c r="E669" s="12">
        <f>IF(LEN(regon9[[#This Row],[Regon]]) = 7,TEXT(regon9[[#This Row],[Regon]],"000000000"),regon9[[#This Row],[Regon]])</f>
        <v>67246796</v>
      </c>
      <c r="F66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669" s="1"/>
      <c r="H66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70" spans="1:8" x14ac:dyDescent="0.25">
      <c r="A670" s="1" t="s">
        <v>817</v>
      </c>
      <c r="B670" s="11">
        <v>67247465</v>
      </c>
      <c r="C670" s="1" t="s">
        <v>45</v>
      </c>
      <c r="D670" s="1" t="s">
        <v>22</v>
      </c>
      <c r="E670" s="12">
        <f>IF(LEN(regon9[[#This Row],[Regon]]) = 7,TEXT(regon9[[#This Row],[Regon]],"000000000"),regon9[[#This Row],[Regon]])</f>
        <v>67247465</v>
      </c>
      <c r="F67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670" s="1"/>
      <c r="H67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71" spans="1:8" x14ac:dyDescent="0.25">
      <c r="A671" s="1" t="s">
        <v>818</v>
      </c>
      <c r="B671" s="11">
        <v>67247729</v>
      </c>
      <c r="C671" s="1" t="s">
        <v>45</v>
      </c>
      <c r="D671" s="1" t="s">
        <v>22</v>
      </c>
      <c r="E671" s="12">
        <f>IF(LEN(regon9[[#This Row],[Regon]]) = 7,TEXT(regon9[[#This Row],[Regon]],"000000000"),regon9[[#This Row],[Regon]])</f>
        <v>67247729</v>
      </c>
      <c r="F67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671" s="1"/>
      <c r="H67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72" spans="1:8" x14ac:dyDescent="0.25">
      <c r="A672" s="1" t="s">
        <v>819</v>
      </c>
      <c r="B672" s="11">
        <v>67247750</v>
      </c>
      <c r="C672" s="1" t="s">
        <v>45</v>
      </c>
      <c r="D672" s="1" t="s">
        <v>22</v>
      </c>
      <c r="E672" s="12">
        <f>IF(LEN(regon9[[#This Row],[Regon]]) = 7,TEXT(regon9[[#This Row],[Regon]],"000000000"),regon9[[#This Row],[Regon]])</f>
        <v>67247750</v>
      </c>
      <c r="F67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672" s="1"/>
      <c r="H67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73" spans="1:8" x14ac:dyDescent="0.25">
      <c r="A673" s="1" t="s">
        <v>820</v>
      </c>
      <c r="B673" s="11">
        <v>30247927</v>
      </c>
      <c r="C673" s="1" t="s">
        <v>45</v>
      </c>
      <c r="D673" s="1" t="s">
        <v>22</v>
      </c>
      <c r="E673" s="12">
        <f>IF(LEN(regon9[[#This Row],[Regon]]) = 7,TEXT(regon9[[#This Row],[Regon]],"000000000"),regon9[[#This Row],[Regon]])</f>
        <v>30247927</v>
      </c>
      <c r="F67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673" s="1"/>
      <c r="H67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74" spans="1:8" x14ac:dyDescent="0.25">
      <c r="A674" s="1" t="s">
        <v>821</v>
      </c>
      <c r="B674" s="11">
        <v>30247929</v>
      </c>
      <c r="C674" s="1" t="s">
        <v>45</v>
      </c>
      <c r="D674" s="1" t="s">
        <v>22</v>
      </c>
      <c r="E674" s="12">
        <f>IF(LEN(regon9[[#This Row],[Regon]]) = 7,TEXT(regon9[[#This Row],[Regon]],"000000000"),regon9[[#This Row],[Regon]])</f>
        <v>30247929</v>
      </c>
      <c r="F67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674" s="1"/>
      <c r="H67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75" spans="1:8" x14ac:dyDescent="0.25">
      <c r="A675" s="1" t="s">
        <v>822</v>
      </c>
      <c r="B675" s="11">
        <v>30247954</v>
      </c>
      <c r="C675" s="1" t="s">
        <v>45</v>
      </c>
      <c r="D675" s="1" t="s">
        <v>22</v>
      </c>
      <c r="E675" s="12">
        <f>IF(LEN(regon9[[#This Row],[Regon]]) = 7,TEXT(regon9[[#This Row],[Regon]],"000000000"),regon9[[#This Row],[Regon]])</f>
        <v>30247954</v>
      </c>
      <c r="F67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675" s="1"/>
      <c r="H67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76" spans="1:8" x14ac:dyDescent="0.25">
      <c r="A676" s="1" t="s">
        <v>823</v>
      </c>
      <c r="B676" s="11">
        <v>30247955</v>
      </c>
      <c r="C676" s="1" t="s">
        <v>45</v>
      </c>
      <c r="D676" s="1" t="s">
        <v>22</v>
      </c>
      <c r="E676" s="12">
        <f>IF(LEN(regon9[[#This Row],[Regon]]) = 7,TEXT(regon9[[#This Row],[Regon]],"000000000"),regon9[[#This Row],[Regon]])</f>
        <v>30247955</v>
      </c>
      <c r="F67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676" s="1"/>
      <c r="H67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77" spans="1:8" x14ac:dyDescent="0.25">
      <c r="A677" s="1" t="s">
        <v>824</v>
      </c>
      <c r="B677" s="11">
        <v>30247964</v>
      </c>
      <c r="C677" s="1" t="s">
        <v>45</v>
      </c>
      <c r="D677" s="1" t="s">
        <v>22</v>
      </c>
      <c r="E677" s="12">
        <f>IF(LEN(regon9[[#This Row],[Regon]]) = 7,TEXT(regon9[[#This Row],[Regon]],"000000000"),regon9[[#This Row],[Regon]])</f>
        <v>30247964</v>
      </c>
      <c r="F67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677" s="1"/>
      <c r="H67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78" spans="1:8" x14ac:dyDescent="0.25">
      <c r="A678" s="1" t="s">
        <v>825</v>
      </c>
      <c r="B678" s="11">
        <v>30248620</v>
      </c>
      <c r="C678" s="1" t="s">
        <v>45</v>
      </c>
      <c r="D678" s="1" t="s">
        <v>22</v>
      </c>
      <c r="E678" s="12">
        <f>IF(LEN(regon9[[#This Row],[Regon]]) = 7,TEXT(regon9[[#This Row],[Regon]],"000000000"),regon9[[#This Row],[Regon]])</f>
        <v>30248620</v>
      </c>
      <c r="F67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678" s="1"/>
      <c r="H67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79" spans="1:8" x14ac:dyDescent="0.25">
      <c r="A679" s="1" t="s">
        <v>826</v>
      </c>
      <c r="B679" s="11">
        <v>30249167</v>
      </c>
      <c r="C679" s="1" t="s">
        <v>45</v>
      </c>
      <c r="D679" s="1" t="s">
        <v>22</v>
      </c>
      <c r="E679" s="12">
        <f>IF(LEN(regon9[[#This Row],[Regon]]) = 7,TEXT(regon9[[#This Row],[Regon]],"000000000"),regon9[[#This Row],[Regon]])</f>
        <v>30249167</v>
      </c>
      <c r="F67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679" s="1"/>
      <c r="H67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80" spans="1:8" x14ac:dyDescent="0.25">
      <c r="A680" s="1" t="s">
        <v>827</v>
      </c>
      <c r="B680" s="11">
        <v>30250870</v>
      </c>
      <c r="C680" s="1" t="s">
        <v>45</v>
      </c>
      <c r="D680" s="1" t="s">
        <v>22</v>
      </c>
      <c r="E680" s="12">
        <f>IF(LEN(regon9[[#This Row],[Regon]]) = 7,TEXT(regon9[[#This Row],[Regon]],"000000000"),regon9[[#This Row],[Regon]])</f>
        <v>30250870</v>
      </c>
      <c r="F68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680" s="1"/>
      <c r="H68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81" spans="1:8" x14ac:dyDescent="0.25">
      <c r="A681" s="1" t="s">
        <v>828</v>
      </c>
      <c r="B681" s="11">
        <v>30251003</v>
      </c>
      <c r="C681" s="1" t="s">
        <v>45</v>
      </c>
      <c r="D681" s="1" t="s">
        <v>22</v>
      </c>
      <c r="E681" s="12">
        <f>IF(LEN(regon9[[#This Row],[Regon]]) = 7,TEXT(regon9[[#This Row],[Regon]],"000000000"),regon9[[#This Row],[Regon]])</f>
        <v>30251003</v>
      </c>
      <c r="F68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681" s="1"/>
      <c r="H68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82" spans="1:8" x14ac:dyDescent="0.25">
      <c r="A682" s="1" t="s">
        <v>829</v>
      </c>
      <c r="B682" s="11">
        <v>30251005</v>
      </c>
      <c r="C682" s="1" t="s">
        <v>45</v>
      </c>
      <c r="D682" s="1" t="s">
        <v>22</v>
      </c>
      <c r="E682" s="12">
        <f>IF(LEN(regon9[[#This Row],[Regon]]) = 7,TEXT(regon9[[#This Row],[Regon]],"000000000"),regon9[[#This Row],[Regon]])</f>
        <v>30251005</v>
      </c>
      <c r="F68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682" s="1"/>
      <c r="H68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83" spans="1:8" x14ac:dyDescent="0.25">
      <c r="A683" s="1" t="s">
        <v>830</v>
      </c>
      <c r="B683" s="11">
        <v>30251010</v>
      </c>
      <c r="C683" s="1" t="s">
        <v>45</v>
      </c>
      <c r="D683" s="1" t="s">
        <v>22</v>
      </c>
      <c r="E683" s="12">
        <f>IF(LEN(regon9[[#This Row],[Regon]]) = 7,TEXT(regon9[[#This Row],[Regon]],"000000000"),regon9[[#This Row],[Regon]])</f>
        <v>30251010</v>
      </c>
      <c r="F68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683" s="1"/>
      <c r="H68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84" spans="1:8" x14ac:dyDescent="0.25">
      <c r="A684" s="1" t="s">
        <v>831</v>
      </c>
      <c r="B684" s="11">
        <v>30251011</v>
      </c>
      <c r="C684" s="1" t="s">
        <v>45</v>
      </c>
      <c r="D684" s="1" t="s">
        <v>22</v>
      </c>
      <c r="E684" s="12">
        <f>IF(LEN(regon9[[#This Row],[Regon]]) = 7,TEXT(regon9[[#This Row],[Regon]],"000000000"),regon9[[#This Row],[Regon]])</f>
        <v>30251011</v>
      </c>
      <c r="F68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684" s="1"/>
      <c r="H68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85" spans="1:8" x14ac:dyDescent="0.25">
      <c r="A685" s="1" t="s">
        <v>832</v>
      </c>
      <c r="B685" s="11">
        <v>30251999</v>
      </c>
      <c r="C685" s="1" t="s">
        <v>45</v>
      </c>
      <c r="D685" s="1" t="s">
        <v>22</v>
      </c>
      <c r="E685" s="12">
        <f>IF(LEN(regon9[[#This Row],[Regon]]) = 7,TEXT(regon9[[#This Row],[Regon]],"000000000"),regon9[[#This Row],[Regon]])</f>
        <v>30251999</v>
      </c>
      <c r="F68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685" s="1"/>
      <c r="H68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86" spans="1:8" x14ac:dyDescent="0.25">
      <c r="A686" s="1" t="s">
        <v>833</v>
      </c>
      <c r="B686" s="11">
        <v>30252026</v>
      </c>
      <c r="C686" s="1" t="s">
        <v>45</v>
      </c>
      <c r="D686" s="1" t="s">
        <v>22</v>
      </c>
      <c r="E686" s="12">
        <f>IF(LEN(regon9[[#This Row],[Regon]]) = 7,TEXT(regon9[[#This Row],[Regon]],"000000000"),regon9[[#This Row],[Regon]])</f>
        <v>30252026</v>
      </c>
      <c r="F68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686" s="1"/>
      <c r="H68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87" spans="1:8" x14ac:dyDescent="0.25">
      <c r="A687" s="1" t="s">
        <v>834</v>
      </c>
      <c r="B687" s="11">
        <v>30252411</v>
      </c>
      <c r="C687" s="1" t="s">
        <v>45</v>
      </c>
      <c r="D687" s="1" t="s">
        <v>22</v>
      </c>
      <c r="E687" s="12">
        <f>IF(LEN(regon9[[#This Row],[Regon]]) = 7,TEXT(regon9[[#This Row],[Regon]],"000000000"),regon9[[#This Row],[Regon]])</f>
        <v>30252411</v>
      </c>
      <c r="F68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687" s="1"/>
      <c r="H68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88" spans="1:8" x14ac:dyDescent="0.25">
      <c r="A688" s="1" t="s">
        <v>835</v>
      </c>
      <c r="B688" s="11">
        <v>30253712</v>
      </c>
      <c r="C688" s="1" t="s">
        <v>45</v>
      </c>
      <c r="D688" s="1" t="s">
        <v>22</v>
      </c>
      <c r="E688" s="12">
        <f>IF(LEN(regon9[[#This Row],[Regon]]) = 7,TEXT(regon9[[#This Row],[Regon]],"000000000"),regon9[[#This Row],[Regon]])</f>
        <v>30253712</v>
      </c>
      <c r="F68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688" s="1"/>
      <c r="H68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89" spans="1:8" x14ac:dyDescent="0.25">
      <c r="A689" s="1" t="s">
        <v>836</v>
      </c>
      <c r="B689" s="11">
        <v>30254226</v>
      </c>
      <c r="C689" s="1" t="s">
        <v>45</v>
      </c>
      <c r="D689" s="1" t="s">
        <v>22</v>
      </c>
      <c r="E689" s="12">
        <f>IF(LEN(regon9[[#This Row],[Regon]]) = 7,TEXT(regon9[[#This Row],[Regon]],"000000000"),regon9[[#This Row],[Regon]])</f>
        <v>30254226</v>
      </c>
      <c r="F68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689" s="1"/>
      <c r="H68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90" spans="1:8" x14ac:dyDescent="0.25">
      <c r="A690" s="1" t="s">
        <v>837</v>
      </c>
      <c r="B690" s="11">
        <v>30255050</v>
      </c>
      <c r="C690" s="1" t="s">
        <v>45</v>
      </c>
      <c r="D690" s="1" t="s">
        <v>22</v>
      </c>
      <c r="E690" s="12">
        <f>IF(LEN(regon9[[#This Row],[Regon]]) = 7,TEXT(regon9[[#This Row],[Regon]],"000000000"),regon9[[#This Row],[Regon]])</f>
        <v>30255050</v>
      </c>
      <c r="F69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690" s="1"/>
      <c r="H69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91" spans="1:8" x14ac:dyDescent="0.25">
      <c r="A691" s="1" t="s">
        <v>838</v>
      </c>
      <c r="B691" s="11">
        <v>22255523</v>
      </c>
      <c r="C691" s="1" t="s">
        <v>45</v>
      </c>
      <c r="D691" s="1" t="s">
        <v>22</v>
      </c>
      <c r="E691" s="12">
        <f>IF(LEN(regon9[[#This Row],[Regon]]) = 7,TEXT(regon9[[#This Row],[Regon]],"000000000"),regon9[[#This Row],[Regon]])</f>
        <v>22255523</v>
      </c>
      <c r="F69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691" s="1"/>
      <c r="H69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92" spans="1:8" x14ac:dyDescent="0.25">
      <c r="A692" s="1" t="s">
        <v>839</v>
      </c>
      <c r="B692" s="11">
        <v>22255526</v>
      </c>
      <c r="C692" s="1" t="s">
        <v>45</v>
      </c>
      <c r="D692" s="1" t="s">
        <v>22</v>
      </c>
      <c r="E692" s="12">
        <f>IF(LEN(regon9[[#This Row],[Regon]]) = 7,TEXT(regon9[[#This Row],[Regon]],"000000000"),regon9[[#This Row],[Regon]])</f>
        <v>22255526</v>
      </c>
      <c r="F69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692" s="1"/>
      <c r="H69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93" spans="1:8" x14ac:dyDescent="0.25">
      <c r="A693" s="1" t="s">
        <v>840</v>
      </c>
      <c r="B693" s="11">
        <v>22255835</v>
      </c>
      <c r="C693" s="1" t="s">
        <v>45</v>
      </c>
      <c r="D693" s="1" t="s">
        <v>22</v>
      </c>
      <c r="E693" s="12">
        <f>IF(LEN(regon9[[#This Row],[Regon]]) = 7,TEXT(regon9[[#This Row],[Regon]],"000000000"),regon9[[#This Row],[Regon]])</f>
        <v>22255835</v>
      </c>
      <c r="F69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693" s="1"/>
      <c r="H69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94" spans="1:8" x14ac:dyDescent="0.25">
      <c r="A694" s="1" t="s">
        <v>841</v>
      </c>
      <c r="B694" s="11">
        <v>22255951</v>
      </c>
      <c r="C694" s="1" t="s">
        <v>45</v>
      </c>
      <c r="D694" s="1" t="s">
        <v>22</v>
      </c>
      <c r="E694" s="12">
        <f>IF(LEN(regon9[[#This Row],[Regon]]) = 7,TEXT(regon9[[#This Row],[Regon]],"000000000"),regon9[[#This Row],[Regon]])</f>
        <v>22255951</v>
      </c>
      <c r="F69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694" s="1"/>
      <c r="H69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95" spans="1:8" x14ac:dyDescent="0.25">
      <c r="A695" s="1" t="s">
        <v>842</v>
      </c>
      <c r="B695" s="11">
        <v>22256668</v>
      </c>
      <c r="C695" s="1" t="s">
        <v>45</v>
      </c>
      <c r="D695" s="1" t="s">
        <v>22</v>
      </c>
      <c r="E695" s="12">
        <f>IF(LEN(regon9[[#This Row],[Regon]]) = 7,TEXT(regon9[[#This Row],[Regon]],"000000000"),regon9[[#This Row],[Regon]])</f>
        <v>22256668</v>
      </c>
      <c r="F69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695" s="1"/>
      <c r="H69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96" spans="1:8" x14ac:dyDescent="0.25">
      <c r="A696" s="1" t="s">
        <v>843</v>
      </c>
      <c r="B696" s="11">
        <v>22257897</v>
      </c>
      <c r="C696" s="1" t="s">
        <v>45</v>
      </c>
      <c r="D696" s="1" t="s">
        <v>22</v>
      </c>
      <c r="E696" s="12">
        <f>IF(LEN(regon9[[#This Row],[Regon]]) = 7,TEXT(regon9[[#This Row],[Regon]],"000000000"),regon9[[#This Row],[Regon]])</f>
        <v>22257897</v>
      </c>
      <c r="F69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696" s="1"/>
      <c r="H69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97" spans="1:8" x14ac:dyDescent="0.25">
      <c r="A697" s="1" t="s">
        <v>844</v>
      </c>
      <c r="B697" s="11">
        <v>22258613</v>
      </c>
      <c r="C697" s="1" t="s">
        <v>45</v>
      </c>
      <c r="D697" s="1" t="s">
        <v>22</v>
      </c>
      <c r="E697" s="12">
        <f>IF(LEN(regon9[[#This Row],[Regon]]) = 7,TEXT(regon9[[#This Row],[Regon]],"000000000"),regon9[[#This Row],[Regon]])</f>
        <v>22258613</v>
      </c>
      <c r="F69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697" s="1"/>
      <c r="H69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98" spans="1:8" x14ac:dyDescent="0.25">
      <c r="A698" s="1" t="s">
        <v>845</v>
      </c>
      <c r="B698" s="11">
        <v>22259517</v>
      </c>
      <c r="C698" s="1" t="s">
        <v>45</v>
      </c>
      <c r="D698" s="1" t="s">
        <v>22</v>
      </c>
      <c r="E698" s="12">
        <f>IF(LEN(regon9[[#This Row],[Regon]]) = 7,TEXT(regon9[[#This Row],[Regon]],"000000000"),regon9[[#This Row],[Regon]])</f>
        <v>22259517</v>
      </c>
      <c r="F69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698" s="1"/>
      <c r="H69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699" spans="1:8" x14ac:dyDescent="0.25">
      <c r="A699" s="1" t="s">
        <v>846</v>
      </c>
      <c r="B699" s="11">
        <v>22259898</v>
      </c>
      <c r="C699" s="1" t="s">
        <v>45</v>
      </c>
      <c r="D699" s="1" t="s">
        <v>22</v>
      </c>
      <c r="E699" s="12">
        <f>IF(LEN(regon9[[#This Row],[Regon]]) = 7,TEXT(regon9[[#This Row],[Regon]],"000000000"),regon9[[#This Row],[Regon]])</f>
        <v>22259898</v>
      </c>
      <c r="F69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699" s="1"/>
      <c r="H69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00" spans="1:8" x14ac:dyDescent="0.25">
      <c r="A700" s="1" t="s">
        <v>847</v>
      </c>
      <c r="B700" s="11">
        <v>22260170</v>
      </c>
      <c r="C700" s="1" t="s">
        <v>45</v>
      </c>
      <c r="D700" s="1" t="s">
        <v>22</v>
      </c>
      <c r="E700" s="12">
        <f>IF(LEN(regon9[[#This Row],[Regon]]) = 7,TEXT(regon9[[#This Row],[Regon]],"000000000"),regon9[[#This Row],[Regon]])</f>
        <v>22260170</v>
      </c>
      <c r="F70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700" s="1"/>
      <c r="H70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01" spans="1:8" x14ac:dyDescent="0.25">
      <c r="A701" s="1" t="s">
        <v>848</v>
      </c>
      <c r="B701" s="11">
        <v>22261238</v>
      </c>
      <c r="C701" s="1" t="s">
        <v>45</v>
      </c>
      <c r="D701" s="1" t="s">
        <v>22</v>
      </c>
      <c r="E701" s="12">
        <f>IF(LEN(regon9[[#This Row],[Regon]]) = 7,TEXT(regon9[[#This Row],[Regon]],"000000000"),regon9[[#This Row],[Regon]])</f>
        <v>22261238</v>
      </c>
      <c r="F70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701" s="1"/>
      <c r="H70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02" spans="1:8" x14ac:dyDescent="0.25">
      <c r="A702" s="1" t="s">
        <v>849</v>
      </c>
      <c r="B702" s="11">
        <v>22261766</v>
      </c>
      <c r="C702" s="1" t="s">
        <v>45</v>
      </c>
      <c r="D702" s="1" t="s">
        <v>22</v>
      </c>
      <c r="E702" s="12">
        <f>IF(LEN(regon9[[#This Row],[Regon]]) = 7,TEXT(regon9[[#This Row],[Regon]],"000000000"),regon9[[#This Row],[Regon]])</f>
        <v>22261766</v>
      </c>
      <c r="F70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702" s="1"/>
      <c r="H70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03" spans="1:8" x14ac:dyDescent="0.25">
      <c r="A703" s="1" t="s">
        <v>850</v>
      </c>
      <c r="B703" s="11">
        <v>22262563</v>
      </c>
      <c r="C703" s="1" t="s">
        <v>45</v>
      </c>
      <c r="D703" s="1" t="s">
        <v>22</v>
      </c>
      <c r="E703" s="12">
        <f>IF(LEN(regon9[[#This Row],[Regon]]) = 7,TEXT(regon9[[#This Row],[Regon]],"000000000"),regon9[[#This Row],[Regon]])</f>
        <v>22262563</v>
      </c>
      <c r="F70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703" s="1"/>
      <c r="H70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04" spans="1:8" x14ac:dyDescent="0.25">
      <c r="A704" s="1" t="s">
        <v>851</v>
      </c>
      <c r="B704" s="11">
        <v>22262620</v>
      </c>
      <c r="C704" s="1" t="s">
        <v>45</v>
      </c>
      <c r="D704" s="1" t="s">
        <v>22</v>
      </c>
      <c r="E704" s="12">
        <f>IF(LEN(regon9[[#This Row],[Regon]]) = 7,TEXT(regon9[[#This Row],[Regon]],"000000000"),regon9[[#This Row],[Regon]])</f>
        <v>22262620</v>
      </c>
      <c r="F70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704" s="1"/>
      <c r="H70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05" spans="1:8" x14ac:dyDescent="0.25">
      <c r="A705" s="1" t="s">
        <v>852</v>
      </c>
      <c r="B705" s="11">
        <v>22262622</v>
      </c>
      <c r="C705" s="1" t="s">
        <v>45</v>
      </c>
      <c r="D705" s="1" t="s">
        <v>22</v>
      </c>
      <c r="E705" s="12">
        <f>IF(LEN(regon9[[#This Row],[Regon]]) = 7,TEXT(regon9[[#This Row],[Regon]],"000000000"),regon9[[#This Row],[Regon]])</f>
        <v>22262622</v>
      </c>
      <c r="F70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705" s="1"/>
      <c r="H70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06" spans="1:8" x14ac:dyDescent="0.25">
      <c r="A706" s="1" t="s">
        <v>853</v>
      </c>
      <c r="B706" s="11">
        <v>22039619</v>
      </c>
      <c r="C706" s="1" t="s">
        <v>21</v>
      </c>
      <c r="D706" s="1" t="s">
        <v>22</v>
      </c>
      <c r="E706" s="12">
        <f>IF(LEN(regon9[[#This Row],[Regon]]) = 7,TEXT(regon9[[#This Row],[Regon]],"000000000"),regon9[[#This Row],[Regon]])</f>
        <v>22039619</v>
      </c>
      <c r="F70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2</v>
      </c>
      <c r="G706" s="1"/>
      <c r="H70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07" spans="1:8" x14ac:dyDescent="0.25">
      <c r="A707" s="1" t="s">
        <v>854</v>
      </c>
      <c r="B707" s="11">
        <v>22075759</v>
      </c>
      <c r="C707" s="1" t="s">
        <v>21</v>
      </c>
      <c r="D707" s="1" t="s">
        <v>22</v>
      </c>
      <c r="E707" s="12">
        <f>IF(LEN(regon9[[#This Row],[Regon]]) = 7,TEXT(regon9[[#This Row],[Regon]],"000000000"),regon9[[#This Row],[Regon]])</f>
        <v>22075759</v>
      </c>
      <c r="F70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707" s="1"/>
      <c r="H70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08" spans="1:8" x14ac:dyDescent="0.25">
      <c r="A708" s="1" t="s">
        <v>855</v>
      </c>
      <c r="B708" s="11">
        <v>22131648</v>
      </c>
      <c r="C708" s="1" t="s">
        <v>21</v>
      </c>
      <c r="D708" s="1" t="s">
        <v>856</v>
      </c>
      <c r="E708" s="12">
        <f>IF(LEN(regon9[[#This Row],[Regon]]) = 7,TEXT(regon9[[#This Row],[Regon]],"000000000"),regon9[[#This Row],[Regon]])</f>
        <v>22131648</v>
      </c>
      <c r="F70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708" s="1"/>
      <c r="H70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09" spans="1:8" x14ac:dyDescent="0.25">
      <c r="A709" s="1" t="s">
        <v>857</v>
      </c>
      <c r="B709" s="11">
        <v>22110925</v>
      </c>
      <c r="C709" s="1" t="s">
        <v>21</v>
      </c>
      <c r="D709" s="1" t="s">
        <v>22</v>
      </c>
      <c r="E709" s="12">
        <f>IF(LEN(regon9[[#This Row],[Regon]]) = 7,TEXT(regon9[[#This Row],[Regon]],"000000000"),regon9[[#This Row],[Regon]])</f>
        <v>22110925</v>
      </c>
      <c r="F70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10</v>
      </c>
      <c r="G709" s="1"/>
      <c r="H70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10" spans="1:8" x14ac:dyDescent="0.25">
      <c r="A710" s="1" t="s">
        <v>858</v>
      </c>
      <c r="B710" s="11">
        <v>22045259</v>
      </c>
      <c r="C710" s="1" t="s">
        <v>21</v>
      </c>
      <c r="D710" s="1" t="s">
        <v>859</v>
      </c>
      <c r="E710" s="12">
        <f>IF(LEN(regon9[[#This Row],[Regon]]) = 7,TEXT(regon9[[#This Row],[Regon]],"000000000"),regon9[[#This Row],[Regon]])</f>
        <v>22045259</v>
      </c>
      <c r="F71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710" s="1"/>
      <c r="H71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11" spans="1:8" x14ac:dyDescent="0.25">
      <c r="A711" s="1" t="s">
        <v>860</v>
      </c>
      <c r="B711" s="11">
        <v>36175947</v>
      </c>
      <c r="C711" s="1" t="s">
        <v>21</v>
      </c>
      <c r="D711" s="1" t="s">
        <v>22</v>
      </c>
      <c r="E711" s="12">
        <f>IF(LEN(regon9[[#This Row],[Regon]]) = 7,TEXT(regon9[[#This Row],[Regon]],"000000000"),regon9[[#This Row],[Regon]])</f>
        <v>36175947</v>
      </c>
      <c r="F71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711" s="1"/>
      <c r="H71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12" spans="1:8" x14ac:dyDescent="0.25">
      <c r="A712" s="1" t="s">
        <v>861</v>
      </c>
      <c r="B712" s="11">
        <v>36334310</v>
      </c>
      <c r="C712" s="1" t="s">
        <v>21</v>
      </c>
      <c r="D712" s="1" t="s">
        <v>22</v>
      </c>
      <c r="E712" s="12">
        <f>IF(LEN(regon9[[#This Row],[Regon]]) = 7,TEXT(regon9[[#This Row],[Regon]],"000000000"),regon9[[#This Row],[Regon]])</f>
        <v>36334310</v>
      </c>
      <c r="F71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712" s="1"/>
      <c r="H71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13" spans="1:8" x14ac:dyDescent="0.25">
      <c r="A713" s="1" t="s">
        <v>862</v>
      </c>
      <c r="B713" s="11">
        <v>63033559</v>
      </c>
      <c r="C713" s="1" t="s">
        <v>21</v>
      </c>
      <c r="D713" s="1" t="s">
        <v>22</v>
      </c>
      <c r="E713" s="12">
        <f>IF(LEN(regon9[[#This Row],[Regon]]) = 7,TEXT(regon9[[#This Row],[Regon]],"000000000"),regon9[[#This Row],[Regon]])</f>
        <v>63033559</v>
      </c>
      <c r="F71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713" s="1"/>
      <c r="H71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14" spans="1:8" x14ac:dyDescent="0.25">
      <c r="A714" s="1" t="s">
        <v>863</v>
      </c>
      <c r="B714" s="11">
        <v>63084903</v>
      </c>
      <c r="C714" s="1" t="s">
        <v>21</v>
      </c>
      <c r="D714" s="1" t="s">
        <v>73</v>
      </c>
      <c r="E714" s="12">
        <f>IF(LEN(regon9[[#This Row],[Regon]]) = 7,TEXT(regon9[[#This Row],[Regon]],"000000000"),regon9[[#This Row],[Regon]])</f>
        <v>63084903</v>
      </c>
      <c r="F71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714" s="1"/>
      <c r="H71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15" spans="1:8" x14ac:dyDescent="0.25">
      <c r="A715" s="1" t="s">
        <v>864</v>
      </c>
      <c r="B715" s="11">
        <v>63107176</v>
      </c>
      <c r="C715" s="1" t="s">
        <v>21</v>
      </c>
      <c r="D715" s="1" t="s">
        <v>865</v>
      </c>
      <c r="E715" s="12">
        <f>IF(LEN(regon9[[#This Row],[Regon]]) = 7,TEXT(regon9[[#This Row],[Regon]],"000000000"),regon9[[#This Row],[Regon]])</f>
        <v>63107176</v>
      </c>
      <c r="F71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715" s="1"/>
      <c r="H71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16" spans="1:8" x14ac:dyDescent="0.25">
      <c r="A716" s="1" t="s">
        <v>866</v>
      </c>
      <c r="B716" s="11">
        <v>63425918</v>
      </c>
      <c r="C716" s="1" t="s">
        <v>21</v>
      </c>
      <c r="D716" s="1" t="s">
        <v>867</v>
      </c>
      <c r="E716" s="12">
        <f>IF(LEN(regon9[[#This Row],[Regon]]) = 7,TEXT(regon9[[#This Row],[Regon]],"000000000"),regon9[[#This Row],[Regon]])</f>
        <v>63425918</v>
      </c>
      <c r="F71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716" s="1"/>
      <c r="H71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17" spans="1:8" x14ac:dyDescent="0.25">
      <c r="A717" s="1" t="s">
        <v>95</v>
      </c>
      <c r="B717" s="11">
        <v>63433010</v>
      </c>
      <c r="C717" s="1" t="s">
        <v>21</v>
      </c>
      <c r="D717" s="1" t="s">
        <v>868</v>
      </c>
      <c r="E717" s="12">
        <f>IF(LEN(regon9[[#This Row],[Regon]]) = 7,TEXT(regon9[[#This Row],[Regon]],"000000000"),regon9[[#This Row],[Regon]])</f>
        <v>63433010</v>
      </c>
      <c r="F71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717" s="1"/>
      <c r="H71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18" spans="1:8" x14ac:dyDescent="0.25">
      <c r="A718" s="1" t="s">
        <v>869</v>
      </c>
      <c r="B718" s="11">
        <v>63453589</v>
      </c>
      <c r="C718" s="1" t="s">
        <v>21</v>
      </c>
      <c r="D718" s="1" t="s">
        <v>870</v>
      </c>
      <c r="E718" s="12">
        <f>IF(LEN(regon9[[#This Row],[Regon]]) = 7,TEXT(regon9[[#This Row],[Regon]],"000000000"),regon9[[#This Row],[Regon]])</f>
        <v>63453589</v>
      </c>
      <c r="F71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718" s="1"/>
      <c r="H71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19" spans="1:8" x14ac:dyDescent="0.25">
      <c r="A719" s="1" t="s">
        <v>871</v>
      </c>
      <c r="B719" s="11">
        <v>63977447</v>
      </c>
      <c r="C719" s="1" t="s">
        <v>21</v>
      </c>
      <c r="D719" s="1" t="s">
        <v>22</v>
      </c>
      <c r="E719" s="12">
        <f>IF(LEN(regon9[[#This Row],[Regon]]) = 7,TEXT(regon9[[#This Row],[Regon]],"000000000"),regon9[[#This Row],[Regon]])</f>
        <v>63977447</v>
      </c>
      <c r="F71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719" s="1"/>
      <c r="H71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20" spans="1:8" x14ac:dyDescent="0.25">
      <c r="A720" s="1" t="s">
        <v>872</v>
      </c>
      <c r="B720" s="11">
        <v>63979648</v>
      </c>
      <c r="C720" s="1" t="s">
        <v>21</v>
      </c>
      <c r="D720" s="1" t="s">
        <v>873</v>
      </c>
      <c r="E720" s="12">
        <f>IF(LEN(regon9[[#This Row],[Regon]]) = 7,TEXT(regon9[[#This Row],[Regon]],"000000000"),regon9[[#This Row],[Regon]])</f>
        <v>63979648</v>
      </c>
      <c r="F72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720" s="1"/>
      <c r="H72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21" spans="1:8" x14ac:dyDescent="0.25">
      <c r="A721" s="1" t="s">
        <v>874</v>
      </c>
      <c r="B721" s="11">
        <v>63030895</v>
      </c>
      <c r="C721" s="1" t="s">
        <v>45</v>
      </c>
      <c r="D721" s="1" t="s">
        <v>22</v>
      </c>
      <c r="E721" s="12">
        <f>IF(LEN(regon9[[#This Row],[Regon]]) = 7,TEXT(regon9[[#This Row],[Regon]],"000000000"),regon9[[#This Row],[Regon]])</f>
        <v>63030895</v>
      </c>
      <c r="F72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721" s="1"/>
      <c r="H72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22" spans="1:8" x14ac:dyDescent="0.25">
      <c r="A722" s="1" t="s">
        <v>875</v>
      </c>
      <c r="B722" s="11">
        <v>63083191</v>
      </c>
      <c r="C722" s="1" t="s">
        <v>45</v>
      </c>
      <c r="D722" s="1" t="s">
        <v>876</v>
      </c>
      <c r="E722" s="12">
        <f>IF(LEN(regon9[[#This Row],[Regon]]) = 7,TEXT(regon9[[#This Row],[Regon]],"000000000"),regon9[[#This Row],[Regon]])</f>
        <v>63083191</v>
      </c>
      <c r="F72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722" s="1"/>
      <c r="H72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23" spans="1:8" x14ac:dyDescent="0.25">
      <c r="A723" s="1" t="s">
        <v>877</v>
      </c>
      <c r="B723" s="11">
        <v>301135450004</v>
      </c>
      <c r="C723" s="1" t="s">
        <v>51</v>
      </c>
      <c r="D723" s="1" t="s">
        <v>22</v>
      </c>
      <c r="E723" s="12">
        <f>IF(LEN(regon9[[#This Row],[Regon]]) = 7,TEXT(regon9[[#This Row],[Regon]],"000000000"),regon9[[#This Row],[Regon]])</f>
        <v>301135450004</v>
      </c>
      <c r="F72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723" s="1"/>
      <c r="H723" s="1" t="e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#VALUE!</v>
      </c>
    </row>
    <row r="724" spans="1:8" x14ac:dyDescent="0.25">
      <c r="A724" s="1" t="s">
        <v>878</v>
      </c>
      <c r="B724" s="11">
        <v>380569</v>
      </c>
      <c r="C724" s="1" t="s">
        <v>21</v>
      </c>
      <c r="D724" s="1" t="s">
        <v>22</v>
      </c>
      <c r="E724" s="12">
        <f>IF(LEN(regon9[[#This Row],[Regon]]) = 7,TEXT(regon9[[#This Row],[Regon]],"000000000"),regon9[[#This Row],[Regon]])</f>
        <v>380569</v>
      </c>
      <c r="F72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724" s="1"/>
      <c r="H72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25" spans="1:8" x14ac:dyDescent="0.25">
      <c r="A725" s="1" t="s">
        <v>879</v>
      </c>
      <c r="B725" s="11">
        <v>381267</v>
      </c>
      <c r="C725" s="1" t="s">
        <v>21</v>
      </c>
      <c r="D725" s="1" t="s">
        <v>22</v>
      </c>
      <c r="E725" s="12">
        <f>IF(LEN(regon9[[#This Row],[Regon]]) = 7,TEXT(regon9[[#This Row],[Regon]],"000000000"),regon9[[#This Row],[Regon]])</f>
        <v>381267</v>
      </c>
      <c r="F72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725" s="1"/>
      <c r="H72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26" spans="1:8" x14ac:dyDescent="0.25">
      <c r="A726" s="1" t="s">
        <v>880</v>
      </c>
      <c r="B726" s="11">
        <v>381312</v>
      </c>
      <c r="C726" s="1" t="s">
        <v>21</v>
      </c>
      <c r="D726" s="1" t="s">
        <v>22</v>
      </c>
      <c r="E726" s="12">
        <f>IF(LEN(regon9[[#This Row],[Regon]]) = 7,TEXT(regon9[[#This Row],[Regon]],"000000000"),regon9[[#This Row],[Regon]])</f>
        <v>381312</v>
      </c>
      <c r="F72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726" s="1"/>
      <c r="H72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27" spans="1:8" x14ac:dyDescent="0.25">
      <c r="A727" s="1" t="s">
        <v>881</v>
      </c>
      <c r="B727" s="11">
        <v>381859</v>
      </c>
      <c r="C727" s="1" t="s">
        <v>21</v>
      </c>
      <c r="D727" s="1" t="s">
        <v>882</v>
      </c>
      <c r="E727" s="12">
        <f>IF(LEN(regon9[[#This Row],[Regon]]) = 7,TEXT(regon9[[#This Row],[Regon]],"000000000"),regon9[[#This Row],[Regon]])</f>
        <v>381859</v>
      </c>
      <c r="F72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727" s="1"/>
      <c r="H72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28" spans="1:8" x14ac:dyDescent="0.25">
      <c r="A728" s="1" t="s">
        <v>883</v>
      </c>
      <c r="B728" s="11">
        <v>382111</v>
      </c>
      <c r="C728" s="1" t="s">
        <v>21</v>
      </c>
      <c r="D728" s="1" t="s">
        <v>884</v>
      </c>
      <c r="E728" s="12">
        <f>IF(LEN(regon9[[#This Row],[Regon]]) = 7,TEXT(regon9[[#This Row],[Regon]],"000000000"),regon9[[#This Row],[Regon]])</f>
        <v>382111</v>
      </c>
      <c r="F728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728" s="1"/>
      <c r="H72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29" spans="1:8" x14ac:dyDescent="0.25">
      <c r="A729" s="1" t="s">
        <v>885</v>
      </c>
      <c r="B729" s="11">
        <v>382125</v>
      </c>
      <c r="C729" s="1" t="s">
        <v>21</v>
      </c>
      <c r="D729" s="1" t="s">
        <v>886</v>
      </c>
      <c r="E729" s="12">
        <f>IF(LEN(regon9[[#This Row],[Regon]]) = 7,TEXT(regon9[[#This Row],[Regon]],"000000000"),regon9[[#This Row],[Regon]])</f>
        <v>382125</v>
      </c>
      <c r="F729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729" s="1"/>
      <c r="H72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30" spans="1:8" x14ac:dyDescent="0.25">
      <c r="A730" s="1" t="s">
        <v>887</v>
      </c>
      <c r="B730" s="11">
        <v>382635</v>
      </c>
      <c r="C730" s="1" t="s">
        <v>21</v>
      </c>
      <c r="D730" s="1" t="s">
        <v>22</v>
      </c>
      <c r="E730" s="12">
        <f>IF(LEN(regon9[[#This Row],[Regon]]) = 7,TEXT(regon9[[#This Row],[Regon]],"000000000"),regon9[[#This Row],[Regon]])</f>
        <v>382635</v>
      </c>
      <c r="F730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730" s="1"/>
      <c r="H73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31" spans="1:8" x14ac:dyDescent="0.25">
      <c r="A731" s="1" t="s">
        <v>888</v>
      </c>
      <c r="B731" s="11">
        <v>383185</v>
      </c>
      <c r="C731" s="1" t="s">
        <v>21</v>
      </c>
      <c r="D731" s="1" t="s">
        <v>22</v>
      </c>
      <c r="E731" s="12">
        <f>IF(LEN(regon9[[#This Row],[Regon]]) = 7,TEXT(regon9[[#This Row],[Regon]],"000000000"),regon9[[#This Row],[Regon]])</f>
        <v>383185</v>
      </c>
      <c r="F731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731" s="1"/>
      <c r="H73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32" spans="1:8" x14ac:dyDescent="0.25">
      <c r="A732" s="1" t="s">
        <v>889</v>
      </c>
      <c r="B732" s="11">
        <v>383186</v>
      </c>
      <c r="C732" s="1" t="s">
        <v>21</v>
      </c>
      <c r="D732" s="1" t="s">
        <v>890</v>
      </c>
      <c r="E732" s="12">
        <f>IF(LEN(regon9[[#This Row],[Regon]]) = 7,TEXT(regon9[[#This Row],[Regon]],"000000000"),regon9[[#This Row],[Regon]])</f>
        <v>383186</v>
      </c>
      <c r="F732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732" s="1"/>
      <c r="H73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33" spans="1:8" x14ac:dyDescent="0.25">
      <c r="A733" s="1" t="s">
        <v>891</v>
      </c>
      <c r="B733" s="11">
        <v>812188</v>
      </c>
      <c r="C733" s="1" t="s">
        <v>21</v>
      </c>
      <c r="D733" s="1" t="s">
        <v>892</v>
      </c>
      <c r="E733" s="12">
        <f>IF(LEN(regon9[[#This Row],[Regon]]) = 7,TEXT(regon9[[#This Row],[Regon]],"000000000"),regon9[[#This Row],[Regon]])</f>
        <v>812188</v>
      </c>
      <c r="F733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733" s="1"/>
      <c r="H73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34" spans="1:8" x14ac:dyDescent="0.25">
      <c r="A734" s="1" t="s">
        <v>893</v>
      </c>
      <c r="B734" s="11">
        <v>819848</v>
      </c>
      <c r="C734" s="1" t="s">
        <v>21</v>
      </c>
      <c r="D734" s="1" t="s">
        <v>73</v>
      </c>
      <c r="E734" s="12">
        <f>IF(LEN(regon9[[#This Row],[Regon]]) = 7,TEXT(regon9[[#This Row],[Regon]],"000000000"),regon9[[#This Row],[Regon]])</f>
        <v>819848</v>
      </c>
      <c r="F734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734" s="1"/>
      <c r="H73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35" spans="1:8" x14ac:dyDescent="0.25">
      <c r="A735" s="1" t="s">
        <v>894</v>
      </c>
      <c r="B735" s="11">
        <v>820197</v>
      </c>
      <c r="C735" s="1" t="s">
        <v>21</v>
      </c>
      <c r="D735" s="1" t="s">
        <v>98</v>
      </c>
      <c r="E735" s="12">
        <f>IF(LEN(regon9[[#This Row],[Regon]]) = 7,TEXT(regon9[[#This Row],[Regon]],"000000000"),regon9[[#This Row],[Regon]])</f>
        <v>820197</v>
      </c>
      <c r="F735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735" s="1"/>
      <c r="H73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36" spans="1:8" x14ac:dyDescent="0.25">
      <c r="A736" s="1" t="s">
        <v>895</v>
      </c>
      <c r="B736" s="11">
        <v>820224</v>
      </c>
      <c r="C736" s="1" t="s">
        <v>21</v>
      </c>
      <c r="D736" s="1" t="s">
        <v>896</v>
      </c>
      <c r="E736" s="12">
        <f>IF(LEN(regon9[[#This Row],[Regon]]) = 7,TEXT(regon9[[#This Row],[Regon]],"000000000"),regon9[[#This Row],[Regon]])</f>
        <v>820224</v>
      </c>
      <c r="F736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nope</v>
      </c>
      <c r="G736" s="1"/>
      <c r="H73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37" spans="1:8" x14ac:dyDescent="0.25">
      <c r="A737" s="1" t="s">
        <v>897</v>
      </c>
      <c r="B737" s="11">
        <v>9244050</v>
      </c>
      <c r="C737" s="1" t="s">
        <v>21</v>
      </c>
      <c r="D737" s="1" t="s">
        <v>898</v>
      </c>
      <c r="E737" s="12" t="str">
        <f>IF(LEN(regon9[[#This Row],[Regon]]) = 7,TEXT(regon9[[#This Row],[Regon]],"000000000"),regon9[[#This Row],[Regon]])</f>
        <v>009244050</v>
      </c>
      <c r="F737" s="1" t="str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ostatnia</v>
      </c>
      <c r="G737" s="1"/>
      <c r="H73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38" spans="1:8" x14ac:dyDescent="0.25">
      <c r="A738" s="1" t="s">
        <v>899</v>
      </c>
      <c r="B738" s="11">
        <v>22116346</v>
      </c>
      <c r="C738" s="1" t="s">
        <v>21</v>
      </c>
      <c r="D738" s="1" t="s">
        <v>900</v>
      </c>
      <c r="E738" s="12">
        <f>IF(LEN(regon9[[#This Row],[Regon]]) = 7,TEXT(regon9[[#This Row],[Regon]],"000000000"),regon9[[#This Row],[Regon]])</f>
        <v>22116346</v>
      </c>
      <c r="F73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1</v>
      </c>
      <c r="G738" s="1"/>
      <c r="H73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39" spans="1:8" x14ac:dyDescent="0.25">
      <c r="A739" s="1" t="s">
        <v>901</v>
      </c>
      <c r="B739" s="11">
        <v>22164332</v>
      </c>
      <c r="C739" s="1" t="s">
        <v>21</v>
      </c>
      <c r="D739" s="1" t="s">
        <v>22</v>
      </c>
      <c r="E739" s="12">
        <f>IF(LEN(regon9[[#This Row],[Regon]]) = 7,TEXT(regon9[[#This Row],[Regon]],"000000000"),regon9[[#This Row],[Regon]])</f>
        <v>22164332</v>
      </c>
      <c r="F739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7</v>
      </c>
      <c r="G739" s="1"/>
      <c r="H739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40" spans="1:8" x14ac:dyDescent="0.25">
      <c r="A740" s="1" t="s">
        <v>902</v>
      </c>
      <c r="B740" s="11">
        <v>27761772</v>
      </c>
      <c r="C740" s="1" t="s">
        <v>21</v>
      </c>
      <c r="D740" s="1" t="s">
        <v>903</v>
      </c>
      <c r="E740" s="12">
        <f>IF(LEN(regon9[[#This Row],[Regon]]) = 7,TEXT(regon9[[#This Row],[Regon]],"000000000"),regon9[[#This Row],[Regon]])</f>
        <v>27761772</v>
      </c>
      <c r="F740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740" s="1"/>
      <c r="H740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41" spans="1:8" x14ac:dyDescent="0.25">
      <c r="A741" s="1" t="s">
        <v>904</v>
      </c>
      <c r="B741" s="11">
        <v>28010028</v>
      </c>
      <c r="C741" s="1" t="s">
        <v>21</v>
      </c>
      <c r="D741" s="1" t="s">
        <v>22</v>
      </c>
      <c r="E741" s="12">
        <f>IF(LEN(regon9[[#This Row],[Regon]]) = 7,TEXT(regon9[[#This Row],[Regon]],"000000000"),regon9[[#This Row],[Regon]])</f>
        <v>28010028</v>
      </c>
      <c r="F741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5</v>
      </c>
      <c r="G741" s="1"/>
      <c r="H741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42" spans="1:8" x14ac:dyDescent="0.25">
      <c r="A742" s="1" t="s">
        <v>905</v>
      </c>
      <c r="B742" s="11">
        <v>32000341</v>
      </c>
      <c r="C742" s="1" t="s">
        <v>21</v>
      </c>
      <c r="D742" s="1" t="s">
        <v>906</v>
      </c>
      <c r="E742" s="12">
        <f>IF(LEN(regon9[[#This Row],[Regon]]) = 7,TEXT(regon9[[#This Row],[Regon]],"000000000"),regon9[[#This Row],[Regon]])</f>
        <v>32000341</v>
      </c>
      <c r="F742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742" s="1"/>
      <c r="H742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43" spans="1:8" x14ac:dyDescent="0.25">
      <c r="A743" s="1" t="s">
        <v>907</v>
      </c>
      <c r="B743" s="11">
        <v>32002312</v>
      </c>
      <c r="C743" s="1" t="s">
        <v>21</v>
      </c>
      <c r="D743" s="1" t="s">
        <v>22</v>
      </c>
      <c r="E743" s="12">
        <f>IF(LEN(regon9[[#This Row],[Regon]]) = 7,TEXT(regon9[[#This Row],[Regon]],"000000000"),regon9[[#This Row],[Regon]])</f>
        <v>32002312</v>
      </c>
      <c r="F743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8</v>
      </c>
      <c r="G743" s="1"/>
      <c r="H743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44" spans="1:8" x14ac:dyDescent="0.25">
      <c r="A744" s="1" t="s">
        <v>908</v>
      </c>
      <c r="B744" s="11">
        <v>32006928</v>
      </c>
      <c r="C744" s="1" t="s">
        <v>21</v>
      </c>
      <c r="D744" s="1" t="s">
        <v>359</v>
      </c>
      <c r="E744" s="12">
        <f>IF(LEN(regon9[[#This Row],[Regon]]) = 7,TEXT(regon9[[#This Row],[Regon]],"000000000"),regon9[[#This Row],[Regon]])</f>
        <v>32006928</v>
      </c>
      <c r="F744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3</v>
      </c>
      <c r="G744" s="1"/>
      <c r="H744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45" spans="1:8" x14ac:dyDescent="0.25">
      <c r="A745" s="1" t="s">
        <v>909</v>
      </c>
      <c r="B745" s="11">
        <v>32007841</v>
      </c>
      <c r="C745" s="1" t="s">
        <v>21</v>
      </c>
      <c r="D745" s="1" t="s">
        <v>910</v>
      </c>
      <c r="E745" s="12">
        <f>IF(LEN(regon9[[#This Row],[Regon]]) = 7,TEXT(regon9[[#This Row],[Regon]],"000000000"),regon9[[#This Row],[Regon]])</f>
        <v>32007841</v>
      </c>
      <c r="F745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9</v>
      </c>
      <c r="G745" s="1"/>
      <c r="H745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46" spans="1:8" x14ac:dyDescent="0.25">
      <c r="A746" s="1" t="s">
        <v>911</v>
      </c>
      <c r="B746" s="11">
        <v>32008471</v>
      </c>
      <c r="C746" s="1" t="s">
        <v>21</v>
      </c>
      <c r="D746" s="1" t="s">
        <v>912</v>
      </c>
      <c r="E746" s="12">
        <f>IF(LEN(regon9[[#This Row],[Regon]]) = 7,TEXT(regon9[[#This Row],[Regon]],"000000000"),regon9[[#This Row],[Regon]])</f>
        <v>32008471</v>
      </c>
      <c r="F746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0</v>
      </c>
      <c r="G746" s="1"/>
      <c r="H746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47" spans="1:8" x14ac:dyDescent="0.25">
      <c r="A747" s="1" t="s">
        <v>913</v>
      </c>
      <c r="B747" s="11">
        <v>32009997</v>
      </c>
      <c r="C747" s="1" t="s">
        <v>21</v>
      </c>
      <c r="D747" s="1" t="s">
        <v>914</v>
      </c>
      <c r="E747" s="12">
        <f>IF(LEN(regon9[[#This Row],[Regon]]) = 7,TEXT(regon9[[#This Row],[Regon]],"000000000"),regon9[[#This Row],[Regon]])</f>
        <v>32009997</v>
      </c>
      <c r="F747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6</v>
      </c>
      <c r="G747" s="1"/>
      <c r="H747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  <row r="748" spans="1:8" x14ac:dyDescent="0.25">
      <c r="A748" s="1" t="s">
        <v>915</v>
      </c>
      <c r="B748" s="11">
        <v>32011055</v>
      </c>
      <c r="C748" s="1" t="s">
        <v>21</v>
      </c>
      <c r="D748" s="1" t="s">
        <v>22</v>
      </c>
      <c r="E748" s="12">
        <f>IF(LEN(regon9[[#This Row],[Regon]]) = 7,TEXT(regon9[[#This Row],[Regon]],"000000000"),regon9[[#This Row],[Regon]])</f>
        <v>32011055</v>
      </c>
      <c r="F748" s="1">
        <f>IF(OR(LEN(regon9[[#This Row],[Full_Regon]]) = 8,LEN(regon9[[#This Row],[Full_Regon]]) = 12),MOD(VALUE(MID(regon9[[#This Row],[Full_Regon]],1,1))*8+VALUE(MID(regon9[[#This Row],[Full_Regon]],2,1))*9+VALUE(MID(regon9[[#This Row],[Full_Regon]],3,1))*2+VALUE(MID(regon9[[#This Row],[Full_Regon]],4,1))*3+VALUE(MID(regon9[[#This Row],[Full_Regon]],5,1))*4+VALUE(MID(regon9[[#This Row],[Full_Regon]],6,1))*5+VALUE(MID(regon9[[#This Row],[Full_Regon]],7,1))*6+VALUE(MID(regon9[[#This Row],[Full_Regon]],8,1))*7,11),IF(LEN(regon9[[#This Row],[Full_Regon]]) = 9, "ostatnia","nope"))</f>
        <v>4</v>
      </c>
      <c r="G748" s="1"/>
      <c r="H748" s="1" t="str">
        <f>IF(OR(LEN(regon9[[#This Row],[Regon]]) = 12),MOD(VALUE(MID(regon9[[#This Row],[Full_Regon]],1,1))*2+VALUE(MID(regon9[[#This Row],[Full_Regon]],2,1))*4+VALUE(MID(regon9[[#This Row],[Full_Regon]],3,1))*8+VALUE(MID(regon9[[#This Row],[Full_Regon]],4,1))*5+VALUE(MID(regon9[[#This Row],[Full_Regon]],5,1))*0+VALUE(MID(regon9[[#This Row],[Full_Regon]],6,1))*9+VALUE(MID(regon9[[#This Row],[Full_Regon]],7,1))*7+VALUE(MID(regon9[[#This Row],[Full_Regon]],8,1))*3+VALUE(MID(regon9[[#This Row],[Full_Regon]],9,1))*6+VALUE(MID(regon9[[#This Row],[Full_Regon]],10,1))*1+VALUE(MID(regon9[[#This Row],[Full_Regon]],11,1))*2+VALUE(MID(regon9[[#This Row],[Full_Regon]],12,1))*4+VALUE(MID(regon9[[#This Row],[Full_Regon]],13,1))*8,11),"-")</f>
        <v>-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C79D-EE97-4380-9C6B-6D6065A7CC52}">
  <dimension ref="A1:E17"/>
  <sheetViews>
    <sheetView workbookViewId="0">
      <selection activeCell="D12" sqref="D12"/>
    </sheetView>
  </sheetViews>
  <sheetFormatPr defaultRowHeight="15" x14ac:dyDescent="0.25"/>
  <cols>
    <col min="1" max="1" width="23.85546875" style="4" bestFit="1" customWidth="1"/>
    <col min="2" max="16384" width="9.140625" style="4"/>
  </cols>
  <sheetData>
    <row r="1" spans="1:5" x14ac:dyDescent="0.25">
      <c r="A1" s="6" t="s">
        <v>0</v>
      </c>
    </row>
    <row r="2" spans="1:5" x14ac:dyDescent="0.25">
      <c r="A2" s="7" t="s">
        <v>1</v>
      </c>
      <c r="E2" s="5"/>
    </row>
    <row r="3" spans="1:5" x14ac:dyDescent="0.25">
      <c r="A3" s="6" t="s">
        <v>2</v>
      </c>
      <c r="E3" s="5"/>
    </row>
    <row r="4" spans="1:5" x14ac:dyDescent="0.25">
      <c r="A4" s="7" t="s">
        <v>3</v>
      </c>
      <c r="E4" s="5"/>
    </row>
    <row r="5" spans="1:5" x14ac:dyDescent="0.25">
      <c r="A5" s="6" t="s">
        <v>4</v>
      </c>
      <c r="E5" s="5"/>
    </row>
    <row r="6" spans="1:5" x14ac:dyDescent="0.25">
      <c r="A6" s="7" t="s">
        <v>5</v>
      </c>
      <c r="E6" s="5"/>
    </row>
    <row r="7" spans="1:5" x14ac:dyDescent="0.25">
      <c r="A7" s="6" t="s">
        <v>6</v>
      </c>
      <c r="E7" s="5"/>
    </row>
    <row r="8" spans="1:5" x14ac:dyDescent="0.25">
      <c r="A8" s="7" t="s">
        <v>7</v>
      </c>
      <c r="E8" s="5"/>
    </row>
    <row r="9" spans="1:5" x14ac:dyDescent="0.25">
      <c r="A9" s="6" t="s">
        <v>8</v>
      </c>
      <c r="E9" s="5"/>
    </row>
    <row r="10" spans="1:5" x14ac:dyDescent="0.25">
      <c r="A10" s="7" t="s">
        <v>9</v>
      </c>
      <c r="E10" s="5"/>
    </row>
    <row r="11" spans="1:5" x14ac:dyDescent="0.25">
      <c r="A11" s="6" t="s">
        <v>10</v>
      </c>
      <c r="E11" s="5"/>
    </row>
    <row r="12" spans="1:5" x14ac:dyDescent="0.25">
      <c r="A12" s="7" t="s">
        <v>11</v>
      </c>
      <c r="E12" s="5"/>
    </row>
    <row r="13" spans="1:5" x14ac:dyDescent="0.25">
      <c r="A13" s="6" t="s">
        <v>12</v>
      </c>
      <c r="E13" s="5"/>
    </row>
    <row r="14" spans="1:5" x14ac:dyDescent="0.25">
      <c r="A14" s="7" t="s">
        <v>13</v>
      </c>
      <c r="E14" s="5"/>
    </row>
    <row r="15" spans="1:5" x14ac:dyDescent="0.25">
      <c r="A15" s="6" t="s">
        <v>14</v>
      </c>
      <c r="E15" s="5"/>
    </row>
    <row r="16" spans="1:5" x14ac:dyDescent="0.25">
      <c r="A16" s="7" t="s">
        <v>15</v>
      </c>
      <c r="E16" s="5"/>
    </row>
    <row r="17" spans="1:5" x14ac:dyDescent="0.25">
      <c r="A17" s="5"/>
      <c r="E1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92463-BFC6-4C41-B554-F06A441E3B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Stare</vt:lpstr>
      <vt:lpstr>5_1</vt:lpstr>
      <vt:lpstr>Regon</vt:lpstr>
      <vt:lpstr>Arkusz5</vt:lpstr>
      <vt:lpstr>Nowe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Jaruszewski</dc:creator>
  <cp:lastModifiedBy>Jakub Jaruszewski</cp:lastModifiedBy>
  <dcterms:created xsi:type="dcterms:W3CDTF">2015-06-05T18:19:34Z</dcterms:created>
  <dcterms:modified xsi:type="dcterms:W3CDTF">2020-02-07T16:34:40Z</dcterms:modified>
</cp:coreProperties>
</file>