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GA\INFA\ZBIÓR ZADAŃ\Rozwiązania (moje) - zbiór\Dodatkowe  - nie zbiór\"/>
    </mc:Choice>
  </mc:AlternateContent>
  <bookViews>
    <workbookView xWindow="0" yWindow="0" windowWidth="28800" windowHeight="12435" activeTab="4"/>
  </bookViews>
  <sheets>
    <sheet name="Podpunkt 1" sheetId="2" r:id="rId1"/>
    <sheet name="Podpunkt 2" sheetId="4" r:id="rId2"/>
    <sheet name="Dane" sheetId="1" r:id="rId3"/>
    <sheet name="Pom3" sheetId="5" r:id="rId4"/>
    <sheet name="Arkusz6" sheetId="6" r:id="rId5"/>
  </sheets>
  <definedNames>
    <definedName name="kraina" localSheetId="2">Dane!$A$2:$E$51</definedName>
    <definedName name="kraina" localSheetId="3">'Pom3'!$A$2:$E$51</definedName>
  </definedNames>
  <calcPr calcId="152511"/>
  <pivotCaches>
    <pivotCache cacheId="2" r:id="rId6"/>
    <pivotCache cacheId="1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" i="6" l="1"/>
  <c r="S11" i="6"/>
  <c r="S12" i="6"/>
  <c r="S15" i="6"/>
  <c r="S16" i="6"/>
  <c r="S18" i="6"/>
  <c r="S19" i="6"/>
  <c r="S20" i="6"/>
  <c r="S21" i="6"/>
  <c r="S22" i="6"/>
  <c r="S24" i="6"/>
  <c r="S27" i="6"/>
  <c r="S28" i="6"/>
  <c r="S29" i="6"/>
  <c r="S30" i="6"/>
  <c r="S31" i="6"/>
  <c r="S32" i="6"/>
  <c r="S34" i="6"/>
  <c r="S36" i="6"/>
  <c r="S37" i="6"/>
  <c r="S38" i="6"/>
  <c r="S39" i="6"/>
  <c r="S42" i="6"/>
  <c r="S43" i="6"/>
  <c r="S44" i="6"/>
  <c r="S49" i="6"/>
  <c r="S51" i="6"/>
  <c r="S5" i="6"/>
  <c r="S6" i="6"/>
  <c r="S8" i="6"/>
  <c r="S4" i="6"/>
  <c r="S3" i="6"/>
  <c r="R5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2" i="6"/>
  <c r="E3" i="6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E4" i="6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E5" i="6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E6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E7" i="6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E9" i="6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E10" i="6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E11" i="6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E12" i="6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E13" i="6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E14" i="6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E15" i="6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E16" i="6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E17" i="6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E18" i="6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E19" i="6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E20" i="6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E21" i="6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E22" i="6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E23" i="6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E24" i="6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E25" i="6"/>
  <c r="F25" i="6" s="1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E26" i="6"/>
  <c r="F26" i="6" s="1"/>
  <c r="G26" i="6" s="1"/>
  <c r="H26" i="6" s="1"/>
  <c r="I26" i="6" s="1"/>
  <c r="J26" i="6" s="1"/>
  <c r="K26" i="6" s="1"/>
  <c r="L26" i="6" s="1"/>
  <c r="M26" i="6" s="1"/>
  <c r="N26" i="6" s="1"/>
  <c r="O26" i="6" s="1"/>
  <c r="P26" i="6" s="1"/>
  <c r="E27" i="6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E28" i="6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E29" i="6"/>
  <c r="F29" i="6" s="1"/>
  <c r="G29" i="6" s="1"/>
  <c r="H29" i="6" s="1"/>
  <c r="I29" i="6" s="1"/>
  <c r="J29" i="6" s="1"/>
  <c r="K29" i="6" s="1"/>
  <c r="L29" i="6" s="1"/>
  <c r="M29" i="6" s="1"/>
  <c r="N29" i="6" s="1"/>
  <c r="O29" i="6" s="1"/>
  <c r="P29" i="6" s="1"/>
  <c r="E30" i="6"/>
  <c r="F30" i="6" s="1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E31" i="6"/>
  <c r="F31" i="6" s="1"/>
  <c r="G31" i="6" s="1"/>
  <c r="H31" i="6" s="1"/>
  <c r="I31" i="6" s="1"/>
  <c r="J31" i="6" s="1"/>
  <c r="K31" i="6" s="1"/>
  <c r="L31" i="6" s="1"/>
  <c r="M31" i="6" s="1"/>
  <c r="N31" i="6" s="1"/>
  <c r="O31" i="6" s="1"/>
  <c r="P31" i="6" s="1"/>
  <c r="E32" i="6"/>
  <c r="F32" i="6" s="1"/>
  <c r="G32" i="6" s="1"/>
  <c r="H32" i="6" s="1"/>
  <c r="I32" i="6" s="1"/>
  <c r="J32" i="6" s="1"/>
  <c r="K32" i="6" s="1"/>
  <c r="L32" i="6" s="1"/>
  <c r="M32" i="6" s="1"/>
  <c r="N32" i="6" s="1"/>
  <c r="O32" i="6" s="1"/>
  <c r="P32" i="6" s="1"/>
  <c r="E33" i="6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E34" i="6"/>
  <c r="F34" i="6" s="1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E35" i="6"/>
  <c r="F35" i="6" s="1"/>
  <c r="G35" i="6" s="1"/>
  <c r="H35" i="6" s="1"/>
  <c r="I35" i="6" s="1"/>
  <c r="J35" i="6" s="1"/>
  <c r="K35" i="6" s="1"/>
  <c r="L35" i="6" s="1"/>
  <c r="M35" i="6" s="1"/>
  <c r="N35" i="6" s="1"/>
  <c r="O35" i="6" s="1"/>
  <c r="P35" i="6" s="1"/>
  <c r="E36" i="6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E37" i="6"/>
  <c r="F37" i="6" s="1"/>
  <c r="G37" i="6" s="1"/>
  <c r="H37" i="6" s="1"/>
  <c r="I37" i="6" s="1"/>
  <c r="J37" i="6" s="1"/>
  <c r="K37" i="6" s="1"/>
  <c r="L37" i="6" s="1"/>
  <c r="M37" i="6" s="1"/>
  <c r="N37" i="6" s="1"/>
  <c r="O37" i="6" s="1"/>
  <c r="P37" i="6" s="1"/>
  <c r="E38" i="6"/>
  <c r="F38" i="6" s="1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E39" i="6"/>
  <c r="F39" i="6" s="1"/>
  <c r="G39" i="6" s="1"/>
  <c r="H39" i="6" s="1"/>
  <c r="I39" i="6" s="1"/>
  <c r="J39" i="6" s="1"/>
  <c r="K39" i="6" s="1"/>
  <c r="L39" i="6" s="1"/>
  <c r="M39" i="6" s="1"/>
  <c r="N39" i="6" s="1"/>
  <c r="O39" i="6" s="1"/>
  <c r="P39" i="6" s="1"/>
  <c r="E40" i="6"/>
  <c r="F40" i="6" s="1"/>
  <c r="G40" i="6" s="1"/>
  <c r="H40" i="6" s="1"/>
  <c r="I40" i="6" s="1"/>
  <c r="J40" i="6" s="1"/>
  <c r="K40" i="6" s="1"/>
  <c r="L40" i="6" s="1"/>
  <c r="M40" i="6" s="1"/>
  <c r="N40" i="6" s="1"/>
  <c r="O40" i="6" s="1"/>
  <c r="P40" i="6" s="1"/>
  <c r="E41" i="6"/>
  <c r="F41" i="6" s="1"/>
  <c r="G41" i="6" s="1"/>
  <c r="H41" i="6" s="1"/>
  <c r="I41" i="6" s="1"/>
  <c r="J41" i="6" s="1"/>
  <c r="K41" i="6" s="1"/>
  <c r="L41" i="6" s="1"/>
  <c r="M41" i="6" s="1"/>
  <c r="N41" i="6" s="1"/>
  <c r="O41" i="6" s="1"/>
  <c r="P41" i="6" s="1"/>
  <c r="E42" i="6"/>
  <c r="F42" i="6" s="1"/>
  <c r="G42" i="6" s="1"/>
  <c r="H42" i="6" s="1"/>
  <c r="I42" i="6" s="1"/>
  <c r="J42" i="6" s="1"/>
  <c r="K42" i="6" s="1"/>
  <c r="L42" i="6" s="1"/>
  <c r="M42" i="6" s="1"/>
  <c r="N42" i="6" s="1"/>
  <c r="O42" i="6" s="1"/>
  <c r="P42" i="6" s="1"/>
  <c r="E43" i="6"/>
  <c r="F43" i="6" s="1"/>
  <c r="G43" i="6" s="1"/>
  <c r="H43" i="6" s="1"/>
  <c r="I43" i="6" s="1"/>
  <c r="J43" i="6" s="1"/>
  <c r="K43" i="6" s="1"/>
  <c r="L43" i="6" s="1"/>
  <c r="M43" i="6" s="1"/>
  <c r="N43" i="6" s="1"/>
  <c r="O43" i="6" s="1"/>
  <c r="P43" i="6" s="1"/>
  <c r="E44" i="6"/>
  <c r="F44" i="6" s="1"/>
  <c r="G44" i="6" s="1"/>
  <c r="H44" i="6" s="1"/>
  <c r="I44" i="6" s="1"/>
  <c r="J44" i="6" s="1"/>
  <c r="K44" i="6" s="1"/>
  <c r="L44" i="6" s="1"/>
  <c r="M44" i="6" s="1"/>
  <c r="N44" i="6" s="1"/>
  <c r="O44" i="6" s="1"/>
  <c r="P44" i="6" s="1"/>
  <c r="E45" i="6"/>
  <c r="F45" i="6" s="1"/>
  <c r="G45" i="6" s="1"/>
  <c r="H45" i="6" s="1"/>
  <c r="I45" i="6" s="1"/>
  <c r="J45" i="6" s="1"/>
  <c r="K45" i="6" s="1"/>
  <c r="L45" i="6" s="1"/>
  <c r="M45" i="6" s="1"/>
  <c r="N45" i="6" s="1"/>
  <c r="O45" i="6" s="1"/>
  <c r="P45" i="6" s="1"/>
  <c r="E46" i="6"/>
  <c r="F46" i="6" s="1"/>
  <c r="G46" i="6" s="1"/>
  <c r="H46" i="6" s="1"/>
  <c r="I46" i="6" s="1"/>
  <c r="J46" i="6" s="1"/>
  <c r="K46" i="6" s="1"/>
  <c r="L46" i="6" s="1"/>
  <c r="M46" i="6" s="1"/>
  <c r="N46" i="6" s="1"/>
  <c r="O46" i="6" s="1"/>
  <c r="P46" i="6" s="1"/>
  <c r="E47" i="6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E48" i="6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E49" i="6"/>
  <c r="F49" i="6" s="1"/>
  <c r="G49" i="6" s="1"/>
  <c r="H49" i="6" s="1"/>
  <c r="I49" i="6" s="1"/>
  <c r="J49" i="6" s="1"/>
  <c r="K49" i="6" s="1"/>
  <c r="L49" i="6" s="1"/>
  <c r="M49" i="6" s="1"/>
  <c r="N49" i="6" s="1"/>
  <c r="O49" i="6" s="1"/>
  <c r="P49" i="6" s="1"/>
  <c r="E50" i="6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E51" i="6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P51" i="6" s="1"/>
  <c r="F2" i="6"/>
  <c r="G2" i="6" s="1"/>
  <c r="H2" i="6" s="1"/>
  <c r="I2" i="6" s="1"/>
  <c r="J2" i="6" s="1"/>
  <c r="K2" i="6" s="1"/>
  <c r="L2" i="6" s="1"/>
  <c r="M2" i="6" s="1"/>
  <c r="N2" i="6" s="1"/>
  <c r="O2" i="6" s="1"/>
  <c r="P2" i="6" s="1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B51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" i="6"/>
  <c r="B2" i="6"/>
  <c r="A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2" i="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D6" i="2"/>
  <c r="D7" i="2"/>
  <c r="D8" i="2"/>
  <c r="D5" i="2"/>
  <c r="D4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S9" i="6"/>
  <c r="S33" i="6"/>
  <c r="S35" i="6"/>
  <c r="S13" i="6"/>
  <c r="S14" i="6"/>
  <c r="S40" i="6"/>
  <c r="S41" i="6"/>
  <c r="S17" i="6"/>
  <c r="S45" i="6"/>
  <c r="S46" i="6"/>
  <c r="S23" i="6"/>
  <c r="S47" i="6"/>
  <c r="S48" i="6"/>
  <c r="S25" i="6"/>
  <c r="S26" i="6"/>
  <c r="S50" i="6"/>
  <c r="S7" i="6"/>
  <c r="S2" i="6"/>
  <c r="T49" i="6" l="1"/>
  <c r="T11" i="6"/>
  <c r="T12" i="6"/>
  <c r="T16" i="6"/>
  <c r="T18" i="6"/>
  <c r="T19" i="6"/>
  <c r="T43" i="6"/>
  <c r="T20" i="6"/>
  <c r="T44" i="6"/>
  <c r="T21" i="6"/>
  <c r="T22" i="6"/>
  <c r="T24" i="6"/>
  <c r="T7" i="6"/>
  <c r="T50" i="6"/>
  <c r="T26" i="6"/>
  <c r="T25" i="6"/>
  <c r="T48" i="6"/>
  <c r="T47" i="6"/>
  <c r="T23" i="6"/>
  <c r="T46" i="6"/>
  <c r="T45" i="6"/>
  <c r="T17" i="6"/>
  <c r="T41" i="6"/>
  <c r="T40" i="6"/>
  <c r="T14" i="6"/>
  <c r="T13" i="6"/>
  <c r="T35" i="6"/>
  <c r="T33" i="6"/>
  <c r="T9" i="6"/>
  <c r="T39" i="6"/>
  <c r="T38" i="6"/>
  <c r="T37" i="6"/>
  <c r="T36" i="6"/>
  <c r="T34" i="6"/>
  <c r="T32" i="6"/>
  <c r="T31" i="6"/>
  <c r="T30" i="6"/>
  <c r="T29" i="6"/>
  <c r="T28" i="6"/>
  <c r="T27" i="6"/>
  <c r="T42" i="6"/>
  <c r="T3" i="6"/>
  <c r="T4" i="6"/>
  <c r="T8" i="6"/>
  <c r="T6" i="6"/>
  <c r="T5" i="6"/>
  <c r="T15" i="6"/>
  <c r="T51" i="6"/>
  <c r="T10" i="6"/>
  <c r="T2" i="6"/>
  <c r="S52" i="6"/>
  <c r="T52" i="6"/>
</calcChain>
</file>

<file path=xl/connections.xml><?xml version="1.0" encoding="utf-8"?>
<connections xmlns="http://schemas.openxmlformats.org/spreadsheetml/2006/main">
  <connection id="1" name="kraina" type="6" refreshedVersion="5" background="1" saveData="1">
    <textPr codePage="852" sourceFile="C:\Users\kuba1\Downloads\Dane_PR2\kraina.txt" decimal="," thousands=" " semicolon="1">
      <textFields count="5">
        <textField/>
        <textField/>
        <textField/>
        <textField/>
        <textField/>
      </textFields>
    </textPr>
  </connection>
  <connection id="2" name="kraina1" type="6" refreshedVersion="5" background="1" saveData="1">
    <textPr codePage="852" sourceFile="C:\Users\kuba1\Downloads\Dane_PR2\kraina.txt" decimal="," thousands=" 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<sst xmlns="http://schemas.openxmlformats.org/spreadsheetml/2006/main" count="141" uniqueCount="80">
  <si>
    <t>w01D</t>
  </si>
  <si>
    <t>w02D</t>
  </si>
  <si>
    <t>w03C</t>
  </si>
  <si>
    <t>w04D</t>
  </si>
  <si>
    <t>w05A</t>
  </si>
  <si>
    <t>w06D</t>
  </si>
  <si>
    <t>w07B</t>
  </si>
  <si>
    <t>w08A</t>
  </si>
  <si>
    <t>w09C</t>
  </si>
  <si>
    <t>w10C</t>
  </si>
  <si>
    <t>w11D</t>
  </si>
  <si>
    <t>w12C</t>
  </si>
  <si>
    <t>w13A</t>
  </si>
  <si>
    <t>w14A</t>
  </si>
  <si>
    <t>w15A</t>
  </si>
  <si>
    <t>w16C</t>
  </si>
  <si>
    <t>w17A</t>
  </si>
  <si>
    <t>w18D</t>
  </si>
  <si>
    <t>w19C</t>
  </si>
  <si>
    <t>w20C</t>
  </si>
  <si>
    <t>w21A</t>
  </si>
  <si>
    <t>w22B</t>
  </si>
  <si>
    <t>w23B</t>
  </si>
  <si>
    <t>w24C</t>
  </si>
  <si>
    <t>w25B</t>
  </si>
  <si>
    <t>w26C</t>
  </si>
  <si>
    <t>w27C</t>
  </si>
  <si>
    <t>w28D</t>
  </si>
  <si>
    <t>w29A</t>
  </si>
  <si>
    <t>w30C</t>
  </si>
  <si>
    <t>w31C</t>
  </si>
  <si>
    <t>w32D</t>
  </si>
  <si>
    <t>w33B</t>
  </si>
  <si>
    <t>w34C</t>
  </si>
  <si>
    <t>w35C</t>
  </si>
  <si>
    <t>w36B</t>
  </si>
  <si>
    <t>w37A</t>
  </si>
  <si>
    <t>w38B</t>
  </si>
  <si>
    <t>w39D</t>
  </si>
  <si>
    <t>w40A</t>
  </si>
  <si>
    <t>w41D</t>
  </si>
  <si>
    <t>w42B</t>
  </si>
  <si>
    <t>w43D</t>
  </si>
  <si>
    <t>w44C</t>
  </si>
  <si>
    <t>w45B</t>
  </si>
  <si>
    <t>w46C</t>
  </si>
  <si>
    <t>w47B</t>
  </si>
  <si>
    <t>w48C</t>
  </si>
  <si>
    <t>w49C</t>
  </si>
  <si>
    <t>w50B</t>
  </si>
  <si>
    <t>Województwo</t>
  </si>
  <si>
    <t>k 2013</t>
  </si>
  <si>
    <t>m 2013</t>
  </si>
  <si>
    <t>k 2014</t>
  </si>
  <si>
    <t>m 2014</t>
  </si>
  <si>
    <t>region</t>
  </si>
  <si>
    <t>Suma z k 2013</t>
  </si>
  <si>
    <t>Suma z m 2013</t>
  </si>
  <si>
    <t>Etykiety wierszy</t>
  </si>
  <si>
    <t>A</t>
  </si>
  <si>
    <t>B</t>
  </si>
  <si>
    <t>C</t>
  </si>
  <si>
    <t>D</t>
  </si>
  <si>
    <t>Suma końcowa</t>
  </si>
  <si>
    <t>Suma całkowita</t>
  </si>
  <si>
    <t>województwo</t>
  </si>
  <si>
    <t>Czy więcej</t>
  </si>
  <si>
    <t>TAK</t>
  </si>
  <si>
    <t>Region</t>
  </si>
  <si>
    <t>Liczba województw</t>
  </si>
  <si>
    <t>W całym kraju</t>
  </si>
  <si>
    <t>Tempo wzrostu</t>
  </si>
  <si>
    <t>Ludność 2013</t>
  </si>
  <si>
    <t>Ludność 2014</t>
  </si>
  <si>
    <t>Tempo</t>
  </si>
  <si>
    <t>Pozycja</t>
  </si>
  <si>
    <t>Czy przeludnione</t>
  </si>
  <si>
    <t>Ludność w 2025</t>
  </si>
  <si>
    <t>Czy max</t>
  </si>
  <si>
    <t>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</si>
</sst>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Ludność w poszczególnych regionach w 2013 roku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'Podpunkt 1'!$A$4:$A$7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'Podpunkt 1'!$D$4:$D$7</c:f>
              <c:numCache>
                <c:formatCode>General</c:formatCode>
                <c:ptCount val="4"/>
                <c:pt idx="0">
                  <c:v>33929579</c:v>
                </c:pt>
                <c:pt idx="1">
                  <c:v>41736619</c:v>
                </c:pt>
                <c:pt idx="2">
                  <c:v>57649017</c:v>
                </c:pt>
                <c:pt idx="3">
                  <c:v>36530387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651120"/>
        <c:axId val="738651664"/>
      </c:barChart>
      <c:catAx>
        <c:axId val="738651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Region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8651664"/>
        <c:crosses val="autoZero"/>
        <c:auto val="1"/>
        <c:lblAlgn val="ctr"/>
        <c:lblOffset val="100"/>
        <c:noMultiLvlLbl val="0"/>
      </c:catAx>
      <c:valAx>
        <c:axId val="7386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mieszkańców</a:t>
                </a:r>
                <a:endParaRPr lang="pl-PL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86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4</xdr:row>
      <xdr:rowOff>47625</xdr:rowOff>
    </xdr:from>
    <xdr:to>
      <xdr:col>21</xdr:col>
      <xdr:colOff>533400</xdr:colOff>
      <xdr:row>27</xdr:row>
      <xdr:rowOff>42862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Jaruszewski" refreshedDate="43982.643364120369" createdVersion="5" refreshedVersion="5" minRefreshableVersion="3" recordCount="50">
  <cacheSource type="worksheet">
    <worksheetSource ref="A1:F51" sheet="Dane"/>
  </cacheSource>
  <cacheFields count="6">
    <cacheField name="Województwo" numFmtId="0">
      <sharedItems/>
    </cacheField>
    <cacheField name="k 2013" numFmtId="0">
      <sharedItems containsSemiMixedTypes="0" containsString="0" containsNumber="1" containsInteger="1" minValue="76648" maxValue="3997724"/>
    </cacheField>
    <cacheField name="m 2013" numFmtId="0">
      <sharedItems containsSemiMixedTypes="0" containsString="0" containsNumber="1" containsInteger="1" minValue="81385" maxValue="3848394"/>
    </cacheField>
    <cacheField name="k 2014" numFmtId="0">
      <sharedItems containsSemiMixedTypes="0" containsString="0" containsNumber="1" containsInteger="1" minValue="15339" maxValue="4339393"/>
    </cacheField>
    <cacheField name="m 2014" numFmtId="0">
      <sharedItems containsSemiMixedTypes="0" containsString="0" containsNumber="1" containsInteger="1" minValue="14652" maxValue="4639643"/>
    </cacheField>
    <cacheField name="region" numFmtId="0">
      <sharedItems count="4">
        <s v="D"/>
        <s v="C"/>
        <s v="A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Jaruszewski" refreshedDate="43982.648696643519" createdVersion="5" refreshedVersion="5" minRefreshableVersion="3" recordCount="50">
  <cacheSource type="worksheet">
    <worksheetSource ref="A1:H51" sheet="Dane"/>
  </cacheSource>
  <cacheFields count="8">
    <cacheField name="Województwo" numFmtId="0">
      <sharedItems count="50">
        <s v="w01D"/>
        <s v="w02D"/>
        <s v="w03C"/>
        <s v="w04D"/>
        <s v="w05A"/>
        <s v="w06D"/>
        <s v="w07B"/>
        <s v="w08A"/>
        <s v="w09C"/>
        <s v="w10C"/>
        <s v="w11D"/>
        <s v="w12C"/>
        <s v="w13A"/>
        <s v="w14A"/>
        <s v="w15A"/>
        <s v="w16C"/>
        <s v="w17A"/>
        <s v="w18D"/>
        <s v="w19C"/>
        <s v="w20C"/>
        <s v="w21A"/>
        <s v="w22B"/>
        <s v="w23B"/>
        <s v="w24C"/>
        <s v="w25B"/>
        <s v="w26C"/>
        <s v="w27C"/>
        <s v="w28D"/>
        <s v="w29A"/>
        <s v="w30C"/>
        <s v="w31C"/>
        <s v="w32D"/>
        <s v="w33B"/>
        <s v="w34C"/>
        <s v="w35C"/>
        <s v="w36B"/>
        <s v="w37A"/>
        <s v="w38B"/>
        <s v="w39D"/>
        <s v="w40A"/>
        <s v="w41D"/>
        <s v="w42B"/>
        <s v="w43D"/>
        <s v="w44C"/>
        <s v="w45B"/>
        <s v="w46C"/>
        <s v="w47B"/>
        <s v="w48C"/>
        <s v="w49C"/>
        <s v="w50B"/>
      </sharedItems>
    </cacheField>
    <cacheField name="k 2013" numFmtId="0">
      <sharedItems containsSemiMixedTypes="0" containsString="0" containsNumber="1" containsInteger="1" minValue="76648" maxValue="3997724"/>
    </cacheField>
    <cacheField name="m 2013" numFmtId="0">
      <sharedItems containsSemiMixedTypes="0" containsString="0" containsNumber="1" containsInteger="1" minValue="81385" maxValue="3848394"/>
    </cacheField>
    <cacheField name="k 2014" numFmtId="0">
      <sharedItems containsSemiMixedTypes="0" containsString="0" containsNumber="1" containsInteger="1" minValue="15339" maxValue="4339393"/>
    </cacheField>
    <cacheField name="m 2014" numFmtId="0">
      <sharedItems containsSemiMixedTypes="0" containsString="0" containsNumber="1" containsInteger="1" minValue="14652" maxValue="4639643"/>
    </cacheField>
    <cacheField name="region" numFmtId="0">
      <sharedItems count="4">
        <s v="D"/>
        <s v="C"/>
        <s v="A"/>
        <s v="B"/>
      </sharedItems>
    </cacheField>
    <cacheField name="województwo2" numFmtId="0">
      <sharedItems/>
    </cacheField>
    <cacheField name="Czy więcej" numFmtId="0">
      <sharedItems count="2">
        <s v="TAK"/>
        <s v="NI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w01D"/>
    <n v="1415007"/>
    <n v="1397195"/>
    <n v="1499070"/>
    <n v="1481105"/>
    <x v="0"/>
  </r>
  <r>
    <s v="w02D"/>
    <n v="1711390"/>
    <n v="1641773"/>
    <n v="1522030"/>
    <n v="1618733"/>
    <x v="0"/>
  </r>
  <r>
    <s v="w03C"/>
    <n v="1165105"/>
    <n v="1278732"/>
    <n v="1299953"/>
    <n v="1191621"/>
    <x v="1"/>
  </r>
  <r>
    <s v="w04D"/>
    <n v="949065"/>
    <n v="1026050"/>
    <n v="688027"/>
    <n v="723233"/>
    <x v="0"/>
  </r>
  <r>
    <s v="w05A"/>
    <n v="2436107"/>
    <n v="2228622"/>
    <n v="1831600"/>
    <n v="1960624"/>
    <x v="2"/>
  </r>
  <r>
    <s v="w06D"/>
    <n v="1846928"/>
    <n v="1851433"/>
    <n v="2125113"/>
    <n v="2028635"/>
    <x v="0"/>
  </r>
  <r>
    <s v="w07B"/>
    <n v="3841577"/>
    <n v="3848394"/>
    <n v="3595975"/>
    <n v="3123039"/>
    <x v="3"/>
  </r>
  <r>
    <s v="w08A"/>
    <n v="679557"/>
    <n v="655500"/>
    <n v="1012012"/>
    <n v="1067022"/>
    <x v="2"/>
  </r>
  <r>
    <s v="w09C"/>
    <n v="1660998"/>
    <n v="1630345"/>
    <n v="1130119"/>
    <n v="1080238"/>
    <x v="1"/>
  </r>
  <r>
    <s v="w10C"/>
    <n v="1157622"/>
    <n v="1182345"/>
    <n v="830785"/>
    <n v="833779"/>
    <x v="1"/>
  </r>
  <r>
    <s v="w11D"/>
    <n v="1987047"/>
    <n v="1996208"/>
    <n v="2053892"/>
    <n v="1697247"/>
    <x v="0"/>
  </r>
  <r>
    <s v="w12C"/>
    <n v="3997724"/>
    <n v="3690756"/>
    <n v="4339393"/>
    <n v="4639643"/>
    <x v="1"/>
  </r>
  <r>
    <s v="w13A"/>
    <n v="996113"/>
    <n v="964279"/>
    <n v="1012487"/>
    <n v="1128940"/>
    <x v="2"/>
  </r>
  <r>
    <s v="w14A"/>
    <n v="1143634"/>
    <n v="1033836"/>
    <n v="909534"/>
    <n v="856349"/>
    <x v="2"/>
  </r>
  <r>
    <s v="w15A"/>
    <n v="2549276"/>
    <n v="2584751"/>
    <n v="2033079"/>
    <n v="2066918"/>
    <x v="2"/>
  </r>
  <r>
    <s v="w16C"/>
    <n v="1367212"/>
    <n v="1361389"/>
    <n v="1572320"/>
    <n v="1836258"/>
    <x v="1"/>
  </r>
  <r>
    <s v="w17A"/>
    <n v="2567464"/>
    <n v="2441857"/>
    <n v="1524132"/>
    <n v="1496810"/>
    <x v="2"/>
  </r>
  <r>
    <s v="w18D"/>
    <n v="1334060"/>
    <n v="1395231"/>
    <n v="578655"/>
    <n v="677663"/>
    <x v="0"/>
  </r>
  <r>
    <s v="w19C"/>
    <n v="2976209"/>
    <n v="3199665"/>
    <n v="1666477"/>
    <n v="1759240"/>
    <x v="1"/>
  </r>
  <r>
    <s v="w20C"/>
    <n v="1443351"/>
    <n v="1565539"/>
    <n v="1355276"/>
    <n v="1423414"/>
    <x v="1"/>
  </r>
  <r>
    <s v="w21A"/>
    <n v="2486640"/>
    <n v="2265936"/>
    <n v="297424"/>
    <n v="274759"/>
    <x v="2"/>
  </r>
  <r>
    <s v="w22B"/>
    <n v="685438"/>
    <n v="749124"/>
    <n v="2697677"/>
    <n v="2821550"/>
    <x v="3"/>
  </r>
  <r>
    <s v="w23B"/>
    <n v="2166753"/>
    <n v="2338698"/>
    <n v="1681433"/>
    <n v="1592443"/>
    <x v="3"/>
  </r>
  <r>
    <s v="w24C"/>
    <n v="643177"/>
    <n v="684187"/>
    <n v="796213"/>
    <n v="867904"/>
    <x v="1"/>
  </r>
  <r>
    <s v="w25B"/>
    <n v="450192"/>
    <n v="434755"/>
    <n v="1656446"/>
    <n v="1691000"/>
    <x v="3"/>
  </r>
  <r>
    <s v="w26C"/>
    <n v="1037774"/>
    <n v="1113789"/>
    <n v="877464"/>
    <n v="990837"/>
    <x v="1"/>
  </r>
  <r>
    <s v="w27C"/>
    <n v="2351213"/>
    <n v="2358482"/>
    <n v="1098384"/>
    <n v="1121488"/>
    <x v="1"/>
  </r>
  <r>
    <s v="w28D"/>
    <n v="2613354"/>
    <n v="2837241"/>
    <n v="431144"/>
    <n v="434113"/>
    <x v="0"/>
  </r>
  <r>
    <s v="w29A"/>
    <n v="1859691"/>
    <n v="1844250"/>
    <n v="1460134"/>
    <n v="1585258"/>
    <x v="2"/>
  </r>
  <r>
    <s v="w30C"/>
    <n v="2478386"/>
    <n v="2562144"/>
    <n v="30035"/>
    <n v="29396"/>
    <x v="1"/>
  </r>
  <r>
    <s v="w31C"/>
    <n v="1938122"/>
    <n v="1816647"/>
    <n v="1602356"/>
    <n v="1875221"/>
    <x v="1"/>
  </r>
  <r>
    <s v="w32D"/>
    <n v="992523"/>
    <n v="1028501"/>
    <n v="1995446"/>
    <n v="1860524"/>
    <x v="0"/>
  </r>
  <r>
    <s v="w33B"/>
    <n v="2966291"/>
    <n v="2889963"/>
    <n v="462453"/>
    <n v="486354"/>
    <x v="3"/>
  </r>
  <r>
    <s v="w34C"/>
    <n v="76648"/>
    <n v="81385"/>
    <n v="1374708"/>
    <n v="1379567"/>
    <x v="1"/>
  </r>
  <r>
    <s v="w35C"/>
    <n v="2574432"/>
    <n v="2409710"/>
    <n v="987486"/>
    <n v="999043"/>
    <x v="1"/>
  </r>
  <r>
    <s v="w36B"/>
    <n v="1778590"/>
    <n v="1874844"/>
    <n v="111191"/>
    <n v="117846"/>
    <x v="3"/>
  </r>
  <r>
    <s v="w37A"/>
    <n v="1506541"/>
    <n v="1414887"/>
    <n v="1216612"/>
    <n v="1166775"/>
    <x v="2"/>
  </r>
  <r>
    <s v="w38B"/>
    <n v="1598886"/>
    <n v="1687917"/>
    <n v="449788"/>
    <n v="427615"/>
    <x v="3"/>
  </r>
  <r>
    <s v="w39D"/>
    <n v="548989"/>
    <n v="514636"/>
    <n v="2770344"/>
    <n v="3187897"/>
    <x v="0"/>
  </r>
  <r>
    <s v="w40A"/>
    <n v="1175198"/>
    <n v="1095440"/>
    <n v="2657174"/>
    <n v="2491947"/>
    <x v="2"/>
  </r>
  <r>
    <s v="w41D"/>
    <n v="2115336"/>
    <n v="2202769"/>
    <n v="15339"/>
    <n v="14652"/>
    <x v="0"/>
  </r>
  <r>
    <s v="w42B"/>
    <n v="2346640"/>
    <n v="2197559"/>
    <n v="373470"/>
    <n v="353365"/>
    <x v="3"/>
  </r>
  <r>
    <s v="w43D"/>
    <n v="2548438"/>
    <n v="2577213"/>
    <n v="37986"/>
    <n v="37766"/>
    <x v="0"/>
  </r>
  <r>
    <s v="w44C"/>
    <n v="835495"/>
    <n v="837746"/>
    <n v="1106177"/>
    <n v="917781"/>
    <x v="1"/>
  </r>
  <r>
    <s v="w45B"/>
    <n v="1187448"/>
    <n v="1070426"/>
    <n v="1504608"/>
    <n v="1756990"/>
    <x v="3"/>
  </r>
  <r>
    <s v="w46C"/>
    <n v="140026"/>
    <n v="146354"/>
    <n v="2759991"/>
    <n v="2742120"/>
    <x v="1"/>
  </r>
  <r>
    <s v="w47B"/>
    <n v="1198765"/>
    <n v="1304945"/>
    <n v="2786493"/>
    <n v="2602643"/>
    <x v="3"/>
  </r>
  <r>
    <s v="w48C"/>
    <n v="2619776"/>
    <n v="2749623"/>
    <n v="2888215"/>
    <n v="2800174"/>
    <x v="1"/>
  </r>
  <r>
    <s v="w49C"/>
    <n v="248398"/>
    <n v="268511"/>
    <n v="3110853"/>
    <n v="2986411"/>
    <x v="1"/>
  </r>
  <r>
    <s v="w50B"/>
    <n v="2494207"/>
    <n v="2625207"/>
    <n v="1796293"/>
    <n v="185360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n v="1415007"/>
    <n v="1397195"/>
    <n v="1499070"/>
    <n v="1481105"/>
    <x v="0"/>
    <s v="w01"/>
    <x v="0"/>
  </r>
  <r>
    <x v="1"/>
    <n v="1711390"/>
    <n v="1641773"/>
    <n v="1522030"/>
    <n v="1618733"/>
    <x v="0"/>
    <s v="w02"/>
    <x v="1"/>
  </r>
  <r>
    <x v="2"/>
    <n v="1165105"/>
    <n v="1278732"/>
    <n v="1299953"/>
    <n v="1191621"/>
    <x v="1"/>
    <s v="w03"/>
    <x v="1"/>
  </r>
  <r>
    <x v="3"/>
    <n v="949065"/>
    <n v="1026050"/>
    <n v="688027"/>
    <n v="723233"/>
    <x v="0"/>
    <s v="w04"/>
    <x v="1"/>
  </r>
  <r>
    <x v="4"/>
    <n v="2436107"/>
    <n v="2228622"/>
    <n v="1831600"/>
    <n v="1960624"/>
    <x v="2"/>
    <s v="w05"/>
    <x v="1"/>
  </r>
  <r>
    <x v="5"/>
    <n v="1846928"/>
    <n v="1851433"/>
    <n v="2125113"/>
    <n v="2028635"/>
    <x v="0"/>
    <s v="w06"/>
    <x v="0"/>
  </r>
  <r>
    <x v="6"/>
    <n v="3841577"/>
    <n v="3848394"/>
    <n v="3595975"/>
    <n v="3123039"/>
    <x v="3"/>
    <s v="w07"/>
    <x v="1"/>
  </r>
  <r>
    <x v="7"/>
    <n v="679557"/>
    <n v="655500"/>
    <n v="1012012"/>
    <n v="1067022"/>
    <x v="2"/>
    <s v="w08"/>
    <x v="0"/>
  </r>
  <r>
    <x v="8"/>
    <n v="1660998"/>
    <n v="1630345"/>
    <n v="1130119"/>
    <n v="1080238"/>
    <x v="1"/>
    <s v="w09"/>
    <x v="1"/>
  </r>
  <r>
    <x v="9"/>
    <n v="1157622"/>
    <n v="1182345"/>
    <n v="830785"/>
    <n v="833779"/>
    <x v="1"/>
    <s v="w10"/>
    <x v="1"/>
  </r>
  <r>
    <x v="10"/>
    <n v="1987047"/>
    <n v="1996208"/>
    <n v="2053892"/>
    <n v="1697247"/>
    <x v="0"/>
    <s v="w11"/>
    <x v="1"/>
  </r>
  <r>
    <x v="11"/>
    <n v="3997724"/>
    <n v="3690756"/>
    <n v="4339393"/>
    <n v="4639643"/>
    <x v="1"/>
    <s v="w12"/>
    <x v="0"/>
  </r>
  <r>
    <x v="12"/>
    <n v="996113"/>
    <n v="964279"/>
    <n v="1012487"/>
    <n v="1128940"/>
    <x v="2"/>
    <s v="w13"/>
    <x v="0"/>
  </r>
  <r>
    <x v="13"/>
    <n v="1143634"/>
    <n v="1033836"/>
    <n v="909534"/>
    <n v="856349"/>
    <x v="2"/>
    <s v="w14"/>
    <x v="1"/>
  </r>
  <r>
    <x v="14"/>
    <n v="2549276"/>
    <n v="2584751"/>
    <n v="2033079"/>
    <n v="2066918"/>
    <x v="2"/>
    <s v="w15"/>
    <x v="1"/>
  </r>
  <r>
    <x v="15"/>
    <n v="1367212"/>
    <n v="1361389"/>
    <n v="1572320"/>
    <n v="1836258"/>
    <x v="1"/>
    <s v="w16"/>
    <x v="0"/>
  </r>
  <r>
    <x v="16"/>
    <n v="2567464"/>
    <n v="2441857"/>
    <n v="1524132"/>
    <n v="1496810"/>
    <x v="2"/>
    <s v="w17"/>
    <x v="1"/>
  </r>
  <r>
    <x v="17"/>
    <n v="1334060"/>
    <n v="1395231"/>
    <n v="578655"/>
    <n v="677663"/>
    <x v="0"/>
    <s v="w18"/>
    <x v="1"/>
  </r>
  <r>
    <x v="18"/>
    <n v="2976209"/>
    <n v="3199665"/>
    <n v="1666477"/>
    <n v="1759240"/>
    <x v="1"/>
    <s v="w19"/>
    <x v="1"/>
  </r>
  <r>
    <x v="19"/>
    <n v="1443351"/>
    <n v="1565539"/>
    <n v="1355276"/>
    <n v="1423414"/>
    <x v="1"/>
    <s v="w20"/>
    <x v="1"/>
  </r>
  <r>
    <x v="20"/>
    <n v="2486640"/>
    <n v="2265936"/>
    <n v="297424"/>
    <n v="274759"/>
    <x v="2"/>
    <s v="w21"/>
    <x v="1"/>
  </r>
  <r>
    <x v="21"/>
    <n v="685438"/>
    <n v="749124"/>
    <n v="2697677"/>
    <n v="2821550"/>
    <x v="3"/>
    <s v="w22"/>
    <x v="0"/>
  </r>
  <r>
    <x v="22"/>
    <n v="2166753"/>
    <n v="2338698"/>
    <n v="1681433"/>
    <n v="1592443"/>
    <x v="3"/>
    <s v="w23"/>
    <x v="1"/>
  </r>
  <r>
    <x v="23"/>
    <n v="643177"/>
    <n v="684187"/>
    <n v="796213"/>
    <n v="867904"/>
    <x v="1"/>
    <s v="w24"/>
    <x v="0"/>
  </r>
  <r>
    <x v="24"/>
    <n v="450192"/>
    <n v="434755"/>
    <n v="1656446"/>
    <n v="1691000"/>
    <x v="3"/>
    <s v="w25"/>
    <x v="0"/>
  </r>
  <r>
    <x v="25"/>
    <n v="1037774"/>
    <n v="1113789"/>
    <n v="877464"/>
    <n v="990837"/>
    <x v="1"/>
    <s v="w26"/>
    <x v="1"/>
  </r>
  <r>
    <x v="26"/>
    <n v="2351213"/>
    <n v="2358482"/>
    <n v="1098384"/>
    <n v="1121488"/>
    <x v="1"/>
    <s v="w27"/>
    <x v="1"/>
  </r>
  <r>
    <x v="27"/>
    <n v="2613354"/>
    <n v="2837241"/>
    <n v="431144"/>
    <n v="434113"/>
    <x v="0"/>
    <s v="w28"/>
    <x v="1"/>
  </r>
  <r>
    <x v="28"/>
    <n v="1859691"/>
    <n v="1844250"/>
    <n v="1460134"/>
    <n v="1585258"/>
    <x v="2"/>
    <s v="w29"/>
    <x v="1"/>
  </r>
  <r>
    <x v="29"/>
    <n v="2478386"/>
    <n v="2562144"/>
    <n v="30035"/>
    <n v="29396"/>
    <x v="1"/>
    <s v="w30"/>
    <x v="1"/>
  </r>
  <r>
    <x v="30"/>
    <n v="1938122"/>
    <n v="1816647"/>
    <n v="1602356"/>
    <n v="1875221"/>
    <x v="1"/>
    <s v="w31"/>
    <x v="1"/>
  </r>
  <r>
    <x v="31"/>
    <n v="992523"/>
    <n v="1028501"/>
    <n v="1995446"/>
    <n v="1860524"/>
    <x v="0"/>
    <s v="w32"/>
    <x v="0"/>
  </r>
  <r>
    <x v="32"/>
    <n v="2966291"/>
    <n v="2889963"/>
    <n v="462453"/>
    <n v="486354"/>
    <x v="3"/>
    <s v="w33"/>
    <x v="1"/>
  </r>
  <r>
    <x v="33"/>
    <n v="76648"/>
    <n v="81385"/>
    <n v="1374708"/>
    <n v="1379567"/>
    <x v="1"/>
    <s v="w34"/>
    <x v="0"/>
  </r>
  <r>
    <x v="34"/>
    <n v="2574432"/>
    <n v="2409710"/>
    <n v="987486"/>
    <n v="999043"/>
    <x v="1"/>
    <s v="w35"/>
    <x v="1"/>
  </r>
  <r>
    <x v="35"/>
    <n v="1778590"/>
    <n v="1874844"/>
    <n v="111191"/>
    <n v="117846"/>
    <x v="3"/>
    <s v="w36"/>
    <x v="1"/>
  </r>
  <r>
    <x v="36"/>
    <n v="1506541"/>
    <n v="1414887"/>
    <n v="1216612"/>
    <n v="1166775"/>
    <x v="2"/>
    <s v="w37"/>
    <x v="1"/>
  </r>
  <r>
    <x v="37"/>
    <n v="1598886"/>
    <n v="1687917"/>
    <n v="449788"/>
    <n v="427615"/>
    <x v="3"/>
    <s v="w38"/>
    <x v="1"/>
  </r>
  <r>
    <x v="38"/>
    <n v="548989"/>
    <n v="514636"/>
    <n v="2770344"/>
    <n v="3187897"/>
    <x v="0"/>
    <s v="w39"/>
    <x v="0"/>
  </r>
  <r>
    <x v="39"/>
    <n v="1175198"/>
    <n v="1095440"/>
    <n v="2657174"/>
    <n v="2491947"/>
    <x v="2"/>
    <s v="w40"/>
    <x v="0"/>
  </r>
  <r>
    <x v="40"/>
    <n v="2115336"/>
    <n v="2202769"/>
    <n v="15339"/>
    <n v="14652"/>
    <x v="0"/>
    <s v="w41"/>
    <x v="1"/>
  </r>
  <r>
    <x v="41"/>
    <n v="2346640"/>
    <n v="2197559"/>
    <n v="373470"/>
    <n v="353365"/>
    <x v="3"/>
    <s v="w42"/>
    <x v="1"/>
  </r>
  <r>
    <x v="42"/>
    <n v="2548438"/>
    <n v="2577213"/>
    <n v="37986"/>
    <n v="37766"/>
    <x v="0"/>
    <s v="w43"/>
    <x v="1"/>
  </r>
  <r>
    <x v="43"/>
    <n v="835495"/>
    <n v="837746"/>
    <n v="1106177"/>
    <n v="917781"/>
    <x v="1"/>
    <s v="w44"/>
    <x v="0"/>
  </r>
  <r>
    <x v="44"/>
    <n v="1187448"/>
    <n v="1070426"/>
    <n v="1504608"/>
    <n v="1756990"/>
    <x v="3"/>
    <s v="w45"/>
    <x v="0"/>
  </r>
  <r>
    <x v="45"/>
    <n v="140026"/>
    <n v="146354"/>
    <n v="2759991"/>
    <n v="2742120"/>
    <x v="1"/>
    <s v="w46"/>
    <x v="0"/>
  </r>
  <r>
    <x v="46"/>
    <n v="1198765"/>
    <n v="1304945"/>
    <n v="2786493"/>
    <n v="2602643"/>
    <x v="3"/>
    <s v="w47"/>
    <x v="0"/>
  </r>
  <r>
    <x v="47"/>
    <n v="2619776"/>
    <n v="2749623"/>
    <n v="2888215"/>
    <n v="2800174"/>
    <x v="1"/>
    <s v="w48"/>
    <x v="0"/>
  </r>
  <r>
    <x v="48"/>
    <n v="248398"/>
    <n v="268511"/>
    <n v="3110853"/>
    <n v="2986411"/>
    <x v="1"/>
    <s v="w49"/>
    <x v="0"/>
  </r>
  <r>
    <x v="49"/>
    <n v="2494207"/>
    <n v="2625207"/>
    <n v="1796293"/>
    <n v="1853602"/>
    <x v="3"/>
    <s v="w5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C8" firstHeaderRow="0" firstDataRow="1" firstDataCol="1"/>
  <pivotFields count="6">
    <pivotField showAll="0"/>
    <pivotField dataField="1"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m 2013" fld="2" baseField="0" baseItem="0"/>
    <dataField name="Suma z k 2013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4" cacheId="11" applyNumberFormats="0" applyBorderFormats="0" applyFontFormats="0" applyPatternFormats="0" applyAlignmentFormats="0" applyWidthHeightFormats="1" dataCaption="Wartości" grandTotalCaption="W całym kraju" updatedVersion="5" minRefreshableVersion="3" useAutoFormatting="1" itemPrintTitles="1" createdVersion="5" indent="0" outline="1" outlineData="1" multipleFieldFilters="0" rowHeaderCaption="Region">
  <location ref="A3:B8" firstHeaderRow="1" firstDataRow="1" firstDataCol="1" rowPageCount="1" colPageCount="1"/>
  <pivotFields count="8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item="1" hier="-1"/>
  </pageFields>
  <dataFields count="1">
    <dataField name="Liczba województw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kraina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kraina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4" sqref="D4:D7"/>
    </sheetView>
  </sheetViews>
  <sheetFormatPr defaultRowHeight="15" x14ac:dyDescent="0.25"/>
  <cols>
    <col min="1" max="1" width="17.7109375" bestFit="1" customWidth="1"/>
    <col min="2" max="2" width="13.85546875" customWidth="1"/>
    <col min="3" max="3" width="13.140625" bestFit="1" customWidth="1"/>
    <col min="4" max="4" width="15.7109375" customWidth="1"/>
  </cols>
  <sheetData>
    <row r="3" spans="1:4" x14ac:dyDescent="0.25">
      <c r="A3" s="2" t="s">
        <v>58</v>
      </c>
      <c r="B3" t="s">
        <v>57</v>
      </c>
      <c r="C3" t="s">
        <v>56</v>
      </c>
      <c r="D3" t="s">
        <v>64</v>
      </c>
    </row>
    <row r="4" spans="1:4" x14ac:dyDescent="0.25">
      <c r="A4" s="3" t="s">
        <v>59</v>
      </c>
      <c r="B4" s="1">
        <v>16529358</v>
      </c>
      <c r="C4" s="1">
        <v>17400221</v>
      </c>
      <c r="D4">
        <f>SUM(B4:C4)</f>
        <v>33929579</v>
      </c>
    </row>
    <row r="5" spans="1:4" x14ac:dyDescent="0.25">
      <c r="A5" s="3" t="s">
        <v>60</v>
      </c>
      <c r="B5" s="1">
        <v>21021832</v>
      </c>
      <c r="C5" s="1">
        <v>20714787</v>
      </c>
      <c r="D5">
        <f>SUM(B5:C5)</f>
        <v>41736619</v>
      </c>
    </row>
    <row r="6" spans="1:4" x14ac:dyDescent="0.25">
      <c r="A6" s="3" t="s">
        <v>61</v>
      </c>
      <c r="B6" s="1">
        <v>28937349</v>
      </c>
      <c r="C6" s="1">
        <v>28711668</v>
      </c>
      <c r="D6">
        <f t="shared" ref="D6:D8" si="0">SUM(B6:C6)</f>
        <v>57649017</v>
      </c>
    </row>
    <row r="7" spans="1:4" x14ac:dyDescent="0.25">
      <c r="A7" s="3" t="s">
        <v>62</v>
      </c>
      <c r="B7" s="1">
        <v>18468250</v>
      </c>
      <c r="C7" s="1">
        <v>18062137</v>
      </c>
      <c r="D7">
        <f t="shared" si="0"/>
        <v>36530387</v>
      </c>
    </row>
    <row r="8" spans="1:4" x14ac:dyDescent="0.25">
      <c r="A8" s="3" t="s">
        <v>63</v>
      </c>
      <c r="B8" s="1">
        <v>84956789</v>
      </c>
      <c r="C8" s="1">
        <v>84888813</v>
      </c>
      <c r="D8">
        <f t="shared" si="0"/>
        <v>169845602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6" sqref="C6"/>
    </sheetView>
  </sheetViews>
  <sheetFormatPr defaultRowHeight="15" x14ac:dyDescent="0.25"/>
  <cols>
    <col min="1" max="1" width="17.7109375" customWidth="1"/>
    <col min="2" max="2" width="21.42578125" bestFit="1" customWidth="1"/>
  </cols>
  <sheetData>
    <row r="1" spans="1:2" x14ac:dyDescent="0.25">
      <c r="A1" s="2" t="s">
        <v>66</v>
      </c>
      <c r="B1" t="s">
        <v>67</v>
      </c>
    </row>
    <row r="3" spans="1:2" x14ac:dyDescent="0.25">
      <c r="A3" s="2" t="s">
        <v>68</v>
      </c>
      <c r="B3" t="s">
        <v>69</v>
      </c>
    </row>
    <row r="4" spans="1:2" x14ac:dyDescent="0.25">
      <c r="A4" s="3" t="s">
        <v>59</v>
      </c>
      <c r="B4" s="1">
        <v>3</v>
      </c>
    </row>
    <row r="5" spans="1:2" x14ac:dyDescent="0.25">
      <c r="A5" s="3" t="s">
        <v>60</v>
      </c>
      <c r="B5" s="1">
        <v>4</v>
      </c>
    </row>
    <row r="6" spans="1:2" x14ac:dyDescent="0.25">
      <c r="A6" s="3" t="s">
        <v>61</v>
      </c>
      <c r="B6" s="1">
        <v>8</v>
      </c>
    </row>
    <row r="7" spans="1:2" x14ac:dyDescent="0.25">
      <c r="A7" s="3" t="s">
        <v>62</v>
      </c>
      <c r="B7" s="1">
        <v>4</v>
      </c>
    </row>
    <row r="8" spans="1:2" x14ac:dyDescent="0.25">
      <c r="A8" s="3" t="s">
        <v>70</v>
      </c>
      <c r="B8" s="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sqref="A1:E1048576"/>
    </sheetView>
  </sheetViews>
  <sheetFormatPr defaultRowHeight="15" x14ac:dyDescent="0.25"/>
  <cols>
    <col min="1" max="1" width="14.28515625" customWidth="1"/>
    <col min="2" max="2" width="8.42578125" customWidth="1"/>
    <col min="3" max="5" width="8" bestFit="1" customWidth="1"/>
    <col min="7" max="7" width="18" customWidth="1"/>
  </cols>
  <sheetData>
    <row r="1" spans="1:8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65</v>
      </c>
      <c r="H1" t="s">
        <v>66</v>
      </c>
    </row>
    <row r="2" spans="1:8" x14ac:dyDescent="0.25">
      <c r="A2" t="s">
        <v>0</v>
      </c>
      <c r="B2">
        <v>1415007</v>
      </c>
      <c r="C2">
        <v>1397195</v>
      </c>
      <c r="D2">
        <v>1499070</v>
      </c>
      <c r="E2">
        <v>1481105</v>
      </c>
      <c r="F2" t="str">
        <f>MID(A2,4,1)</f>
        <v>D</v>
      </c>
      <c r="G2" t="str">
        <f>MID(A2,1,3)</f>
        <v>w01</v>
      </c>
      <c r="H2" t="str">
        <f>IF(AND(D2&gt;B2,E2&gt;C2),"TAK","NIE")</f>
        <v>TAK</v>
      </c>
    </row>
    <row r="3" spans="1:8" x14ac:dyDescent="0.25">
      <c r="A3" t="s">
        <v>1</v>
      </c>
      <c r="B3">
        <v>1711390</v>
      </c>
      <c r="C3">
        <v>1641773</v>
      </c>
      <c r="D3">
        <v>1522030</v>
      </c>
      <c r="E3">
        <v>1618733</v>
      </c>
      <c r="F3" t="str">
        <f t="shared" ref="F3:F51" si="0">MID(A3,4,1)</f>
        <v>D</v>
      </c>
      <c r="G3" t="str">
        <f t="shared" ref="G3:G51" si="1">MID(A3,1,3)</f>
        <v>w02</v>
      </c>
      <c r="H3" t="str">
        <f t="shared" ref="H3:H51" si="2">IF(AND(D3&gt;B3,E3&gt;C3),"TAK","NIE")</f>
        <v>NIE</v>
      </c>
    </row>
    <row r="4" spans="1:8" x14ac:dyDescent="0.25">
      <c r="A4" t="s">
        <v>2</v>
      </c>
      <c r="B4">
        <v>1165105</v>
      </c>
      <c r="C4">
        <v>1278732</v>
      </c>
      <c r="D4">
        <v>1299953</v>
      </c>
      <c r="E4">
        <v>1191621</v>
      </c>
      <c r="F4" t="str">
        <f t="shared" si="0"/>
        <v>C</v>
      </c>
      <c r="G4" t="str">
        <f t="shared" si="1"/>
        <v>w03</v>
      </c>
      <c r="H4" t="str">
        <f t="shared" si="2"/>
        <v>NIE</v>
      </c>
    </row>
    <row r="5" spans="1:8" x14ac:dyDescent="0.25">
      <c r="A5" t="s">
        <v>3</v>
      </c>
      <c r="B5">
        <v>949065</v>
      </c>
      <c r="C5">
        <v>1026050</v>
      </c>
      <c r="D5">
        <v>688027</v>
      </c>
      <c r="E5">
        <v>723233</v>
      </c>
      <c r="F5" t="str">
        <f t="shared" si="0"/>
        <v>D</v>
      </c>
      <c r="G5" t="str">
        <f t="shared" si="1"/>
        <v>w04</v>
      </c>
      <c r="H5" t="str">
        <f t="shared" si="2"/>
        <v>NIE</v>
      </c>
    </row>
    <row r="6" spans="1:8" x14ac:dyDescent="0.25">
      <c r="A6" t="s">
        <v>4</v>
      </c>
      <c r="B6">
        <v>2436107</v>
      </c>
      <c r="C6">
        <v>2228622</v>
      </c>
      <c r="D6">
        <v>1831600</v>
      </c>
      <c r="E6">
        <v>1960624</v>
      </c>
      <c r="F6" t="str">
        <f t="shared" si="0"/>
        <v>A</v>
      </c>
      <c r="G6" t="str">
        <f t="shared" si="1"/>
        <v>w05</v>
      </c>
      <c r="H6" t="str">
        <f t="shared" si="2"/>
        <v>NIE</v>
      </c>
    </row>
    <row r="7" spans="1:8" x14ac:dyDescent="0.25">
      <c r="A7" t="s">
        <v>5</v>
      </c>
      <c r="B7">
        <v>1846928</v>
      </c>
      <c r="C7">
        <v>1851433</v>
      </c>
      <c r="D7">
        <v>2125113</v>
      </c>
      <c r="E7">
        <v>2028635</v>
      </c>
      <c r="F7" t="str">
        <f t="shared" si="0"/>
        <v>D</v>
      </c>
      <c r="G7" t="str">
        <f t="shared" si="1"/>
        <v>w06</v>
      </c>
      <c r="H7" t="str">
        <f t="shared" si="2"/>
        <v>TAK</v>
      </c>
    </row>
    <row r="8" spans="1:8" x14ac:dyDescent="0.25">
      <c r="A8" t="s">
        <v>6</v>
      </c>
      <c r="B8">
        <v>3841577</v>
      </c>
      <c r="C8">
        <v>3848394</v>
      </c>
      <c r="D8">
        <v>3595975</v>
      </c>
      <c r="E8">
        <v>3123039</v>
      </c>
      <c r="F8" t="str">
        <f t="shared" si="0"/>
        <v>B</v>
      </c>
      <c r="G8" t="str">
        <f t="shared" si="1"/>
        <v>w07</v>
      </c>
      <c r="H8" t="str">
        <f t="shared" si="2"/>
        <v>NIE</v>
      </c>
    </row>
    <row r="9" spans="1:8" x14ac:dyDescent="0.25">
      <c r="A9" t="s">
        <v>7</v>
      </c>
      <c r="B9">
        <v>679557</v>
      </c>
      <c r="C9">
        <v>655500</v>
      </c>
      <c r="D9">
        <v>1012012</v>
      </c>
      <c r="E9">
        <v>1067022</v>
      </c>
      <c r="F9" t="str">
        <f t="shared" si="0"/>
        <v>A</v>
      </c>
      <c r="G9" t="str">
        <f t="shared" si="1"/>
        <v>w08</v>
      </c>
      <c r="H9" t="str">
        <f t="shared" si="2"/>
        <v>TAK</v>
      </c>
    </row>
    <row r="10" spans="1:8" x14ac:dyDescent="0.25">
      <c r="A10" t="s">
        <v>8</v>
      </c>
      <c r="B10">
        <v>1660998</v>
      </c>
      <c r="C10">
        <v>1630345</v>
      </c>
      <c r="D10">
        <v>1130119</v>
      </c>
      <c r="E10">
        <v>1080238</v>
      </c>
      <c r="F10" t="str">
        <f t="shared" si="0"/>
        <v>C</v>
      </c>
      <c r="G10" t="str">
        <f t="shared" si="1"/>
        <v>w09</v>
      </c>
      <c r="H10" t="str">
        <f t="shared" si="2"/>
        <v>NIE</v>
      </c>
    </row>
    <row r="11" spans="1:8" x14ac:dyDescent="0.25">
      <c r="A11" t="s">
        <v>9</v>
      </c>
      <c r="B11">
        <v>1157622</v>
      </c>
      <c r="C11">
        <v>1182345</v>
      </c>
      <c r="D11">
        <v>830785</v>
      </c>
      <c r="E11">
        <v>833779</v>
      </c>
      <c r="F11" t="str">
        <f t="shared" si="0"/>
        <v>C</v>
      </c>
      <c r="G11" t="str">
        <f t="shared" si="1"/>
        <v>w10</v>
      </c>
      <c r="H11" t="str">
        <f t="shared" si="2"/>
        <v>NIE</v>
      </c>
    </row>
    <row r="12" spans="1:8" x14ac:dyDescent="0.25">
      <c r="A12" t="s">
        <v>10</v>
      </c>
      <c r="B12">
        <v>1987047</v>
      </c>
      <c r="C12">
        <v>1996208</v>
      </c>
      <c r="D12">
        <v>2053892</v>
      </c>
      <c r="E12">
        <v>1697247</v>
      </c>
      <c r="F12" t="str">
        <f t="shared" si="0"/>
        <v>D</v>
      </c>
      <c r="G12" t="str">
        <f t="shared" si="1"/>
        <v>w11</v>
      </c>
      <c r="H12" t="str">
        <f t="shared" si="2"/>
        <v>NIE</v>
      </c>
    </row>
    <row r="13" spans="1:8" x14ac:dyDescent="0.25">
      <c r="A13" t="s">
        <v>11</v>
      </c>
      <c r="B13">
        <v>3997724</v>
      </c>
      <c r="C13">
        <v>3690756</v>
      </c>
      <c r="D13">
        <v>4339393</v>
      </c>
      <c r="E13">
        <v>4639643</v>
      </c>
      <c r="F13" t="str">
        <f t="shared" si="0"/>
        <v>C</v>
      </c>
      <c r="G13" t="str">
        <f t="shared" si="1"/>
        <v>w12</v>
      </c>
      <c r="H13" t="str">
        <f t="shared" si="2"/>
        <v>TAK</v>
      </c>
    </row>
    <row r="14" spans="1:8" x14ac:dyDescent="0.25">
      <c r="A14" t="s">
        <v>12</v>
      </c>
      <c r="B14">
        <v>996113</v>
      </c>
      <c r="C14">
        <v>964279</v>
      </c>
      <c r="D14">
        <v>1012487</v>
      </c>
      <c r="E14">
        <v>1128940</v>
      </c>
      <c r="F14" t="str">
        <f t="shared" si="0"/>
        <v>A</v>
      </c>
      <c r="G14" t="str">
        <f t="shared" si="1"/>
        <v>w13</v>
      </c>
      <c r="H14" t="str">
        <f t="shared" si="2"/>
        <v>TAK</v>
      </c>
    </row>
    <row r="15" spans="1:8" x14ac:dyDescent="0.25">
      <c r="A15" t="s">
        <v>13</v>
      </c>
      <c r="B15">
        <v>1143634</v>
      </c>
      <c r="C15">
        <v>1033836</v>
      </c>
      <c r="D15">
        <v>909534</v>
      </c>
      <c r="E15">
        <v>856349</v>
      </c>
      <c r="F15" t="str">
        <f t="shared" si="0"/>
        <v>A</v>
      </c>
      <c r="G15" t="str">
        <f t="shared" si="1"/>
        <v>w14</v>
      </c>
      <c r="H15" t="str">
        <f t="shared" si="2"/>
        <v>NIE</v>
      </c>
    </row>
    <row r="16" spans="1:8" x14ac:dyDescent="0.25">
      <c r="A16" t="s">
        <v>14</v>
      </c>
      <c r="B16">
        <v>2549276</v>
      </c>
      <c r="C16">
        <v>2584751</v>
      </c>
      <c r="D16">
        <v>2033079</v>
      </c>
      <c r="E16">
        <v>2066918</v>
      </c>
      <c r="F16" t="str">
        <f t="shared" si="0"/>
        <v>A</v>
      </c>
      <c r="G16" t="str">
        <f t="shared" si="1"/>
        <v>w15</v>
      </c>
      <c r="H16" t="str">
        <f t="shared" si="2"/>
        <v>NIE</v>
      </c>
    </row>
    <row r="17" spans="1:8" x14ac:dyDescent="0.25">
      <c r="A17" t="s">
        <v>15</v>
      </c>
      <c r="B17">
        <v>1367212</v>
      </c>
      <c r="C17">
        <v>1361389</v>
      </c>
      <c r="D17">
        <v>1572320</v>
      </c>
      <c r="E17">
        <v>1836258</v>
      </c>
      <c r="F17" t="str">
        <f t="shared" si="0"/>
        <v>C</v>
      </c>
      <c r="G17" t="str">
        <f t="shared" si="1"/>
        <v>w16</v>
      </c>
      <c r="H17" t="str">
        <f t="shared" si="2"/>
        <v>TAK</v>
      </c>
    </row>
    <row r="18" spans="1:8" x14ac:dyDescent="0.25">
      <c r="A18" t="s">
        <v>16</v>
      </c>
      <c r="B18">
        <v>2567464</v>
      </c>
      <c r="C18">
        <v>2441857</v>
      </c>
      <c r="D18">
        <v>1524132</v>
      </c>
      <c r="E18">
        <v>1496810</v>
      </c>
      <c r="F18" t="str">
        <f t="shared" si="0"/>
        <v>A</v>
      </c>
      <c r="G18" t="str">
        <f t="shared" si="1"/>
        <v>w17</v>
      </c>
      <c r="H18" t="str">
        <f t="shared" si="2"/>
        <v>NIE</v>
      </c>
    </row>
    <row r="19" spans="1:8" x14ac:dyDescent="0.25">
      <c r="A19" t="s">
        <v>17</v>
      </c>
      <c r="B19">
        <v>1334060</v>
      </c>
      <c r="C19">
        <v>1395231</v>
      </c>
      <c r="D19">
        <v>578655</v>
      </c>
      <c r="E19">
        <v>677663</v>
      </c>
      <c r="F19" t="str">
        <f t="shared" si="0"/>
        <v>D</v>
      </c>
      <c r="G19" t="str">
        <f t="shared" si="1"/>
        <v>w18</v>
      </c>
      <c r="H19" t="str">
        <f t="shared" si="2"/>
        <v>NIE</v>
      </c>
    </row>
    <row r="20" spans="1:8" x14ac:dyDescent="0.25">
      <c r="A20" t="s">
        <v>18</v>
      </c>
      <c r="B20">
        <v>2976209</v>
      </c>
      <c r="C20">
        <v>3199665</v>
      </c>
      <c r="D20">
        <v>1666477</v>
      </c>
      <c r="E20">
        <v>1759240</v>
      </c>
      <c r="F20" t="str">
        <f t="shared" si="0"/>
        <v>C</v>
      </c>
      <c r="G20" t="str">
        <f t="shared" si="1"/>
        <v>w19</v>
      </c>
      <c r="H20" t="str">
        <f t="shared" si="2"/>
        <v>NIE</v>
      </c>
    </row>
    <row r="21" spans="1:8" x14ac:dyDescent="0.25">
      <c r="A21" t="s">
        <v>19</v>
      </c>
      <c r="B21">
        <v>1443351</v>
      </c>
      <c r="C21">
        <v>1565539</v>
      </c>
      <c r="D21">
        <v>1355276</v>
      </c>
      <c r="E21">
        <v>1423414</v>
      </c>
      <c r="F21" t="str">
        <f t="shared" si="0"/>
        <v>C</v>
      </c>
      <c r="G21" t="str">
        <f t="shared" si="1"/>
        <v>w20</v>
      </c>
      <c r="H21" t="str">
        <f t="shared" si="2"/>
        <v>NIE</v>
      </c>
    </row>
    <row r="22" spans="1:8" x14ac:dyDescent="0.25">
      <c r="A22" t="s">
        <v>20</v>
      </c>
      <c r="B22">
        <v>2486640</v>
      </c>
      <c r="C22">
        <v>2265936</v>
      </c>
      <c r="D22">
        <v>297424</v>
      </c>
      <c r="E22">
        <v>274759</v>
      </c>
      <c r="F22" t="str">
        <f t="shared" si="0"/>
        <v>A</v>
      </c>
      <c r="G22" t="str">
        <f t="shared" si="1"/>
        <v>w21</v>
      </c>
      <c r="H22" t="str">
        <f t="shared" si="2"/>
        <v>NIE</v>
      </c>
    </row>
    <row r="23" spans="1:8" x14ac:dyDescent="0.25">
      <c r="A23" t="s">
        <v>21</v>
      </c>
      <c r="B23">
        <v>685438</v>
      </c>
      <c r="C23">
        <v>749124</v>
      </c>
      <c r="D23">
        <v>2697677</v>
      </c>
      <c r="E23">
        <v>2821550</v>
      </c>
      <c r="F23" t="str">
        <f t="shared" si="0"/>
        <v>B</v>
      </c>
      <c r="G23" t="str">
        <f t="shared" si="1"/>
        <v>w22</v>
      </c>
      <c r="H23" t="str">
        <f t="shared" si="2"/>
        <v>TAK</v>
      </c>
    </row>
    <row r="24" spans="1:8" x14ac:dyDescent="0.25">
      <c r="A24" t="s">
        <v>22</v>
      </c>
      <c r="B24">
        <v>2166753</v>
      </c>
      <c r="C24">
        <v>2338698</v>
      </c>
      <c r="D24">
        <v>1681433</v>
      </c>
      <c r="E24">
        <v>1592443</v>
      </c>
      <c r="F24" t="str">
        <f t="shared" si="0"/>
        <v>B</v>
      </c>
      <c r="G24" t="str">
        <f t="shared" si="1"/>
        <v>w23</v>
      </c>
      <c r="H24" t="str">
        <f t="shared" si="2"/>
        <v>NIE</v>
      </c>
    </row>
    <row r="25" spans="1:8" x14ac:dyDescent="0.25">
      <c r="A25" t="s">
        <v>23</v>
      </c>
      <c r="B25">
        <v>643177</v>
      </c>
      <c r="C25">
        <v>684187</v>
      </c>
      <c r="D25">
        <v>796213</v>
      </c>
      <c r="E25">
        <v>867904</v>
      </c>
      <c r="F25" t="str">
        <f t="shared" si="0"/>
        <v>C</v>
      </c>
      <c r="G25" t="str">
        <f t="shared" si="1"/>
        <v>w24</v>
      </c>
      <c r="H25" t="str">
        <f t="shared" si="2"/>
        <v>TAK</v>
      </c>
    </row>
    <row r="26" spans="1:8" x14ac:dyDescent="0.25">
      <c r="A26" t="s">
        <v>24</v>
      </c>
      <c r="B26">
        <v>450192</v>
      </c>
      <c r="C26">
        <v>434755</v>
      </c>
      <c r="D26">
        <v>1656446</v>
      </c>
      <c r="E26">
        <v>1691000</v>
      </c>
      <c r="F26" t="str">
        <f t="shared" si="0"/>
        <v>B</v>
      </c>
      <c r="G26" t="str">
        <f t="shared" si="1"/>
        <v>w25</v>
      </c>
      <c r="H26" t="str">
        <f t="shared" si="2"/>
        <v>TAK</v>
      </c>
    </row>
    <row r="27" spans="1:8" x14ac:dyDescent="0.25">
      <c r="A27" t="s">
        <v>25</v>
      </c>
      <c r="B27">
        <v>1037774</v>
      </c>
      <c r="C27">
        <v>1113789</v>
      </c>
      <c r="D27">
        <v>877464</v>
      </c>
      <c r="E27">
        <v>990837</v>
      </c>
      <c r="F27" t="str">
        <f t="shared" si="0"/>
        <v>C</v>
      </c>
      <c r="G27" t="str">
        <f t="shared" si="1"/>
        <v>w26</v>
      </c>
      <c r="H27" t="str">
        <f t="shared" si="2"/>
        <v>NIE</v>
      </c>
    </row>
    <row r="28" spans="1:8" x14ac:dyDescent="0.25">
      <c r="A28" t="s">
        <v>26</v>
      </c>
      <c r="B28">
        <v>2351213</v>
      </c>
      <c r="C28">
        <v>2358482</v>
      </c>
      <c r="D28">
        <v>1098384</v>
      </c>
      <c r="E28">
        <v>1121488</v>
      </c>
      <c r="F28" t="str">
        <f t="shared" si="0"/>
        <v>C</v>
      </c>
      <c r="G28" t="str">
        <f t="shared" si="1"/>
        <v>w27</v>
      </c>
      <c r="H28" t="str">
        <f t="shared" si="2"/>
        <v>NIE</v>
      </c>
    </row>
    <row r="29" spans="1:8" x14ac:dyDescent="0.25">
      <c r="A29" t="s">
        <v>27</v>
      </c>
      <c r="B29">
        <v>2613354</v>
      </c>
      <c r="C29">
        <v>2837241</v>
      </c>
      <c r="D29">
        <v>431144</v>
      </c>
      <c r="E29">
        <v>434113</v>
      </c>
      <c r="F29" t="str">
        <f t="shared" si="0"/>
        <v>D</v>
      </c>
      <c r="G29" t="str">
        <f t="shared" si="1"/>
        <v>w28</v>
      </c>
      <c r="H29" t="str">
        <f t="shared" si="2"/>
        <v>NIE</v>
      </c>
    </row>
    <row r="30" spans="1:8" x14ac:dyDescent="0.25">
      <c r="A30" t="s">
        <v>28</v>
      </c>
      <c r="B30">
        <v>1859691</v>
      </c>
      <c r="C30">
        <v>1844250</v>
      </c>
      <c r="D30">
        <v>1460134</v>
      </c>
      <c r="E30">
        <v>1585258</v>
      </c>
      <c r="F30" t="str">
        <f t="shared" si="0"/>
        <v>A</v>
      </c>
      <c r="G30" t="str">
        <f t="shared" si="1"/>
        <v>w29</v>
      </c>
      <c r="H30" t="str">
        <f t="shared" si="2"/>
        <v>NIE</v>
      </c>
    </row>
    <row r="31" spans="1:8" x14ac:dyDescent="0.25">
      <c r="A31" t="s">
        <v>29</v>
      </c>
      <c r="B31">
        <v>2478386</v>
      </c>
      <c r="C31">
        <v>2562144</v>
      </c>
      <c r="D31">
        <v>30035</v>
      </c>
      <c r="E31">
        <v>29396</v>
      </c>
      <c r="F31" t="str">
        <f t="shared" si="0"/>
        <v>C</v>
      </c>
      <c r="G31" t="str">
        <f t="shared" si="1"/>
        <v>w30</v>
      </c>
      <c r="H31" t="str">
        <f t="shared" si="2"/>
        <v>NIE</v>
      </c>
    </row>
    <row r="32" spans="1:8" x14ac:dyDescent="0.25">
      <c r="A32" t="s">
        <v>30</v>
      </c>
      <c r="B32">
        <v>1938122</v>
      </c>
      <c r="C32">
        <v>1816647</v>
      </c>
      <c r="D32">
        <v>1602356</v>
      </c>
      <c r="E32">
        <v>1875221</v>
      </c>
      <c r="F32" t="str">
        <f t="shared" si="0"/>
        <v>C</v>
      </c>
      <c r="G32" t="str">
        <f t="shared" si="1"/>
        <v>w31</v>
      </c>
      <c r="H32" t="str">
        <f t="shared" si="2"/>
        <v>NIE</v>
      </c>
    </row>
    <row r="33" spans="1:8" x14ac:dyDescent="0.25">
      <c r="A33" t="s">
        <v>31</v>
      </c>
      <c r="B33">
        <v>992523</v>
      </c>
      <c r="C33">
        <v>1028501</v>
      </c>
      <c r="D33">
        <v>1995446</v>
      </c>
      <c r="E33">
        <v>1860524</v>
      </c>
      <c r="F33" t="str">
        <f t="shared" si="0"/>
        <v>D</v>
      </c>
      <c r="G33" t="str">
        <f t="shared" si="1"/>
        <v>w32</v>
      </c>
      <c r="H33" t="str">
        <f t="shared" si="2"/>
        <v>TAK</v>
      </c>
    </row>
    <row r="34" spans="1:8" x14ac:dyDescent="0.25">
      <c r="A34" t="s">
        <v>32</v>
      </c>
      <c r="B34">
        <v>2966291</v>
      </c>
      <c r="C34">
        <v>2889963</v>
      </c>
      <c r="D34">
        <v>462453</v>
      </c>
      <c r="E34">
        <v>486354</v>
      </c>
      <c r="F34" t="str">
        <f t="shared" si="0"/>
        <v>B</v>
      </c>
      <c r="G34" t="str">
        <f t="shared" si="1"/>
        <v>w33</v>
      </c>
      <c r="H34" t="str">
        <f t="shared" si="2"/>
        <v>NIE</v>
      </c>
    </row>
    <row r="35" spans="1:8" x14ac:dyDescent="0.25">
      <c r="A35" t="s">
        <v>33</v>
      </c>
      <c r="B35">
        <v>76648</v>
      </c>
      <c r="C35">
        <v>81385</v>
      </c>
      <c r="D35">
        <v>1374708</v>
      </c>
      <c r="E35">
        <v>1379567</v>
      </c>
      <c r="F35" t="str">
        <f t="shared" si="0"/>
        <v>C</v>
      </c>
      <c r="G35" t="str">
        <f t="shared" si="1"/>
        <v>w34</v>
      </c>
      <c r="H35" t="str">
        <f t="shared" si="2"/>
        <v>TAK</v>
      </c>
    </row>
    <row r="36" spans="1:8" x14ac:dyDescent="0.25">
      <c r="A36" t="s">
        <v>34</v>
      </c>
      <c r="B36">
        <v>2574432</v>
      </c>
      <c r="C36">
        <v>2409710</v>
      </c>
      <c r="D36">
        <v>987486</v>
      </c>
      <c r="E36">
        <v>999043</v>
      </c>
      <c r="F36" t="str">
        <f t="shared" si="0"/>
        <v>C</v>
      </c>
      <c r="G36" t="str">
        <f t="shared" si="1"/>
        <v>w35</v>
      </c>
      <c r="H36" t="str">
        <f t="shared" si="2"/>
        <v>NIE</v>
      </c>
    </row>
    <row r="37" spans="1:8" x14ac:dyDescent="0.25">
      <c r="A37" t="s">
        <v>35</v>
      </c>
      <c r="B37">
        <v>1778590</v>
      </c>
      <c r="C37">
        <v>1874844</v>
      </c>
      <c r="D37">
        <v>111191</v>
      </c>
      <c r="E37">
        <v>117846</v>
      </c>
      <c r="F37" t="str">
        <f t="shared" si="0"/>
        <v>B</v>
      </c>
      <c r="G37" t="str">
        <f t="shared" si="1"/>
        <v>w36</v>
      </c>
      <c r="H37" t="str">
        <f t="shared" si="2"/>
        <v>NIE</v>
      </c>
    </row>
    <row r="38" spans="1:8" x14ac:dyDescent="0.25">
      <c r="A38" t="s">
        <v>36</v>
      </c>
      <c r="B38">
        <v>1506541</v>
      </c>
      <c r="C38">
        <v>1414887</v>
      </c>
      <c r="D38">
        <v>1216612</v>
      </c>
      <c r="E38">
        <v>1166775</v>
      </c>
      <c r="F38" t="str">
        <f t="shared" si="0"/>
        <v>A</v>
      </c>
      <c r="G38" t="str">
        <f t="shared" si="1"/>
        <v>w37</v>
      </c>
      <c r="H38" t="str">
        <f t="shared" si="2"/>
        <v>NIE</v>
      </c>
    </row>
    <row r="39" spans="1:8" x14ac:dyDescent="0.25">
      <c r="A39" t="s">
        <v>37</v>
      </c>
      <c r="B39">
        <v>1598886</v>
      </c>
      <c r="C39">
        <v>1687917</v>
      </c>
      <c r="D39">
        <v>449788</v>
      </c>
      <c r="E39">
        <v>427615</v>
      </c>
      <c r="F39" t="str">
        <f t="shared" si="0"/>
        <v>B</v>
      </c>
      <c r="G39" t="str">
        <f t="shared" si="1"/>
        <v>w38</v>
      </c>
      <c r="H39" t="str">
        <f t="shared" si="2"/>
        <v>NIE</v>
      </c>
    </row>
    <row r="40" spans="1:8" x14ac:dyDescent="0.25">
      <c r="A40" t="s">
        <v>38</v>
      </c>
      <c r="B40">
        <v>548989</v>
      </c>
      <c r="C40">
        <v>514636</v>
      </c>
      <c r="D40">
        <v>2770344</v>
      </c>
      <c r="E40">
        <v>3187897</v>
      </c>
      <c r="F40" t="str">
        <f t="shared" si="0"/>
        <v>D</v>
      </c>
      <c r="G40" t="str">
        <f t="shared" si="1"/>
        <v>w39</v>
      </c>
      <c r="H40" t="str">
        <f t="shared" si="2"/>
        <v>TAK</v>
      </c>
    </row>
    <row r="41" spans="1:8" x14ac:dyDescent="0.25">
      <c r="A41" t="s">
        <v>39</v>
      </c>
      <c r="B41">
        <v>1175198</v>
      </c>
      <c r="C41">
        <v>1095440</v>
      </c>
      <c r="D41">
        <v>2657174</v>
      </c>
      <c r="E41">
        <v>2491947</v>
      </c>
      <c r="F41" t="str">
        <f t="shared" si="0"/>
        <v>A</v>
      </c>
      <c r="G41" t="str">
        <f t="shared" si="1"/>
        <v>w40</v>
      </c>
      <c r="H41" t="str">
        <f t="shared" si="2"/>
        <v>TAK</v>
      </c>
    </row>
    <row r="42" spans="1:8" x14ac:dyDescent="0.25">
      <c r="A42" t="s">
        <v>40</v>
      </c>
      <c r="B42">
        <v>2115336</v>
      </c>
      <c r="C42">
        <v>2202769</v>
      </c>
      <c r="D42">
        <v>15339</v>
      </c>
      <c r="E42">
        <v>14652</v>
      </c>
      <c r="F42" t="str">
        <f t="shared" si="0"/>
        <v>D</v>
      </c>
      <c r="G42" t="str">
        <f t="shared" si="1"/>
        <v>w41</v>
      </c>
      <c r="H42" t="str">
        <f t="shared" si="2"/>
        <v>NIE</v>
      </c>
    </row>
    <row r="43" spans="1:8" x14ac:dyDescent="0.25">
      <c r="A43" t="s">
        <v>41</v>
      </c>
      <c r="B43">
        <v>2346640</v>
      </c>
      <c r="C43">
        <v>2197559</v>
      </c>
      <c r="D43">
        <v>373470</v>
      </c>
      <c r="E43">
        <v>353365</v>
      </c>
      <c r="F43" t="str">
        <f t="shared" si="0"/>
        <v>B</v>
      </c>
      <c r="G43" t="str">
        <f t="shared" si="1"/>
        <v>w42</v>
      </c>
      <c r="H43" t="str">
        <f t="shared" si="2"/>
        <v>NIE</v>
      </c>
    </row>
    <row r="44" spans="1:8" x14ac:dyDescent="0.25">
      <c r="A44" t="s">
        <v>42</v>
      </c>
      <c r="B44">
        <v>2548438</v>
      </c>
      <c r="C44">
        <v>2577213</v>
      </c>
      <c r="D44">
        <v>37986</v>
      </c>
      <c r="E44">
        <v>37766</v>
      </c>
      <c r="F44" t="str">
        <f t="shared" si="0"/>
        <v>D</v>
      </c>
      <c r="G44" t="str">
        <f t="shared" si="1"/>
        <v>w43</v>
      </c>
      <c r="H44" t="str">
        <f t="shared" si="2"/>
        <v>NIE</v>
      </c>
    </row>
    <row r="45" spans="1:8" x14ac:dyDescent="0.25">
      <c r="A45" t="s">
        <v>43</v>
      </c>
      <c r="B45">
        <v>835495</v>
      </c>
      <c r="C45">
        <v>837746</v>
      </c>
      <c r="D45">
        <v>1106177</v>
      </c>
      <c r="E45">
        <v>917781</v>
      </c>
      <c r="F45" t="str">
        <f t="shared" si="0"/>
        <v>C</v>
      </c>
      <c r="G45" t="str">
        <f t="shared" si="1"/>
        <v>w44</v>
      </c>
      <c r="H45" t="str">
        <f t="shared" si="2"/>
        <v>TAK</v>
      </c>
    </row>
    <row r="46" spans="1:8" x14ac:dyDescent="0.25">
      <c r="A46" t="s">
        <v>44</v>
      </c>
      <c r="B46">
        <v>1187448</v>
      </c>
      <c r="C46">
        <v>1070426</v>
      </c>
      <c r="D46">
        <v>1504608</v>
      </c>
      <c r="E46">
        <v>1756990</v>
      </c>
      <c r="F46" t="str">
        <f t="shared" si="0"/>
        <v>B</v>
      </c>
      <c r="G46" t="str">
        <f t="shared" si="1"/>
        <v>w45</v>
      </c>
      <c r="H46" t="str">
        <f t="shared" si="2"/>
        <v>TAK</v>
      </c>
    </row>
    <row r="47" spans="1:8" x14ac:dyDescent="0.25">
      <c r="A47" t="s">
        <v>45</v>
      </c>
      <c r="B47">
        <v>140026</v>
      </c>
      <c r="C47">
        <v>146354</v>
      </c>
      <c r="D47">
        <v>2759991</v>
      </c>
      <c r="E47">
        <v>2742120</v>
      </c>
      <c r="F47" t="str">
        <f t="shared" si="0"/>
        <v>C</v>
      </c>
      <c r="G47" t="str">
        <f t="shared" si="1"/>
        <v>w46</v>
      </c>
      <c r="H47" t="str">
        <f t="shared" si="2"/>
        <v>TAK</v>
      </c>
    </row>
    <row r="48" spans="1:8" x14ac:dyDescent="0.25">
      <c r="A48" t="s">
        <v>46</v>
      </c>
      <c r="B48">
        <v>1198765</v>
      </c>
      <c r="C48">
        <v>1304945</v>
      </c>
      <c r="D48">
        <v>2786493</v>
      </c>
      <c r="E48">
        <v>2602643</v>
      </c>
      <c r="F48" t="str">
        <f t="shared" si="0"/>
        <v>B</v>
      </c>
      <c r="G48" t="str">
        <f t="shared" si="1"/>
        <v>w47</v>
      </c>
      <c r="H48" t="str">
        <f t="shared" si="2"/>
        <v>TAK</v>
      </c>
    </row>
    <row r="49" spans="1:8" x14ac:dyDescent="0.25">
      <c r="A49" t="s">
        <v>47</v>
      </c>
      <c r="B49">
        <v>2619776</v>
      </c>
      <c r="C49">
        <v>2749623</v>
      </c>
      <c r="D49">
        <v>2888215</v>
      </c>
      <c r="E49">
        <v>2800174</v>
      </c>
      <c r="F49" t="str">
        <f t="shared" si="0"/>
        <v>C</v>
      </c>
      <c r="G49" t="str">
        <f t="shared" si="1"/>
        <v>w48</v>
      </c>
      <c r="H49" t="str">
        <f t="shared" si="2"/>
        <v>TAK</v>
      </c>
    </row>
    <row r="50" spans="1:8" x14ac:dyDescent="0.25">
      <c r="A50" t="s">
        <v>48</v>
      </c>
      <c r="B50">
        <v>248398</v>
      </c>
      <c r="C50">
        <v>268511</v>
      </c>
      <c r="D50">
        <v>3110853</v>
      </c>
      <c r="E50">
        <v>2986411</v>
      </c>
      <c r="F50" t="str">
        <f t="shared" si="0"/>
        <v>C</v>
      </c>
      <c r="G50" t="str">
        <f t="shared" si="1"/>
        <v>w49</v>
      </c>
      <c r="H50" t="str">
        <f t="shared" si="2"/>
        <v>TAK</v>
      </c>
    </row>
    <row r="51" spans="1:8" x14ac:dyDescent="0.25">
      <c r="A51" t="s">
        <v>49</v>
      </c>
      <c r="B51">
        <v>2494207</v>
      </c>
      <c r="C51">
        <v>2625207</v>
      </c>
      <c r="D51">
        <v>1796293</v>
      </c>
      <c r="E51">
        <v>1853602</v>
      </c>
      <c r="F51" t="str">
        <f t="shared" si="0"/>
        <v>B</v>
      </c>
      <c r="G51" t="str">
        <f t="shared" si="1"/>
        <v>w50</v>
      </c>
      <c r="H51" t="str">
        <f t="shared" si="2"/>
        <v>NIE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H2" sqref="H2:H51"/>
    </sheetView>
  </sheetViews>
  <sheetFormatPr defaultRowHeight="15" x14ac:dyDescent="0.25"/>
  <cols>
    <col min="1" max="1" width="14.28515625" customWidth="1"/>
    <col min="2" max="2" width="8.42578125" customWidth="1"/>
    <col min="3" max="5" width="8" bestFit="1" customWidth="1"/>
    <col min="6" max="6" width="12.85546875" customWidth="1"/>
    <col min="7" max="7" width="16.140625" customWidth="1"/>
    <col min="8" max="8" width="18.42578125" customWidth="1"/>
  </cols>
  <sheetData>
    <row r="1" spans="1:8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72</v>
      </c>
      <c r="G1" t="s">
        <v>73</v>
      </c>
      <c r="H1" t="s">
        <v>71</v>
      </c>
    </row>
    <row r="2" spans="1:8" x14ac:dyDescent="0.25">
      <c r="A2" t="s">
        <v>0</v>
      </c>
      <c r="B2">
        <v>1415007</v>
      </c>
      <c r="C2">
        <v>1397195</v>
      </c>
      <c r="D2">
        <v>1499070</v>
      </c>
      <c r="E2">
        <v>1481105</v>
      </c>
      <c r="F2">
        <f>B2+C2</f>
        <v>2812202</v>
      </c>
      <c r="G2">
        <f>D2+E2</f>
        <v>2980175</v>
      </c>
      <c r="H2">
        <f>ROUNDDOWN(G2/F2,4)</f>
        <v>1.0597000000000001</v>
      </c>
    </row>
    <row r="3" spans="1:8" x14ac:dyDescent="0.25">
      <c r="A3" t="s">
        <v>1</v>
      </c>
      <c r="B3">
        <v>1711390</v>
      </c>
      <c r="C3">
        <v>1641773</v>
      </c>
      <c r="D3">
        <v>1522030</v>
      </c>
      <c r="E3">
        <v>1618733</v>
      </c>
      <c r="F3">
        <f t="shared" ref="F3:F51" si="0">B3+C3</f>
        <v>3353163</v>
      </c>
      <c r="G3">
        <f t="shared" ref="G3:G51" si="1">D3+E3</f>
        <v>3140763</v>
      </c>
      <c r="H3">
        <f t="shared" ref="H3:H51" si="2">ROUNDDOWN(G3/F3,4)</f>
        <v>0.93659999999999999</v>
      </c>
    </row>
    <row r="4" spans="1:8" x14ac:dyDescent="0.25">
      <c r="A4" t="s">
        <v>2</v>
      </c>
      <c r="B4">
        <v>1165105</v>
      </c>
      <c r="C4">
        <v>1278732</v>
      </c>
      <c r="D4">
        <v>1299953</v>
      </c>
      <c r="E4">
        <v>1191621</v>
      </c>
      <c r="F4">
        <f t="shared" si="0"/>
        <v>2443837</v>
      </c>
      <c r="G4">
        <f t="shared" si="1"/>
        <v>2491574</v>
      </c>
      <c r="H4">
        <f t="shared" si="2"/>
        <v>1.0195000000000001</v>
      </c>
    </row>
    <row r="5" spans="1:8" x14ac:dyDescent="0.25">
      <c r="A5" t="s">
        <v>3</v>
      </c>
      <c r="B5">
        <v>949065</v>
      </c>
      <c r="C5">
        <v>1026050</v>
      </c>
      <c r="D5">
        <v>688027</v>
      </c>
      <c r="E5">
        <v>723233</v>
      </c>
      <c r="F5">
        <f t="shared" si="0"/>
        <v>1975115</v>
      </c>
      <c r="G5">
        <f t="shared" si="1"/>
        <v>1411260</v>
      </c>
      <c r="H5">
        <f t="shared" si="2"/>
        <v>0.71450000000000002</v>
      </c>
    </row>
    <row r="6" spans="1:8" x14ac:dyDescent="0.25">
      <c r="A6" t="s">
        <v>4</v>
      </c>
      <c r="B6">
        <v>2436107</v>
      </c>
      <c r="C6">
        <v>2228622</v>
      </c>
      <c r="D6">
        <v>1831600</v>
      </c>
      <c r="E6">
        <v>1960624</v>
      </c>
      <c r="F6">
        <f t="shared" si="0"/>
        <v>4664729</v>
      </c>
      <c r="G6">
        <f t="shared" si="1"/>
        <v>3792224</v>
      </c>
      <c r="H6">
        <f t="shared" si="2"/>
        <v>0.81289999999999996</v>
      </c>
    </row>
    <row r="7" spans="1:8" x14ac:dyDescent="0.25">
      <c r="A7" t="s">
        <v>5</v>
      </c>
      <c r="B7">
        <v>1846928</v>
      </c>
      <c r="C7">
        <v>1851433</v>
      </c>
      <c r="D7">
        <v>2125113</v>
      </c>
      <c r="E7">
        <v>2028635</v>
      </c>
      <c r="F7">
        <f t="shared" si="0"/>
        <v>3698361</v>
      </c>
      <c r="G7">
        <f t="shared" si="1"/>
        <v>4153748</v>
      </c>
      <c r="H7">
        <f t="shared" si="2"/>
        <v>1.1231</v>
      </c>
    </row>
    <row r="8" spans="1:8" x14ac:dyDescent="0.25">
      <c r="A8" t="s">
        <v>6</v>
      </c>
      <c r="B8">
        <v>3841577</v>
      </c>
      <c r="C8">
        <v>3848394</v>
      </c>
      <c r="D8">
        <v>3595975</v>
      </c>
      <c r="E8">
        <v>3123039</v>
      </c>
      <c r="F8">
        <f t="shared" si="0"/>
        <v>7689971</v>
      </c>
      <c r="G8">
        <f t="shared" si="1"/>
        <v>6719014</v>
      </c>
      <c r="H8">
        <f t="shared" si="2"/>
        <v>0.87370000000000003</v>
      </c>
    </row>
    <row r="9" spans="1:8" x14ac:dyDescent="0.25">
      <c r="A9" t="s">
        <v>7</v>
      </c>
      <c r="B9">
        <v>679557</v>
      </c>
      <c r="C9">
        <v>655500</v>
      </c>
      <c r="D9">
        <v>1012012</v>
      </c>
      <c r="E9">
        <v>1067022</v>
      </c>
      <c r="F9">
        <f t="shared" si="0"/>
        <v>1335057</v>
      </c>
      <c r="G9">
        <f t="shared" si="1"/>
        <v>2079034</v>
      </c>
      <c r="H9">
        <f t="shared" si="2"/>
        <v>1.5571999999999999</v>
      </c>
    </row>
    <row r="10" spans="1:8" x14ac:dyDescent="0.25">
      <c r="A10" t="s">
        <v>8</v>
      </c>
      <c r="B10">
        <v>1660998</v>
      </c>
      <c r="C10">
        <v>1630345</v>
      </c>
      <c r="D10">
        <v>1130119</v>
      </c>
      <c r="E10">
        <v>1080238</v>
      </c>
      <c r="F10">
        <f t="shared" si="0"/>
        <v>3291343</v>
      </c>
      <c r="G10">
        <f t="shared" si="1"/>
        <v>2210357</v>
      </c>
      <c r="H10">
        <f t="shared" si="2"/>
        <v>0.67149999999999999</v>
      </c>
    </row>
    <row r="11" spans="1:8" x14ac:dyDescent="0.25">
      <c r="A11" t="s">
        <v>9</v>
      </c>
      <c r="B11">
        <v>1157622</v>
      </c>
      <c r="C11">
        <v>1182345</v>
      </c>
      <c r="D11">
        <v>830785</v>
      </c>
      <c r="E11">
        <v>833779</v>
      </c>
      <c r="F11">
        <f t="shared" si="0"/>
        <v>2339967</v>
      </c>
      <c r="G11">
        <f t="shared" si="1"/>
        <v>1664564</v>
      </c>
      <c r="H11">
        <f t="shared" si="2"/>
        <v>0.71130000000000004</v>
      </c>
    </row>
    <row r="12" spans="1:8" x14ac:dyDescent="0.25">
      <c r="A12" t="s">
        <v>10</v>
      </c>
      <c r="B12">
        <v>1987047</v>
      </c>
      <c r="C12">
        <v>1996208</v>
      </c>
      <c r="D12">
        <v>2053892</v>
      </c>
      <c r="E12">
        <v>1697247</v>
      </c>
      <c r="F12">
        <f t="shared" si="0"/>
        <v>3983255</v>
      </c>
      <c r="G12">
        <f t="shared" si="1"/>
        <v>3751139</v>
      </c>
      <c r="H12">
        <f t="shared" si="2"/>
        <v>0.94169999999999998</v>
      </c>
    </row>
    <row r="13" spans="1:8" x14ac:dyDescent="0.25">
      <c r="A13" t="s">
        <v>11</v>
      </c>
      <c r="B13">
        <v>3997724</v>
      </c>
      <c r="C13">
        <v>3690756</v>
      </c>
      <c r="D13">
        <v>4339393</v>
      </c>
      <c r="E13">
        <v>4639643</v>
      </c>
      <c r="F13">
        <f t="shared" si="0"/>
        <v>7688480</v>
      </c>
      <c r="G13">
        <f t="shared" si="1"/>
        <v>8979036</v>
      </c>
      <c r="H13">
        <f t="shared" si="2"/>
        <v>1.1677999999999999</v>
      </c>
    </row>
    <row r="14" spans="1:8" x14ac:dyDescent="0.25">
      <c r="A14" t="s">
        <v>12</v>
      </c>
      <c r="B14">
        <v>996113</v>
      </c>
      <c r="C14">
        <v>964279</v>
      </c>
      <c r="D14">
        <v>1012487</v>
      </c>
      <c r="E14">
        <v>1128940</v>
      </c>
      <c r="F14">
        <f t="shared" si="0"/>
        <v>1960392</v>
      </c>
      <c r="G14">
        <f t="shared" si="1"/>
        <v>2141427</v>
      </c>
      <c r="H14">
        <f t="shared" si="2"/>
        <v>1.0923</v>
      </c>
    </row>
    <row r="15" spans="1:8" x14ac:dyDescent="0.25">
      <c r="A15" t="s">
        <v>13</v>
      </c>
      <c r="B15">
        <v>1143634</v>
      </c>
      <c r="C15">
        <v>1033836</v>
      </c>
      <c r="D15">
        <v>909534</v>
      </c>
      <c r="E15">
        <v>856349</v>
      </c>
      <c r="F15">
        <f t="shared" si="0"/>
        <v>2177470</v>
      </c>
      <c r="G15">
        <f t="shared" si="1"/>
        <v>1765883</v>
      </c>
      <c r="H15">
        <f t="shared" si="2"/>
        <v>0.81089999999999995</v>
      </c>
    </row>
    <row r="16" spans="1:8" x14ac:dyDescent="0.25">
      <c r="A16" t="s">
        <v>14</v>
      </c>
      <c r="B16">
        <v>2549276</v>
      </c>
      <c r="C16">
        <v>2584751</v>
      </c>
      <c r="D16">
        <v>2033079</v>
      </c>
      <c r="E16">
        <v>2066918</v>
      </c>
      <c r="F16">
        <f t="shared" si="0"/>
        <v>5134027</v>
      </c>
      <c r="G16">
        <f t="shared" si="1"/>
        <v>4099997</v>
      </c>
      <c r="H16">
        <f t="shared" si="2"/>
        <v>0.79849999999999999</v>
      </c>
    </row>
    <row r="17" spans="1:8" x14ac:dyDescent="0.25">
      <c r="A17" t="s">
        <v>15</v>
      </c>
      <c r="B17">
        <v>1367212</v>
      </c>
      <c r="C17">
        <v>1361389</v>
      </c>
      <c r="D17">
        <v>1572320</v>
      </c>
      <c r="E17">
        <v>1836258</v>
      </c>
      <c r="F17">
        <f t="shared" si="0"/>
        <v>2728601</v>
      </c>
      <c r="G17">
        <f t="shared" si="1"/>
        <v>3408578</v>
      </c>
      <c r="H17">
        <f t="shared" si="2"/>
        <v>1.2492000000000001</v>
      </c>
    </row>
    <row r="18" spans="1:8" x14ac:dyDescent="0.25">
      <c r="A18" t="s">
        <v>16</v>
      </c>
      <c r="B18">
        <v>2567464</v>
      </c>
      <c r="C18">
        <v>2441857</v>
      </c>
      <c r="D18">
        <v>1524132</v>
      </c>
      <c r="E18">
        <v>1496810</v>
      </c>
      <c r="F18">
        <f t="shared" si="0"/>
        <v>5009321</v>
      </c>
      <c r="G18">
        <f t="shared" si="1"/>
        <v>3020942</v>
      </c>
      <c r="H18">
        <f t="shared" si="2"/>
        <v>0.60299999999999998</v>
      </c>
    </row>
    <row r="19" spans="1:8" x14ac:dyDescent="0.25">
      <c r="A19" t="s">
        <v>17</v>
      </c>
      <c r="B19">
        <v>1334060</v>
      </c>
      <c r="C19">
        <v>1395231</v>
      </c>
      <c r="D19">
        <v>578655</v>
      </c>
      <c r="E19">
        <v>677663</v>
      </c>
      <c r="F19">
        <f t="shared" si="0"/>
        <v>2729291</v>
      </c>
      <c r="G19">
        <f t="shared" si="1"/>
        <v>1256318</v>
      </c>
      <c r="H19">
        <f t="shared" si="2"/>
        <v>0.46029999999999999</v>
      </c>
    </row>
    <row r="20" spans="1:8" x14ac:dyDescent="0.25">
      <c r="A20" t="s">
        <v>18</v>
      </c>
      <c r="B20">
        <v>2976209</v>
      </c>
      <c r="C20">
        <v>3199665</v>
      </c>
      <c r="D20">
        <v>1666477</v>
      </c>
      <c r="E20">
        <v>1759240</v>
      </c>
      <c r="F20">
        <f t="shared" si="0"/>
        <v>6175874</v>
      </c>
      <c r="G20">
        <f t="shared" si="1"/>
        <v>3425717</v>
      </c>
      <c r="H20">
        <f t="shared" si="2"/>
        <v>0.55459999999999998</v>
      </c>
    </row>
    <row r="21" spans="1:8" x14ac:dyDescent="0.25">
      <c r="A21" t="s">
        <v>19</v>
      </c>
      <c r="B21">
        <v>1443351</v>
      </c>
      <c r="C21">
        <v>1565539</v>
      </c>
      <c r="D21">
        <v>1355276</v>
      </c>
      <c r="E21">
        <v>1423414</v>
      </c>
      <c r="F21">
        <f t="shared" si="0"/>
        <v>3008890</v>
      </c>
      <c r="G21">
        <f t="shared" si="1"/>
        <v>2778690</v>
      </c>
      <c r="H21">
        <f t="shared" si="2"/>
        <v>0.9234</v>
      </c>
    </row>
    <row r="22" spans="1:8" x14ac:dyDescent="0.25">
      <c r="A22" t="s">
        <v>20</v>
      </c>
      <c r="B22">
        <v>2486640</v>
      </c>
      <c r="C22">
        <v>2265936</v>
      </c>
      <c r="D22">
        <v>297424</v>
      </c>
      <c r="E22">
        <v>274759</v>
      </c>
      <c r="F22">
        <f t="shared" si="0"/>
        <v>4752576</v>
      </c>
      <c r="G22">
        <f t="shared" si="1"/>
        <v>572183</v>
      </c>
      <c r="H22">
        <f t="shared" si="2"/>
        <v>0.1203</v>
      </c>
    </row>
    <row r="23" spans="1:8" x14ac:dyDescent="0.25">
      <c r="A23" t="s">
        <v>21</v>
      </c>
      <c r="B23">
        <v>685438</v>
      </c>
      <c r="C23">
        <v>749124</v>
      </c>
      <c r="D23">
        <v>2697677</v>
      </c>
      <c r="E23">
        <v>2821550</v>
      </c>
      <c r="F23">
        <f t="shared" si="0"/>
        <v>1434562</v>
      </c>
      <c r="G23">
        <f t="shared" si="1"/>
        <v>5519227</v>
      </c>
      <c r="H23">
        <f t="shared" si="2"/>
        <v>3.8473000000000002</v>
      </c>
    </row>
    <row r="24" spans="1:8" x14ac:dyDescent="0.25">
      <c r="A24" t="s">
        <v>22</v>
      </c>
      <c r="B24">
        <v>2166753</v>
      </c>
      <c r="C24">
        <v>2338698</v>
      </c>
      <c r="D24">
        <v>1681433</v>
      </c>
      <c r="E24">
        <v>1592443</v>
      </c>
      <c r="F24">
        <f t="shared" si="0"/>
        <v>4505451</v>
      </c>
      <c r="G24">
        <f t="shared" si="1"/>
        <v>3273876</v>
      </c>
      <c r="H24">
        <f t="shared" si="2"/>
        <v>0.72660000000000002</v>
      </c>
    </row>
    <row r="25" spans="1:8" x14ac:dyDescent="0.25">
      <c r="A25" t="s">
        <v>23</v>
      </c>
      <c r="B25">
        <v>643177</v>
      </c>
      <c r="C25">
        <v>684187</v>
      </c>
      <c r="D25">
        <v>796213</v>
      </c>
      <c r="E25">
        <v>867904</v>
      </c>
      <c r="F25">
        <f t="shared" si="0"/>
        <v>1327364</v>
      </c>
      <c r="G25">
        <f t="shared" si="1"/>
        <v>1664117</v>
      </c>
      <c r="H25">
        <f t="shared" si="2"/>
        <v>1.2537</v>
      </c>
    </row>
    <row r="26" spans="1:8" x14ac:dyDescent="0.25">
      <c r="A26" t="s">
        <v>24</v>
      </c>
      <c r="B26">
        <v>450192</v>
      </c>
      <c r="C26">
        <v>434755</v>
      </c>
      <c r="D26">
        <v>1656446</v>
      </c>
      <c r="E26">
        <v>1691000</v>
      </c>
      <c r="F26">
        <f t="shared" si="0"/>
        <v>884947</v>
      </c>
      <c r="G26">
        <f t="shared" si="1"/>
        <v>3347446</v>
      </c>
      <c r="H26">
        <f t="shared" si="2"/>
        <v>3.7826</v>
      </c>
    </row>
    <row r="27" spans="1:8" x14ac:dyDescent="0.25">
      <c r="A27" t="s">
        <v>25</v>
      </c>
      <c r="B27">
        <v>1037774</v>
      </c>
      <c r="C27">
        <v>1113789</v>
      </c>
      <c r="D27">
        <v>877464</v>
      </c>
      <c r="E27">
        <v>990837</v>
      </c>
      <c r="F27">
        <f t="shared" si="0"/>
        <v>2151563</v>
      </c>
      <c r="G27">
        <f t="shared" si="1"/>
        <v>1868301</v>
      </c>
      <c r="H27">
        <f t="shared" si="2"/>
        <v>0.86829999999999996</v>
      </c>
    </row>
    <row r="28" spans="1:8" x14ac:dyDescent="0.25">
      <c r="A28" t="s">
        <v>26</v>
      </c>
      <c r="B28">
        <v>2351213</v>
      </c>
      <c r="C28">
        <v>2358482</v>
      </c>
      <c r="D28">
        <v>1098384</v>
      </c>
      <c r="E28">
        <v>1121488</v>
      </c>
      <c r="F28">
        <f t="shared" si="0"/>
        <v>4709695</v>
      </c>
      <c r="G28">
        <f t="shared" si="1"/>
        <v>2219872</v>
      </c>
      <c r="H28">
        <f t="shared" si="2"/>
        <v>0.4713</v>
      </c>
    </row>
    <row r="29" spans="1:8" x14ac:dyDescent="0.25">
      <c r="A29" t="s">
        <v>27</v>
      </c>
      <c r="B29">
        <v>2613354</v>
      </c>
      <c r="C29">
        <v>2837241</v>
      </c>
      <c r="D29">
        <v>431144</v>
      </c>
      <c r="E29">
        <v>434113</v>
      </c>
      <c r="F29">
        <f t="shared" si="0"/>
        <v>5450595</v>
      </c>
      <c r="G29">
        <f t="shared" si="1"/>
        <v>865257</v>
      </c>
      <c r="H29">
        <f t="shared" si="2"/>
        <v>0.15870000000000001</v>
      </c>
    </row>
    <row r="30" spans="1:8" x14ac:dyDescent="0.25">
      <c r="A30" t="s">
        <v>28</v>
      </c>
      <c r="B30">
        <v>1859691</v>
      </c>
      <c r="C30">
        <v>1844250</v>
      </c>
      <c r="D30">
        <v>1460134</v>
      </c>
      <c r="E30">
        <v>1585258</v>
      </c>
      <c r="F30">
        <f t="shared" si="0"/>
        <v>3703941</v>
      </c>
      <c r="G30">
        <f t="shared" si="1"/>
        <v>3045392</v>
      </c>
      <c r="H30">
        <f t="shared" si="2"/>
        <v>0.82220000000000004</v>
      </c>
    </row>
    <row r="31" spans="1:8" x14ac:dyDescent="0.25">
      <c r="A31" t="s">
        <v>29</v>
      </c>
      <c r="B31">
        <v>2478386</v>
      </c>
      <c r="C31">
        <v>2562144</v>
      </c>
      <c r="D31">
        <v>30035</v>
      </c>
      <c r="E31">
        <v>29396</v>
      </c>
      <c r="F31">
        <f t="shared" si="0"/>
        <v>5040530</v>
      </c>
      <c r="G31">
        <f t="shared" si="1"/>
        <v>59431</v>
      </c>
      <c r="H31">
        <f t="shared" si="2"/>
        <v>1.17E-2</v>
      </c>
    </row>
    <row r="32" spans="1:8" x14ac:dyDescent="0.25">
      <c r="A32" t="s">
        <v>30</v>
      </c>
      <c r="B32">
        <v>1938122</v>
      </c>
      <c r="C32">
        <v>1816647</v>
      </c>
      <c r="D32">
        <v>1602356</v>
      </c>
      <c r="E32">
        <v>1875221</v>
      </c>
      <c r="F32">
        <f t="shared" si="0"/>
        <v>3754769</v>
      </c>
      <c r="G32">
        <f t="shared" si="1"/>
        <v>3477577</v>
      </c>
      <c r="H32">
        <f t="shared" si="2"/>
        <v>0.92610000000000003</v>
      </c>
    </row>
    <row r="33" spans="1:8" x14ac:dyDescent="0.25">
      <c r="A33" t="s">
        <v>31</v>
      </c>
      <c r="B33">
        <v>992523</v>
      </c>
      <c r="C33">
        <v>1028501</v>
      </c>
      <c r="D33">
        <v>1995446</v>
      </c>
      <c r="E33">
        <v>1860524</v>
      </c>
      <c r="F33">
        <f t="shared" si="0"/>
        <v>2021024</v>
      </c>
      <c r="G33">
        <f t="shared" si="1"/>
        <v>3855970</v>
      </c>
      <c r="H33">
        <f t="shared" si="2"/>
        <v>1.9078999999999999</v>
      </c>
    </row>
    <row r="34" spans="1:8" x14ac:dyDescent="0.25">
      <c r="A34" t="s">
        <v>32</v>
      </c>
      <c r="B34">
        <v>2966291</v>
      </c>
      <c r="C34">
        <v>2889963</v>
      </c>
      <c r="D34">
        <v>462453</v>
      </c>
      <c r="E34">
        <v>486354</v>
      </c>
      <c r="F34">
        <f t="shared" si="0"/>
        <v>5856254</v>
      </c>
      <c r="G34">
        <f t="shared" si="1"/>
        <v>948807</v>
      </c>
      <c r="H34">
        <f t="shared" si="2"/>
        <v>0.16200000000000001</v>
      </c>
    </row>
    <row r="35" spans="1:8" x14ac:dyDescent="0.25">
      <c r="A35" t="s">
        <v>33</v>
      </c>
      <c r="B35">
        <v>76648</v>
      </c>
      <c r="C35">
        <v>81385</v>
      </c>
      <c r="D35">
        <v>1374708</v>
      </c>
      <c r="E35">
        <v>1379567</v>
      </c>
      <c r="F35">
        <f t="shared" si="0"/>
        <v>158033</v>
      </c>
      <c r="G35">
        <f t="shared" si="1"/>
        <v>2754275</v>
      </c>
      <c r="H35">
        <f t="shared" si="2"/>
        <v>17.4284</v>
      </c>
    </row>
    <row r="36" spans="1:8" x14ac:dyDescent="0.25">
      <c r="A36" t="s">
        <v>34</v>
      </c>
      <c r="B36">
        <v>2574432</v>
      </c>
      <c r="C36">
        <v>2409710</v>
      </c>
      <c r="D36">
        <v>987486</v>
      </c>
      <c r="E36">
        <v>999043</v>
      </c>
      <c r="F36">
        <f t="shared" si="0"/>
        <v>4984142</v>
      </c>
      <c r="G36">
        <f t="shared" si="1"/>
        <v>1986529</v>
      </c>
      <c r="H36">
        <f t="shared" si="2"/>
        <v>0.39850000000000002</v>
      </c>
    </row>
    <row r="37" spans="1:8" x14ac:dyDescent="0.25">
      <c r="A37" t="s">
        <v>35</v>
      </c>
      <c r="B37">
        <v>1778590</v>
      </c>
      <c r="C37">
        <v>1874844</v>
      </c>
      <c r="D37">
        <v>111191</v>
      </c>
      <c r="E37">
        <v>117846</v>
      </c>
      <c r="F37">
        <f t="shared" si="0"/>
        <v>3653434</v>
      </c>
      <c r="G37">
        <f t="shared" si="1"/>
        <v>229037</v>
      </c>
      <c r="H37">
        <f t="shared" si="2"/>
        <v>6.2600000000000003E-2</v>
      </c>
    </row>
    <row r="38" spans="1:8" x14ac:dyDescent="0.25">
      <c r="A38" t="s">
        <v>36</v>
      </c>
      <c r="B38">
        <v>1506541</v>
      </c>
      <c r="C38">
        <v>1414887</v>
      </c>
      <c r="D38">
        <v>1216612</v>
      </c>
      <c r="E38">
        <v>1166775</v>
      </c>
      <c r="F38">
        <f t="shared" si="0"/>
        <v>2921428</v>
      </c>
      <c r="G38">
        <f t="shared" si="1"/>
        <v>2383387</v>
      </c>
      <c r="H38">
        <f t="shared" si="2"/>
        <v>0.81579999999999997</v>
      </c>
    </row>
    <row r="39" spans="1:8" x14ac:dyDescent="0.25">
      <c r="A39" t="s">
        <v>37</v>
      </c>
      <c r="B39">
        <v>1598886</v>
      </c>
      <c r="C39">
        <v>1687917</v>
      </c>
      <c r="D39">
        <v>449788</v>
      </c>
      <c r="E39">
        <v>427615</v>
      </c>
      <c r="F39">
        <f t="shared" si="0"/>
        <v>3286803</v>
      </c>
      <c r="G39">
        <f t="shared" si="1"/>
        <v>877403</v>
      </c>
      <c r="H39">
        <f t="shared" si="2"/>
        <v>0.26690000000000003</v>
      </c>
    </row>
    <row r="40" spans="1:8" x14ac:dyDescent="0.25">
      <c r="A40" t="s">
        <v>38</v>
      </c>
      <c r="B40">
        <v>548989</v>
      </c>
      <c r="C40">
        <v>514636</v>
      </c>
      <c r="D40">
        <v>2770344</v>
      </c>
      <c r="E40">
        <v>3187897</v>
      </c>
      <c r="F40">
        <f t="shared" si="0"/>
        <v>1063625</v>
      </c>
      <c r="G40">
        <f t="shared" si="1"/>
        <v>5958241</v>
      </c>
      <c r="H40">
        <f t="shared" si="2"/>
        <v>5.6017999999999999</v>
      </c>
    </row>
    <row r="41" spans="1:8" x14ac:dyDescent="0.25">
      <c r="A41" t="s">
        <v>39</v>
      </c>
      <c r="B41">
        <v>1175198</v>
      </c>
      <c r="C41">
        <v>1095440</v>
      </c>
      <c r="D41">
        <v>2657174</v>
      </c>
      <c r="E41">
        <v>2491947</v>
      </c>
      <c r="F41">
        <f t="shared" si="0"/>
        <v>2270638</v>
      </c>
      <c r="G41">
        <f t="shared" si="1"/>
        <v>5149121</v>
      </c>
      <c r="H41">
        <f t="shared" si="2"/>
        <v>2.2675999999999998</v>
      </c>
    </row>
    <row r="42" spans="1:8" x14ac:dyDescent="0.25">
      <c r="A42" t="s">
        <v>40</v>
      </c>
      <c r="B42">
        <v>2115336</v>
      </c>
      <c r="C42">
        <v>2202769</v>
      </c>
      <c r="D42">
        <v>15339</v>
      </c>
      <c r="E42">
        <v>14652</v>
      </c>
      <c r="F42">
        <f t="shared" si="0"/>
        <v>4318105</v>
      </c>
      <c r="G42">
        <f t="shared" si="1"/>
        <v>29991</v>
      </c>
      <c r="H42">
        <f t="shared" si="2"/>
        <v>6.8999999999999999E-3</v>
      </c>
    </row>
    <row r="43" spans="1:8" x14ac:dyDescent="0.25">
      <c r="A43" t="s">
        <v>41</v>
      </c>
      <c r="B43">
        <v>2346640</v>
      </c>
      <c r="C43">
        <v>2197559</v>
      </c>
      <c r="D43">
        <v>373470</v>
      </c>
      <c r="E43">
        <v>353365</v>
      </c>
      <c r="F43">
        <f t="shared" si="0"/>
        <v>4544199</v>
      </c>
      <c r="G43">
        <f t="shared" si="1"/>
        <v>726835</v>
      </c>
      <c r="H43">
        <f t="shared" si="2"/>
        <v>0.15989999999999999</v>
      </c>
    </row>
    <row r="44" spans="1:8" x14ac:dyDescent="0.25">
      <c r="A44" t="s">
        <v>42</v>
      </c>
      <c r="B44">
        <v>2548438</v>
      </c>
      <c r="C44">
        <v>2577213</v>
      </c>
      <c r="D44">
        <v>37986</v>
      </c>
      <c r="E44">
        <v>37766</v>
      </c>
      <c r="F44">
        <f t="shared" si="0"/>
        <v>5125651</v>
      </c>
      <c r="G44">
        <f t="shared" si="1"/>
        <v>75752</v>
      </c>
      <c r="H44">
        <f t="shared" si="2"/>
        <v>1.47E-2</v>
      </c>
    </row>
    <row r="45" spans="1:8" x14ac:dyDescent="0.25">
      <c r="A45" t="s">
        <v>43</v>
      </c>
      <c r="B45">
        <v>835495</v>
      </c>
      <c r="C45">
        <v>837746</v>
      </c>
      <c r="D45">
        <v>1106177</v>
      </c>
      <c r="E45">
        <v>917781</v>
      </c>
      <c r="F45">
        <f t="shared" si="0"/>
        <v>1673241</v>
      </c>
      <c r="G45">
        <f t="shared" si="1"/>
        <v>2023958</v>
      </c>
      <c r="H45">
        <f t="shared" si="2"/>
        <v>1.2096</v>
      </c>
    </row>
    <row r="46" spans="1:8" x14ac:dyDescent="0.25">
      <c r="A46" t="s">
        <v>44</v>
      </c>
      <c r="B46">
        <v>1187448</v>
      </c>
      <c r="C46">
        <v>1070426</v>
      </c>
      <c r="D46">
        <v>1504608</v>
      </c>
      <c r="E46">
        <v>1756990</v>
      </c>
      <c r="F46">
        <f t="shared" si="0"/>
        <v>2257874</v>
      </c>
      <c r="G46">
        <f t="shared" si="1"/>
        <v>3261598</v>
      </c>
      <c r="H46">
        <f t="shared" si="2"/>
        <v>1.4444999999999999</v>
      </c>
    </row>
    <row r="47" spans="1:8" x14ac:dyDescent="0.25">
      <c r="A47" t="s">
        <v>45</v>
      </c>
      <c r="B47">
        <v>140026</v>
      </c>
      <c r="C47">
        <v>146354</v>
      </c>
      <c r="D47">
        <v>2759991</v>
      </c>
      <c r="E47">
        <v>2742120</v>
      </c>
      <c r="F47">
        <f t="shared" si="0"/>
        <v>286380</v>
      </c>
      <c r="G47">
        <f t="shared" si="1"/>
        <v>5502111</v>
      </c>
      <c r="H47">
        <f t="shared" si="2"/>
        <v>19.212599999999998</v>
      </c>
    </row>
    <row r="48" spans="1:8" x14ac:dyDescent="0.25">
      <c r="A48" t="s">
        <v>46</v>
      </c>
      <c r="B48">
        <v>1198765</v>
      </c>
      <c r="C48">
        <v>1304945</v>
      </c>
      <c r="D48">
        <v>2786493</v>
      </c>
      <c r="E48">
        <v>2602643</v>
      </c>
      <c r="F48">
        <f t="shared" si="0"/>
        <v>2503710</v>
      </c>
      <c r="G48">
        <f t="shared" si="1"/>
        <v>5389136</v>
      </c>
      <c r="H48">
        <f t="shared" si="2"/>
        <v>2.1524000000000001</v>
      </c>
    </row>
    <row r="49" spans="1:8" x14ac:dyDescent="0.25">
      <c r="A49" t="s">
        <v>47</v>
      </c>
      <c r="B49">
        <v>2619776</v>
      </c>
      <c r="C49">
        <v>2749623</v>
      </c>
      <c r="D49">
        <v>2888215</v>
      </c>
      <c r="E49">
        <v>2800174</v>
      </c>
      <c r="F49">
        <f t="shared" si="0"/>
        <v>5369399</v>
      </c>
      <c r="G49">
        <f t="shared" si="1"/>
        <v>5688389</v>
      </c>
      <c r="H49">
        <f t="shared" si="2"/>
        <v>1.0593999999999999</v>
      </c>
    </row>
    <row r="50" spans="1:8" x14ac:dyDescent="0.25">
      <c r="A50" t="s">
        <v>48</v>
      </c>
      <c r="B50">
        <v>248398</v>
      </c>
      <c r="C50">
        <v>268511</v>
      </c>
      <c r="D50">
        <v>3110853</v>
      </c>
      <c r="E50">
        <v>2986411</v>
      </c>
      <c r="F50">
        <f t="shared" si="0"/>
        <v>516909</v>
      </c>
      <c r="G50">
        <f t="shared" si="1"/>
        <v>6097264</v>
      </c>
      <c r="H50">
        <f t="shared" si="2"/>
        <v>11.7956</v>
      </c>
    </row>
    <row r="51" spans="1:8" x14ac:dyDescent="0.25">
      <c r="A51" t="s">
        <v>49</v>
      </c>
      <c r="B51">
        <v>2494207</v>
      </c>
      <c r="C51">
        <v>2625207</v>
      </c>
      <c r="D51">
        <v>1796293</v>
      </c>
      <c r="E51">
        <v>1853602</v>
      </c>
      <c r="F51">
        <f t="shared" si="0"/>
        <v>5119414</v>
      </c>
      <c r="G51">
        <f t="shared" si="1"/>
        <v>3649895</v>
      </c>
      <c r="H51">
        <f t="shared" si="2"/>
        <v>0.71289999999999998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tabSelected="1" topLeftCell="A18" workbookViewId="0">
      <selection activeCell="U51" sqref="U51"/>
    </sheetView>
  </sheetViews>
  <sheetFormatPr defaultRowHeight="15" x14ac:dyDescent="0.25"/>
  <cols>
    <col min="2" max="2" width="18.28515625" customWidth="1"/>
    <col min="15" max="15" width="9.140625" style="4"/>
    <col min="18" max="18" width="23.42578125" customWidth="1"/>
    <col min="19" max="19" width="19.5703125" customWidth="1"/>
  </cols>
  <sheetData>
    <row r="1" spans="1:20" x14ac:dyDescent="0.25">
      <c r="A1" t="s">
        <v>74</v>
      </c>
      <c r="B1" t="s">
        <v>50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  <c r="O1" s="4">
        <v>2025</v>
      </c>
      <c r="P1">
        <v>2026</v>
      </c>
      <c r="Q1" t="s">
        <v>75</v>
      </c>
      <c r="R1" t="s">
        <v>76</v>
      </c>
      <c r="S1" t="s">
        <v>77</v>
      </c>
      <c r="T1" t="s">
        <v>78</v>
      </c>
    </row>
    <row r="2" spans="1:20" x14ac:dyDescent="0.25">
      <c r="A2">
        <f>'Pom3'!$H2</f>
        <v>1.0597000000000001</v>
      </c>
      <c r="B2" t="str">
        <f>'Pom3'!$A2</f>
        <v>w01D</v>
      </c>
      <c r="C2">
        <f>'Pom3'!$F2</f>
        <v>2812202</v>
      </c>
      <c r="D2">
        <f>'Pom3'!$G2</f>
        <v>2980175</v>
      </c>
      <c r="E2">
        <f>IF(OR(D2="P",D2&gt;$C2*2),"P",ROUNDDOWN(D2*$A2,0))</f>
        <v>3158091</v>
      </c>
      <c r="F2">
        <f t="shared" ref="F2:P2" si="0">IF(OR(E2="P",E2&gt;$C2*2),"P",ROUNDDOWN(E2*$A2,0))</f>
        <v>3346629</v>
      </c>
      <c r="G2">
        <f t="shared" si="0"/>
        <v>3546422</v>
      </c>
      <c r="H2">
        <f t="shared" si="0"/>
        <v>3758143</v>
      </c>
      <c r="I2">
        <f t="shared" si="0"/>
        <v>3982504</v>
      </c>
      <c r="J2">
        <f t="shared" si="0"/>
        <v>4220259</v>
      </c>
      <c r="K2">
        <f t="shared" si="0"/>
        <v>4472208</v>
      </c>
      <c r="L2">
        <f t="shared" si="0"/>
        <v>4739198</v>
      </c>
      <c r="M2">
        <f t="shared" si="0"/>
        <v>5022128</v>
      </c>
      <c r="N2">
        <f t="shared" si="0"/>
        <v>5321949</v>
      </c>
      <c r="O2" s="4">
        <f t="shared" si="0"/>
        <v>5639669</v>
      </c>
      <c r="P2" t="str">
        <f t="shared" si="0"/>
        <v>P</v>
      </c>
      <c r="Q2">
        <f>_xlfn.IFNA(MATCH("P",C2:P2,0),"NIE")</f>
        <v>14</v>
      </c>
      <c r="R2" t="str">
        <f>IF(Q2="NIE","NIE","TAK")</f>
        <v>TAK</v>
      </c>
      <c r="S2">
        <f ca="1">IF(R2="TAK",INDIRECT(ADDRESS(ROW(),Q2+1)),O2)</f>
        <v>5639669</v>
      </c>
      <c r="T2" t="str">
        <f ca="1">IF(S2=MAX($S$2:$S$51),"TAK","NIE")</f>
        <v>NIE</v>
      </c>
    </row>
    <row r="3" spans="1:20" x14ac:dyDescent="0.25">
      <c r="A3">
        <f>'Pom3'!$H3</f>
        <v>0.93659999999999999</v>
      </c>
      <c r="B3" t="str">
        <f>'Pom3'!$A3</f>
        <v>w02D</v>
      </c>
      <c r="C3">
        <f>'Pom3'!$F3</f>
        <v>3353163</v>
      </c>
      <c r="D3">
        <f>'Pom3'!$G3</f>
        <v>3140763</v>
      </c>
      <c r="E3">
        <f t="shared" ref="E3:P3" si="1">IF(OR(D3="P",D3&gt;$C3*2),"P",ROUNDDOWN(D3*$A3,0))</f>
        <v>2941638</v>
      </c>
      <c r="F3">
        <f t="shared" si="1"/>
        <v>2755138</v>
      </c>
      <c r="G3">
        <f t="shared" si="1"/>
        <v>2580462</v>
      </c>
      <c r="H3">
        <f t="shared" si="1"/>
        <v>2416860</v>
      </c>
      <c r="I3">
        <f t="shared" si="1"/>
        <v>2263631</v>
      </c>
      <c r="J3">
        <f t="shared" si="1"/>
        <v>2120116</v>
      </c>
      <c r="K3">
        <f t="shared" si="1"/>
        <v>1985700</v>
      </c>
      <c r="L3">
        <f t="shared" si="1"/>
        <v>1859806</v>
      </c>
      <c r="M3">
        <f t="shared" si="1"/>
        <v>1741894</v>
      </c>
      <c r="N3">
        <f t="shared" si="1"/>
        <v>1631457</v>
      </c>
      <c r="O3" s="4">
        <f t="shared" si="1"/>
        <v>1528022</v>
      </c>
      <c r="P3">
        <f t="shared" si="1"/>
        <v>1431145</v>
      </c>
      <c r="Q3" t="str">
        <f t="shared" ref="Q3:Q51" si="2">_xlfn.IFNA(MATCH("P",C3:P3,0),"NIE")</f>
        <v>NIE</v>
      </c>
      <c r="R3" t="str">
        <f t="shared" ref="R3:R51" si="3">IF(Q3="NIE","NIE","TAK")</f>
        <v>NIE</v>
      </c>
      <c r="S3">
        <f ca="1">IF(R3="TAK",INDIRECT(ADDRESS(ROW(),Q3+1)),O3)</f>
        <v>1528022</v>
      </c>
      <c r="T3" t="str">
        <f t="shared" ref="T3:T51" ca="1" si="4">IF(S3=MAX($S$2:$S$51),"TAK","NIE")</f>
        <v>NIE</v>
      </c>
    </row>
    <row r="4" spans="1:20" x14ac:dyDescent="0.25">
      <c r="A4">
        <f>'Pom3'!$H4</f>
        <v>1.0195000000000001</v>
      </c>
      <c r="B4" t="str">
        <f>'Pom3'!$A4</f>
        <v>w03C</v>
      </c>
      <c r="C4">
        <f>'Pom3'!$F4</f>
        <v>2443837</v>
      </c>
      <c r="D4">
        <f>'Pom3'!$G4</f>
        <v>2491574</v>
      </c>
      <c r="E4">
        <f t="shared" ref="E4:P4" si="5">IF(OR(D4="P",D4&gt;$C4*2),"P",ROUNDDOWN(D4*$A4,0))</f>
        <v>2540159</v>
      </c>
      <c r="F4">
        <f t="shared" si="5"/>
        <v>2589692</v>
      </c>
      <c r="G4">
        <f t="shared" si="5"/>
        <v>2640190</v>
      </c>
      <c r="H4">
        <f t="shared" si="5"/>
        <v>2691673</v>
      </c>
      <c r="I4">
        <f t="shared" si="5"/>
        <v>2744160</v>
      </c>
      <c r="J4">
        <f t="shared" si="5"/>
        <v>2797671</v>
      </c>
      <c r="K4">
        <f t="shared" si="5"/>
        <v>2852225</v>
      </c>
      <c r="L4">
        <f t="shared" si="5"/>
        <v>2907843</v>
      </c>
      <c r="M4">
        <f t="shared" si="5"/>
        <v>2964545</v>
      </c>
      <c r="N4">
        <f t="shared" si="5"/>
        <v>3022353</v>
      </c>
      <c r="O4" s="4">
        <f t="shared" si="5"/>
        <v>3081288</v>
      </c>
      <c r="P4">
        <f t="shared" si="5"/>
        <v>3141373</v>
      </c>
      <c r="Q4" t="str">
        <f t="shared" si="2"/>
        <v>NIE</v>
      </c>
      <c r="R4" t="str">
        <f t="shared" si="3"/>
        <v>NIE</v>
      </c>
      <c r="S4">
        <f ca="1">IF(R4="TAK",INDIRECT(ADDRESS(ROW(),Q4+1)),O4)</f>
        <v>3081288</v>
      </c>
      <c r="T4" t="str">
        <f t="shared" ca="1" si="4"/>
        <v>NIE</v>
      </c>
    </row>
    <row r="5" spans="1:20" x14ac:dyDescent="0.25">
      <c r="A5">
        <f>'Pom3'!$H5</f>
        <v>0.71450000000000002</v>
      </c>
      <c r="B5" t="str">
        <f>'Pom3'!$A5</f>
        <v>w04D</v>
      </c>
      <c r="C5">
        <f>'Pom3'!$F5</f>
        <v>1975115</v>
      </c>
      <c r="D5">
        <f>'Pom3'!$G5</f>
        <v>1411260</v>
      </c>
      <c r="E5">
        <f t="shared" ref="E5:P5" si="6">IF(OR(D5="P",D5&gt;$C5*2),"P",ROUNDDOWN(D5*$A5,0))</f>
        <v>1008345</v>
      </c>
      <c r="F5">
        <f t="shared" si="6"/>
        <v>720462</v>
      </c>
      <c r="G5">
        <f t="shared" si="6"/>
        <v>514770</v>
      </c>
      <c r="H5">
        <f t="shared" si="6"/>
        <v>367803</v>
      </c>
      <c r="I5">
        <f t="shared" si="6"/>
        <v>262795</v>
      </c>
      <c r="J5">
        <f t="shared" si="6"/>
        <v>187767</v>
      </c>
      <c r="K5">
        <f t="shared" si="6"/>
        <v>134159</v>
      </c>
      <c r="L5">
        <f t="shared" si="6"/>
        <v>95856</v>
      </c>
      <c r="M5">
        <f t="shared" si="6"/>
        <v>68489</v>
      </c>
      <c r="N5">
        <f t="shared" si="6"/>
        <v>48935</v>
      </c>
      <c r="O5" s="4">
        <f t="shared" si="6"/>
        <v>34964</v>
      </c>
      <c r="P5">
        <f t="shared" si="6"/>
        <v>24981</v>
      </c>
      <c r="Q5" t="str">
        <f t="shared" si="2"/>
        <v>NIE</v>
      </c>
      <c r="R5" t="str">
        <f t="shared" si="3"/>
        <v>NIE</v>
      </c>
      <c r="S5">
        <f t="shared" ref="S5:S52" ca="1" si="7">IF(R5="TAK",INDIRECT(ADDRESS(ROW(),Q5+1)),O5)</f>
        <v>34964</v>
      </c>
      <c r="T5" t="str">
        <f t="shared" ca="1" si="4"/>
        <v>NIE</v>
      </c>
    </row>
    <row r="6" spans="1:20" x14ac:dyDescent="0.25">
      <c r="A6">
        <f>'Pom3'!$H6</f>
        <v>0.81289999999999996</v>
      </c>
      <c r="B6" t="str">
        <f>'Pom3'!$A6</f>
        <v>w05A</v>
      </c>
      <c r="C6">
        <f>'Pom3'!$F6</f>
        <v>4664729</v>
      </c>
      <c r="D6">
        <f>'Pom3'!$G6</f>
        <v>3792224</v>
      </c>
      <c r="E6">
        <f t="shared" ref="E6:P6" si="8">IF(OR(D6="P",D6&gt;$C6*2),"P",ROUNDDOWN(D6*$A6,0))</f>
        <v>3082698</v>
      </c>
      <c r="F6">
        <f t="shared" si="8"/>
        <v>2505925</v>
      </c>
      <c r="G6">
        <f t="shared" si="8"/>
        <v>2037066</v>
      </c>
      <c r="H6">
        <f t="shared" si="8"/>
        <v>1655930</v>
      </c>
      <c r="I6">
        <f t="shared" si="8"/>
        <v>1346105</v>
      </c>
      <c r="J6">
        <f t="shared" si="8"/>
        <v>1094248</v>
      </c>
      <c r="K6">
        <f t="shared" si="8"/>
        <v>889514</v>
      </c>
      <c r="L6">
        <f t="shared" si="8"/>
        <v>723085</v>
      </c>
      <c r="M6">
        <f t="shared" si="8"/>
        <v>587795</v>
      </c>
      <c r="N6">
        <f t="shared" si="8"/>
        <v>477818</v>
      </c>
      <c r="O6" s="4">
        <f t="shared" si="8"/>
        <v>388418</v>
      </c>
      <c r="P6">
        <f t="shared" si="8"/>
        <v>315744</v>
      </c>
      <c r="Q6" t="str">
        <f t="shared" si="2"/>
        <v>NIE</v>
      </c>
      <c r="R6" t="str">
        <f t="shared" si="3"/>
        <v>NIE</v>
      </c>
      <c r="S6">
        <f t="shared" ca="1" si="7"/>
        <v>388418</v>
      </c>
      <c r="T6" t="str">
        <f t="shared" ca="1" si="4"/>
        <v>NIE</v>
      </c>
    </row>
    <row r="7" spans="1:20" x14ac:dyDescent="0.25">
      <c r="A7">
        <f>'Pom3'!$H7</f>
        <v>1.1231</v>
      </c>
      <c r="B7" t="str">
        <f>'Pom3'!$A7</f>
        <v>w06D</v>
      </c>
      <c r="C7">
        <f>'Pom3'!$F7</f>
        <v>3698361</v>
      </c>
      <c r="D7">
        <f>'Pom3'!$G7</f>
        <v>4153748</v>
      </c>
      <c r="E7">
        <f t="shared" ref="E7:P7" si="9">IF(OR(D7="P",D7&gt;$C7*2),"P",ROUNDDOWN(D7*$A7,0))</f>
        <v>4665074</v>
      </c>
      <c r="F7">
        <f t="shared" si="9"/>
        <v>5239344</v>
      </c>
      <c r="G7">
        <f t="shared" si="9"/>
        <v>5884307</v>
      </c>
      <c r="H7">
        <f t="shared" si="9"/>
        <v>6608665</v>
      </c>
      <c r="I7">
        <f t="shared" si="9"/>
        <v>7422191</v>
      </c>
      <c r="J7" t="str">
        <f t="shared" si="9"/>
        <v>P</v>
      </c>
      <c r="K7" t="str">
        <f t="shared" si="9"/>
        <v>P</v>
      </c>
      <c r="L7" t="str">
        <f t="shared" si="9"/>
        <v>P</v>
      </c>
      <c r="M7" t="str">
        <f t="shared" si="9"/>
        <v>P</v>
      </c>
      <c r="N7" t="str">
        <f t="shared" si="9"/>
        <v>P</v>
      </c>
      <c r="O7" s="4" t="str">
        <f t="shared" si="9"/>
        <v>P</v>
      </c>
      <c r="P7" t="str">
        <f t="shared" si="9"/>
        <v>P</v>
      </c>
      <c r="Q7">
        <f t="shared" si="2"/>
        <v>8</v>
      </c>
      <c r="R7" t="str">
        <f t="shared" si="3"/>
        <v>TAK</v>
      </c>
      <c r="S7">
        <f t="shared" ca="1" si="7"/>
        <v>7422191</v>
      </c>
      <c r="T7" t="str">
        <f t="shared" ca="1" si="4"/>
        <v>NIE</v>
      </c>
    </row>
    <row r="8" spans="1:20" x14ac:dyDescent="0.25">
      <c r="A8">
        <f>'Pom3'!$H8</f>
        <v>0.87370000000000003</v>
      </c>
      <c r="B8" t="str">
        <f>'Pom3'!$A8</f>
        <v>w07B</v>
      </c>
      <c r="C8">
        <f>'Pom3'!$F8</f>
        <v>7689971</v>
      </c>
      <c r="D8">
        <f>'Pom3'!$G8</f>
        <v>6719014</v>
      </c>
      <c r="E8">
        <f t="shared" ref="E8:P8" si="10">IF(OR(D8="P",D8&gt;$C8*2),"P",ROUNDDOWN(D8*$A8,0))</f>
        <v>5870402</v>
      </c>
      <c r="F8">
        <f t="shared" si="10"/>
        <v>5128970</v>
      </c>
      <c r="G8">
        <f t="shared" si="10"/>
        <v>4481181</v>
      </c>
      <c r="H8">
        <f t="shared" si="10"/>
        <v>3915207</v>
      </c>
      <c r="I8">
        <f t="shared" si="10"/>
        <v>3420716</v>
      </c>
      <c r="J8">
        <f t="shared" si="10"/>
        <v>2988679</v>
      </c>
      <c r="K8">
        <f t="shared" si="10"/>
        <v>2611208</v>
      </c>
      <c r="L8">
        <f t="shared" si="10"/>
        <v>2281412</v>
      </c>
      <c r="M8">
        <f t="shared" si="10"/>
        <v>1993269</v>
      </c>
      <c r="N8">
        <f t="shared" si="10"/>
        <v>1741519</v>
      </c>
      <c r="O8" s="4">
        <f t="shared" si="10"/>
        <v>1521565</v>
      </c>
      <c r="P8">
        <f t="shared" si="10"/>
        <v>1329391</v>
      </c>
      <c r="Q8" t="str">
        <f t="shared" si="2"/>
        <v>NIE</v>
      </c>
      <c r="R8" t="str">
        <f t="shared" si="3"/>
        <v>NIE</v>
      </c>
      <c r="S8">
        <f t="shared" ca="1" si="7"/>
        <v>1521565</v>
      </c>
      <c r="T8" t="str">
        <f t="shared" ca="1" si="4"/>
        <v>NIE</v>
      </c>
    </row>
    <row r="9" spans="1:20" x14ac:dyDescent="0.25">
      <c r="A9">
        <f>'Pom3'!$H9</f>
        <v>1.5571999999999999</v>
      </c>
      <c r="B9" t="str">
        <f>'Pom3'!$A9</f>
        <v>w08A</v>
      </c>
      <c r="C9">
        <f>'Pom3'!$F9</f>
        <v>1335057</v>
      </c>
      <c r="D9">
        <f>'Pom3'!$G9</f>
        <v>2079034</v>
      </c>
      <c r="E9">
        <f t="shared" ref="E9:P9" si="11">IF(OR(D9="P",D9&gt;$C9*2),"P",ROUNDDOWN(D9*$A9,0))</f>
        <v>3237471</v>
      </c>
      <c r="F9" t="str">
        <f t="shared" si="11"/>
        <v>P</v>
      </c>
      <c r="G9" t="str">
        <f t="shared" si="11"/>
        <v>P</v>
      </c>
      <c r="H9" t="str">
        <f t="shared" si="11"/>
        <v>P</v>
      </c>
      <c r="I9" t="str">
        <f t="shared" si="11"/>
        <v>P</v>
      </c>
      <c r="J9" t="str">
        <f t="shared" si="11"/>
        <v>P</v>
      </c>
      <c r="K9" t="str">
        <f t="shared" si="11"/>
        <v>P</v>
      </c>
      <c r="L9" t="str">
        <f t="shared" si="11"/>
        <v>P</v>
      </c>
      <c r="M9" t="str">
        <f t="shared" si="11"/>
        <v>P</v>
      </c>
      <c r="N9" t="str">
        <f t="shared" si="11"/>
        <v>P</v>
      </c>
      <c r="O9" s="4" t="str">
        <f t="shared" si="11"/>
        <v>P</v>
      </c>
      <c r="P9" t="str">
        <f t="shared" si="11"/>
        <v>P</v>
      </c>
      <c r="Q9">
        <f t="shared" si="2"/>
        <v>4</v>
      </c>
      <c r="R9" t="str">
        <f t="shared" si="3"/>
        <v>TAK</v>
      </c>
      <c r="S9">
        <f t="shared" ca="1" si="7"/>
        <v>3237471</v>
      </c>
      <c r="T9" t="str">
        <f t="shared" ca="1" si="4"/>
        <v>NIE</v>
      </c>
    </row>
    <row r="10" spans="1:20" x14ac:dyDescent="0.25">
      <c r="A10">
        <f>'Pom3'!$H10</f>
        <v>0.67149999999999999</v>
      </c>
      <c r="B10" t="str">
        <f>'Pom3'!$A10</f>
        <v>w09C</v>
      </c>
      <c r="C10">
        <f>'Pom3'!$F10</f>
        <v>3291343</v>
      </c>
      <c r="D10">
        <f>'Pom3'!$G10</f>
        <v>2210357</v>
      </c>
      <c r="E10">
        <f t="shared" ref="E10:P10" si="12">IF(OR(D10="P",D10&gt;$C10*2),"P",ROUNDDOWN(D10*$A10,0))</f>
        <v>1484254</v>
      </c>
      <c r="F10">
        <f t="shared" si="12"/>
        <v>996676</v>
      </c>
      <c r="G10">
        <f t="shared" si="12"/>
        <v>669267</v>
      </c>
      <c r="H10">
        <f t="shared" si="12"/>
        <v>449412</v>
      </c>
      <c r="I10">
        <f t="shared" si="12"/>
        <v>301780</v>
      </c>
      <c r="J10">
        <f t="shared" si="12"/>
        <v>202645</v>
      </c>
      <c r="K10">
        <f t="shared" si="12"/>
        <v>136076</v>
      </c>
      <c r="L10">
        <f t="shared" si="12"/>
        <v>91375</v>
      </c>
      <c r="M10">
        <f t="shared" si="12"/>
        <v>61358</v>
      </c>
      <c r="N10">
        <f t="shared" si="12"/>
        <v>41201</v>
      </c>
      <c r="O10" s="4">
        <f t="shared" si="12"/>
        <v>27666</v>
      </c>
      <c r="P10">
        <f t="shared" si="12"/>
        <v>18577</v>
      </c>
      <c r="Q10" t="str">
        <f t="shared" si="2"/>
        <v>NIE</v>
      </c>
      <c r="R10" t="str">
        <f t="shared" si="3"/>
        <v>NIE</v>
      </c>
      <c r="S10">
        <f t="shared" ca="1" si="7"/>
        <v>27666</v>
      </c>
      <c r="T10" t="str">
        <f t="shared" ca="1" si="4"/>
        <v>NIE</v>
      </c>
    </row>
    <row r="11" spans="1:20" x14ac:dyDescent="0.25">
      <c r="A11">
        <f>'Pom3'!$H11</f>
        <v>0.71130000000000004</v>
      </c>
      <c r="B11" t="str">
        <f>'Pom3'!$A11</f>
        <v>w10C</v>
      </c>
      <c r="C11">
        <f>'Pom3'!$F11</f>
        <v>2339967</v>
      </c>
      <c r="D11">
        <f>'Pom3'!$G11</f>
        <v>1664564</v>
      </c>
      <c r="E11">
        <f t="shared" ref="E11:P11" si="13">IF(OR(D11="P",D11&gt;$C11*2),"P",ROUNDDOWN(D11*$A11,0))</f>
        <v>1184004</v>
      </c>
      <c r="F11">
        <f t="shared" si="13"/>
        <v>842182</v>
      </c>
      <c r="G11">
        <f t="shared" si="13"/>
        <v>599044</v>
      </c>
      <c r="H11">
        <f t="shared" si="13"/>
        <v>426099</v>
      </c>
      <c r="I11">
        <f t="shared" si="13"/>
        <v>303084</v>
      </c>
      <c r="J11">
        <f t="shared" si="13"/>
        <v>215583</v>
      </c>
      <c r="K11">
        <f t="shared" si="13"/>
        <v>153344</v>
      </c>
      <c r="L11">
        <f t="shared" si="13"/>
        <v>109073</v>
      </c>
      <c r="M11">
        <f t="shared" si="13"/>
        <v>77583</v>
      </c>
      <c r="N11">
        <f t="shared" si="13"/>
        <v>55184</v>
      </c>
      <c r="O11" s="4">
        <f t="shared" si="13"/>
        <v>39252</v>
      </c>
      <c r="P11">
        <f t="shared" si="13"/>
        <v>27919</v>
      </c>
      <c r="Q11" t="str">
        <f t="shared" si="2"/>
        <v>NIE</v>
      </c>
      <c r="R11" t="str">
        <f t="shared" si="3"/>
        <v>NIE</v>
      </c>
      <c r="S11">
        <f t="shared" ca="1" si="7"/>
        <v>39252</v>
      </c>
      <c r="T11" t="str">
        <f t="shared" ca="1" si="4"/>
        <v>NIE</v>
      </c>
    </row>
    <row r="12" spans="1:20" x14ac:dyDescent="0.25">
      <c r="A12">
        <f>'Pom3'!$H12</f>
        <v>0.94169999999999998</v>
      </c>
      <c r="B12" t="str">
        <f>'Pom3'!$A12</f>
        <v>w11D</v>
      </c>
      <c r="C12">
        <f>'Pom3'!$F12</f>
        <v>3983255</v>
      </c>
      <c r="D12">
        <f>'Pom3'!$G12</f>
        <v>3751139</v>
      </c>
      <c r="E12">
        <f t="shared" ref="E12:P12" si="14">IF(OR(D12="P",D12&gt;$C12*2),"P",ROUNDDOWN(D12*$A12,0))</f>
        <v>3532447</v>
      </c>
      <c r="F12">
        <f t="shared" si="14"/>
        <v>3326505</v>
      </c>
      <c r="G12">
        <f t="shared" si="14"/>
        <v>3132569</v>
      </c>
      <c r="H12">
        <f t="shared" si="14"/>
        <v>2949940</v>
      </c>
      <c r="I12">
        <f t="shared" si="14"/>
        <v>2777958</v>
      </c>
      <c r="J12">
        <f t="shared" si="14"/>
        <v>2616003</v>
      </c>
      <c r="K12">
        <f t="shared" si="14"/>
        <v>2463490</v>
      </c>
      <c r="L12">
        <f t="shared" si="14"/>
        <v>2319868</v>
      </c>
      <c r="M12">
        <f t="shared" si="14"/>
        <v>2184619</v>
      </c>
      <c r="N12">
        <f t="shared" si="14"/>
        <v>2057255</v>
      </c>
      <c r="O12" s="4">
        <f t="shared" si="14"/>
        <v>1937317</v>
      </c>
      <c r="P12">
        <f t="shared" si="14"/>
        <v>1824371</v>
      </c>
      <c r="Q12" t="str">
        <f t="shared" si="2"/>
        <v>NIE</v>
      </c>
      <c r="R12" t="str">
        <f t="shared" si="3"/>
        <v>NIE</v>
      </c>
      <c r="S12">
        <f t="shared" ca="1" si="7"/>
        <v>1937317</v>
      </c>
      <c r="T12" t="str">
        <f t="shared" ca="1" si="4"/>
        <v>NIE</v>
      </c>
    </row>
    <row r="13" spans="1:20" x14ac:dyDescent="0.25">
      <c r="A13">
        <f>'Pom3'!$H13</f>
        <v>1.1677999999999999</v>
      </c>
      <c r="B13" t="str">
        <f>'Pom3'!$A13</f>
        <v>w12C</v>
      </c>
      <c r="C13">
        <f>'Pom3'!$F13</f>
        <v>7688480</v>
      </c>
      <c r="D13">
        <f>'Pom3'!$G13</f>
        <v>8979036</v>
      </c>
      <c r="E13">
        <f t="shared" ref="E13:P13" si="15">IF(OR(D13="P",D13&gt;$C13*2),"P",ROUNDDOWN(D13*$A13,0))</f>
        <v>10485718</v>
      </c>
      <c r="F13">
        <f t="shared" si="15"/>
        <v>12245221</v>
      </c>
      <c r="G13">
        <f t="shared" si="15"/>
        <v>14299969</v>
      </c>
      <c r="H13">
        <f t="shared" si="15"/>
        <v>16699503</v>
      </c>
      <c r="I13" t="str">
        <f t="shared" si="15"/>
        <v>P</v>
      </c>
      <c r="J13" t="str">
        <f t="shared" si="15"/>
        <v>P</v>
      </c>
      <c r="K13" t="str">
        <f t="shared" si="15"/>
        <v>P</v>
      </c>
      <c r="L13" t="str">
        <f t="shared" si="15"/>
        <v>P</v>
      </c>
      <c r="M13" t="str">
        <f t="shared" si="15"/>
        <v>P</v>
      </c>
      <c r="N13" t="str">
        <f t="shared" si="15"/>
        <v>P</v>
      </c>
      <c r="O13" s="4" t="str">
        <f t="shared" si="15"/>
        <v>P</v>
      </c>
      <c r="P13" t="str">
        <f t="shared" si="15"/>
        <v>P</v>
      </c>
      <c r="Q13">
        <f t="shared" si="2"/>
        <v>7</v>
      </c>
      <c r="R13" t="str">
        <f t="shared" si="3"/>
        <v>TAK</v>
      </c>
      <c r="S13">
        <f t="shared" ca="1" si="7"/>
        <v>16699503</v>
      </c>
      <c r="T13" t="str">
        <f t="shared" ca="1" si="4"/>
        <v>TAK</v>
      </c>
    </row>
    <row r="14" spans="1:20" x14ac:dyDescent="0.25">
      <c r="A14">
        <f>'Pom3'!$H14</f>
        <v>1.0923</v>
      </c>
      <c r="B14" t="str">
        <f>'Pom3'!$A14</f>
        <v>w13A</v>
      </c>
      <c r="C14">
        <f>'Pom3'!$F14</f>
        <v>1960392</v>
      </c>
      <c r="D14">
        <f>'Pom3'!$G14</f>
        <v>2141427</v>
      </c>
      <c r="E14">
        <f t="shared" ref="E14:P14" si="16">IF(OR(D14="P",D14&gt;$C14*2),"P",ROUNDDOWN(D14*$A14,0))</f>
        <v>2339080</v>
      </c>
      <c r="F14">
        <f t="shared" si="16"/>
        <v>2554977</v>
      </c>
      <c r="G14">
        <f t="shared" si="16"/>
        <v>2790801</v>
      </c>
      <c r="H14">
        <f t="shared" si="16"/>
        <v>3048391</v>
      </c>
      <c r="I14">
        <f t="shared" si="16"/>
        <v>3329757</v>
      </c>
      <c r="J14">
        <f t="shared" si="16"/>
        <v>3637093</v>
      </c>
      <c r="K14">
        <f t="shared" si="16"/>
        <v>3972796</v>
      </c>
      <c r="L14" t="str">
        <f t="shared" si="16"/>
        <v>P</v>
      </c>
      <c r="M14" t="str">
        <f t="shared" si="16"/>
        <v>P</v>
      </c>
      <c r="N14" t="str">
        <f t="shared" si="16"/>
        <v>P</v>
      </c>
      <c r="O14" s="4" t="str">
        <f t="shared" si="16"/>
        <v>P</v>
      </c>
      <c r="P14" t="str">
        <f t="shared" si="16"/>
        <v>P</v>
      </c>
      <c r="Q14">
        <f t="shared" si="2"/>
        <v>10</v>
      </c>
      <c r="R14" t="str">
        <f t="shared" si="3"/>
        <v>TAK</v>
      </c>
      <c r="S14">
        <f t="shared" ca="1" si="7"/>
        <v>3972796</v>
      </c>
      <c r="T14" t="str">
        <f t="shared" ca="1" si="4"/>
        <v>NIE</v>
      </c>
    </row>
    <row r="15" spans="1:20" x14ac:dyDescent="0.25">
      <c r="A15">
        <f>'Pom3'!$H15</f>
        <v>0.81089999999999995</v>
      </c>
      <c r="B15" t="str">
        <f>'Pom3'!$A15</f>
        <v>w14A</v>
      </c>
      <c r="C15">
        <f>'Pom3'!$F15</f>
        <v>2177470</v>
      </c>
      <c r="D15">
        <f>'Pom3'!$G15</f>
        <v>1765883</v>
      </c>
      <c r="E15">
        <f t="shared" ref="E15:P15" si="17">IF(OR(D15="P",D15&gt;$C15*2),"P",ROUNDDOWN(D15*$A15,0))</f>
        <v>1431954</v>
      </c>
      <c r="F15">
        <f t="shared" si="17"/>
        <v>1161171</v>
      </c>
      <c r="G15">
        <f t="shared" si="17"/>
        <v>941593</v>
      </c>
      <c r="H15">
        <f t="shared" si="17"/>
        <v>763537</v>
      </c>
      <c r="I15">
        <f t="shared" si="17"/>
        <v>619152</v>
      </c>
      <c r="J15">
        <f t="shared" si="17"/>
        <v>502070</v>
      </c>
      <c r="K15">
        <f t="shared" si="17"/>
        <v>407128</v>
      </c>
      <c r="L15">
        <f t="shared" si="17"/>
        <v>330140</v>
      </c>
      <c r="M15">
        <f t="shared" si="17"/>
        <v>267710</v>
      </c>
      <c r="N15">
        <f t="shared" si="17"/>
        <v>217086</v>
      </c>
      <c r="O15" s="4">
        <f t="shared" si="17"/>
        <v>176035</v>
      </c>
      <c r="P15">
        <f t="shared" si="17"/>
        <v>142746</v>
      </c>
      <c r="Q15" t="str">
        <f t="shared" si="2"/>
        <v>NIE</v>
      </c>
      <c r="R15" t="str">
        <f t="shared" si="3"/>
        <v>NIE</v>
      </c>
      <c r="S15">
        <f t="shared" ca="1" si="7"/>
        <v>176035</v>
      </c>
      <c r="T15" t="str">
        <f t="shared" ca="1" si="4"/>
        <v>NIE</v>
      </c>
    </row>
    <row r="16" spans="1:20" x14ac:dyDescent="0.25">
      <c r="A16">
        <f>'Pom3'!$H16</f>
        <v>0.79849999999999999</v>
      </c>
      <c r="B16" t="str">
        <f>'Pom3'!$A16</f>
        <v>w15A</v>
      </c>
      <c r="C16">
        <f>'Pom3'!$F16</f>
        <v>5134027</v>
      </c>
      <c r="D16">
        <f>'Pom3'!$G16</f>
        <v>4099997</v>
      </c>
      <c r="E16">
        <f t="shared" ref="E16:P16" si="18">IF(OR(D16="P",D16&gt;$C16*2),"P",ROUNDDOWN(D16*$A16,0))</f>
        <v>3273847</v>
      </c>
      <c r="F16">
        <f t="shared" si="18"/>
        <v>2614166</v>
      </c>
      <c r="G16">
        <f t="shared" si="18"/>
        <v>2087411</v>
      </c>
      <c r="H16">
        <f t="shared" si="18"/>
        <v>1666797</v>
      </c>
      <c r="I16">
        <f t="shared" si="18"/>
        <v>1330937</v>
      </c>
      <c r="J16">
        <f t="shared" si="18"/>
        <v>1062753</v>
      </c>
      <c r="K16">
        <f t="shared" si="18"/>
        <v>848608</v>
      </c>
      <c r="L16">
        <f t="shared" si="18"/>
        <v>677613</v>
      </c>
      <c r="M16">
        <f t="shared" si="18"/>
        <v>541073</v>
      </c>
      <c r="N16">
        <f t="shared" si="18"/>
        <v>432046</v>
      </c>
      <c r="O16" s="4">
        <f t="shared" si="18"/>
        <v>344988</v>
      </c>
      <c r="P16">
        <f t="shared" si="18"/>
        <v>275472</v>
      </c>
      <c r="Q16" t="str">
        <f t="shared" si="2"/>
        <v>NIE</v>
      </c>
      <c r="R16" t="str">
        <f t="shared" si="3"/>
        <v>NIE</v>
      </c>
      <c r="S16">
        <f t="shared" ca="1" si="7"/>
        <v>344988</v>
      </c>
      <c r="T16" t="str">
        <f t="shared" ca="1" si="4"/>
        <v>NIE</v>
      </c>
    </row>
    <row r="17" spans="1:20" x14ac:dyDescent="0.25">
      <c r="A17">
        <f>'Pom3'!$H17</f>
        <v>1.2492000000000001</v>
      </c>
      <c r="B17" t="str">
        <f>'Pom3'!$A17</f>
        <v>w16C</v>
      </c>
      <c r="C17">
        <f>'Pom3'!$F17</f>
        <v>2728601</v>
      </c>
      <c r="D17">
        <f>'Pom3'!$G17</f>
        <v>3408578</v>
      </c>
      <c r="E17">
        <f t="shared" ref="E17:P17" si="19">IF(OR(D17="P",D17&gt;$C17*2),"P",ROUNDDOWN(D17*$A17,0))</f>
        <v>4257995</v>
      </c>
      <c r="F17">
        <f t="shared" si="19"/>
        <v>5319087</v>
      </c>
      <c r="G17">
        <f t="shared" si="19"/>
        <v>6644603</v>
      </c>
      <c r="H17" t="str">
        <f t="shared" si="19"/>
        <v>P</v>
      </c>
      <c r="I17" t="str">
        <f t="shared" si="19"/>
        <v>P</v>
      </c>
      <c r="J17" t="str">
        <f t="shared" si="19"/>
        <v>P</v>
      </c>
      <c r="K17" t="str">
        <f t="shared" si="19"/>
        <v>P</v>
      </c>
      <c r="L17" t="str">
        <f t="shared" si="19"/>
        <v>P</v>
      </c>
      <c r="M17" t="str">
        <f t="shared" si="19"/>
        <v>P</v>
      </c>
      <c r="N17" t="str">
        <f t="shared" si="19"/>
        <v>P</v>
      </c>
      <c r="O17" s="4" t="str">
        <f t="shared" si="19"/>
        <v>P</v>
      </c>
      <c r="P17" t="str">
        <f t="shared" si="19"/>
        <v>P</v>
      </c>
      <c r="Q17">
        <f t="shared" si="2"/>
        <v>6</v>
      </c>
      <c r="R17" t="str">
        <f t="shared" si="3"/>
        <v>TAK</v>
      </c>
      <c r="S17">
        <f t="shared" ca="1" si="7"/>
        <v>6644603</v>
      </c>
      <c r="T17" t="str">
        <f t="shared" ca="1" si="4"/>
        <v>NIE</v>
      </c>
    </row>
    <row r="18" spans="1:20" x14ac:dyDescent="0.25">
      <c r="A18">
        <f>'Pom3'!$H18</f>
        <v>0.60299999999999998</v>
      </c>
      <c r="B18" t="str">
        <f>'Pom3'!$A18</f>
        <v>w17A</v>
      </c>
      <c r="C18">
        <f>'Pom3'!$F18</f>
        <v>5009321</v>
      </c>
      <c r="D18">
        <f>'Pom3'!$G18</f>
        <v>3020942</v>
      </c>
      <c r="E18">
        <f t="shared" ref="E18:P18" si="20">IF(OR(D18="P",D18&gt;$C18*2),"P",ROUNDDOWN(D18*$A18,0))</f>
        <v>1821628</v>
      </c>
      <c r="F18">
        <f t="shared" si="20"/>
        <v>1098441</v>
      </c>
      <c r="G18">
        <f t="shared" si="20"/>
        <v>662359</v>
      </c>
      <c r="H18">
        <f t="shared" si="20"/>
        <v>399402</v>
      </c>
      <c r="I18">
        <f t="shared" si="20"/>
        <v>240839</v>
      </c>
      <c r="J18">
        <f t="shared" si="20"/>
        <v>145225</v>
      </c>
      <c r="K18">
        <f t="shared" si="20"/>
        <v>87570</v>
      </c>
      <c r="L18">
        <f t="shared" si="20"/>
        <v>52804</v>
      </c>
      <c r="M18">
        <f t="shared" si="20"/>
        <v>31840</v>
      </c>
      <c r="N18">
        <f t="shared" si="20"/>
        <v>19199</v>
      </c>
      <c r="O18" s="4">
        <f t="shared" si="20"/>
        <v>11576</v>
      </c>
      <c r="P18">
        <f t="shared" si="20"/>
        <v>6980</v>
      </c>
      <c r="Q18" t="str">
        <f t="shared" si="2"/>
        <v>NIE</v>
      </c>
      <c r="R18" t="str">
        <f t="shared" si="3"/>
        <v>NIE</v>
      </c>
      <c r="S18">
        <f t="shared" ca="1" si="7"/>
        <v>11576</v>
      </c>
      <c r="T18" t="str">
        <f t="shared" ca="1" si="4"/>
        <v>NIE</v>
      </c>
    </row>
    <row r="19" spans="1:20" x14ac:dyDescent="0.25">
      <c r="A19">
        <f>'Pom3'!$H19</f>
        <v>0.46029999999999999</v>
      </c>
      <c r="B19" t="str">
        <f>'Pom3'!$A19</f>
        <v>w18D</v>
      </c>
      <c r="C19">
        <f>'Pom3'!$F19</f>
        <v>2729291</v>
      </c>
      <c r="D19">
        <f>'Pom3'!$G19</f>
        <v>1256318</v>
      </c>
      <c r="E19">
        <f t="shared" ref="E19:P19" si="21">IF(OR(D19="P",D19&gt;$C19*2),"P",ROUNDDOWN(D19*$A19,0))</f>
        <v>578283</v>
      </c>
      <c r="F19">
        <f t="shared" si="21"/>
        <v>266183</v>
      </c>
      <c r="G19">
        <f t="shared" si="21"/>
        <v>122524</v>
      </c>
      <c r="H19">
        <f t="shared" si="21"/>
        <v>56397</v>
      </c>
      <c r="I19">
        <f t="shared" si="21"/>
        <v>25959</v>
      </c>
      <c r="J19">
        <f t="shared" si="21"/>
        <v>11948</v>
      </c>
      <c r="K19">
        <f t="shared" si="21"/>
        <v>5499</v>
      </c>
      <c r="L19">
        <f t="shared" si="21"/>
        <v>2531</v>
      </c>
      <c r="M19">
        <f t="shared" si="21"/>
        <v>1165</v>
      </c>
      <c r="N19">
        <f t="shared" si="21"/>
        <v>536</v>
      </c>
      <c r="O19" s="4">
        <f t="shared" si="21"/>
        <v>246</v>
      </c>
      <c r="P19">
        <f t="shared" si="21"/>
        <v>113</v>
      </c>
      <c r="Q19" t="str">
        <f t="shared" si="2"/>
        <v>NIE</v>
      </c>
      <c r="R19" t="str">
        <f t="shared" si="3"/>
        <v>NIE</v>
      </c>
      <c r="S19">
        <f t="shared" ca="1" si="7"/>
        <v>246</v>
      </c>
      <c r="T19" t="str">
        <f t="shared" ca="1" si="4"/>
        <v>NIE</v>
      </c>
    </row>
    <row r="20" spans="1:20" x14ac:dyDescent="0.25">
      <c r="A20">
        <f>'Pom3'!$H20</f>
        <v>0.55459999999999998</v>
      </c>
      <c r="B20" t="str">
        <f>'Pom3'!$A20</f>
        <v>w19C</v>
      </c>
      <c r="C20">
        <f>'Pom3'!$F20</f>
        <v>6175874</v>
      </c>
      <c r="D20">
        <f>'Pom3'!$G20</f>
        <v>3425717</v>
      </c>
      <c r="E20">
        <f t="shared" ref="E20:P20" si="22">IF(OR(D20="P",D20&gt;$C20*2),"P",ROUNDDOWN(D20*$A20,0))</f>
        <v>1899902</v>
      </c>
      <c r="F20">
        <f t="shared" si="22"/>
        <v>1053685</v>
      </c>
      <c r="G20">
        <f t="shared" si="22"/>
        <v>584373</v>
      </c>
      <c r="H20">
        <f t="shared" si="22"/>
        <v>324093</v>
      </c>
      <c r="I20">
        <f t="shared" si="22"/>
        <v>179741</v>
      </c>
      <c r="J20">
        <f t="shared" si="22"/>
        <v>99684</v>
      </c>
      <c r="K20">
        <f t="shared" si="22"/>
        <v>55284</v>
      </c>
      <c r="L20">
        <f t="shared" si="22"/>
        <v>30660</v>
      </c>
      <c r="M20">
        <f t="shared" si="22"/>
        <v>17004</v>
      </c>
      <c r="N20">
        <f t="shared" si="22"/>
        <v>9430</v>
      </c>
      <c r="O20" s="4">
        <f t="shared" si="22"/>
        <v>5229</v>
      </c>
      <c r="P20">
        <f t="shared" si="22"/>
        <v>2900</v>
      </c>
      <c r="Q20" t="str">
        <f t="shared" si="2"/>
        <v>NIE</v>
      </c>
      <c r="R20" t="str">
        <f t="shared" si="3"/>
        <v>NIE</v>
      </c>
      <c r="S20">
        <f t="shared" ca="1" si="7"/>
        <v>5229</v>
      </c>
      <c r="T20" t="str">
        <f t="shared" ca="1" si="4"/>
        <v>NIE</v>
      </c>
    </row>
    <row r="21" spans="1:20" x14ac:dyDescent="0.25">
      <c r="A21">
        <f>'Pom3'!$H21</f>
        <v>0.9234</v>
      </c>
      <c r="B21" t="str">
        <f>'Pom3'!$A21</f>
        <v>w20C</v>
      </c>
      <c r="C21">
        <f>'Pom3'!$F21</f>
        <v>3008890</v>
      </c>
      <c r="D21">
        <f>'Pom3'!$G21</f>
        <v>2778690</v>
      </c>
      <c r="E21">
        <f t="shared" ref="E21:P21" si="23">IF(OR(D21="P",D21&gt;$C21*2),"P",ROUNDDOWN(D21*$A21,0))</f>
        <v>2565842</v>
      </c>
      <c r="F21">
        <f t="shared" si="23"/>
        <v>2369298</v>
      </c>
      <c r="G21">
        <f t="shared" si="23"/>
        <v>2187809</v>
      </c>
      <c r="H21">
        <f t="shared" si="23"/>
        <v>2020222</v>
      </c>
      <c r="I21">
        <f t="shared" si="23"/>
        <v>1865472</v>
      </c>
      <c r="J21">
        <f t="shared" si="23"/>
        <v>1722576</v>
      </c>
      <c r="K21">
        <f t="shared" si="23"/>
        <v>1590626</v>
      </c>
      <c r="L21">
        <f t="shared" si="23"/>
        <v>1468784</v>
      </c>
      <c r="M21">
        <f t="shared" si="23"/>
        <v>1356275</v>
      </c>
      <c r="N21">
        <f t="shared" si="23"/>
        <v>1252384</v>
      </c>
      <c r="O21" s="4">
        <f t="shared" si="23"/>
        <v>1156451</v>
      </c>
      <c r="P21">
        <f t="shared" si="23"/>
        <v>1067866</v>
      </c>
      <c r="Q21" t="str">
        <f t="shared" si="2"/>
        <v>NIE</v>
      </c>
      <c r="R21" t="str">
        <f t="shared" si="3"/>
        <v>NIE</v>
      </c>
      <c r="S21">
        <f t="shared" ca="1" si="7"/>
        <v>1156451</v>
      </c>
      <c r="T21" t="str">
        <f t="shared" ca="1" si="4"/>
        <v>NIE</v>
      </c>
    </row>
    <row r="22" spans="1:20" x14ac:dyDescent="0.25">
      <c r="A22">
        <f>'Pom3'!$H22</f>
        <v>0.1203</v>
      </c>
      <c r="B22" t="str">
        <f>'Pom3'!$A22</f>
        <v>w21A</v>
      </c>
      <c r="C22">
        <f>'Pom3'!$F22</f>
        <v>4752576</v>
      </c>
      <c r="D22">
        <f>'Pom3'!$G22</f>
        <v>572183</v>
      </c>
      <c r="E22">
        <f t="shared" ref="E22:P22" si="24">IF(OR(D22="P",D22&gt;$C22*2),"P",ROUNDDOWN(D22*$A22,0))</f>
        <v>68833</v>
      </c>
      <c r="F22">
        <f t="shared" si="24"/>
        <v>8280</v>
      </c>
      <c r="G22">
        <f t="shared" si="24"/>
        <v>996</v>
      </c>
      <c r="H22">
        <f t="shared" si="24"/>
        <v>119</v>
      </c>
      <c r="I22">
        <f t="shared" si="24"/>
        <v>14</v>
      </c>
      <c r="J22">
        <f t="shared" si="24"/>
        <v>1</v>
      </c>
      <c r="K22">
        <f t="shared" si="24"/>
        <v>0</v>
      </c>
      <c r="L22">
        <f t="shared" si="24"/>
        <v>0</v>
      </c>
      <c r="M22">
        <f t="shared" si="24"/>
        <v>0</v>
      </c>
      <c r="N22">
        <f t="shared" si="24"/>
        <v>0</v>
      </c>
      <c r="O22" s="4">
        <f t="shared" si="24"/>
        <v>0</v>
      </c>
      <c r="P22">
        <f t="shared" si="24"/>
        <v>0</v>
      </c>
      <c r="Q22" t="str">
        <f t="shared" si="2"/>
        <v>NIE</v>
      </c>
      <c r="R22" t="str">
        <f t="shared" si="3"/>
        <v>NIE</v>
      </c>
      <c r="S22">
        <f t="shared" ca="1" si="7"/>
        <v>0</v>
      </c>
      <c r="T22" t="str">
        <f t="shared" ca="1" si="4"/>
        <v>NIE</v>
      </c>
    </row>
    <row r="23" spans="1:20" x14ac:dyDescent="0.25">
      <c r="A23">
        <f>'Pom3'!$H23</f>
        <v>3.8473000000000002</v>
      </c>
      <c r="B23" t="str">
        <f>'Pom3'!$A23</f>
        <v>w22B</v>
      </c>
      <c r="C23">
        <f>'Pom3'!$F23</f>
        <v>1434562</v>
      </c>
      <c r="D23">
        <f>'Pom3'!$G23</f>
        <v>5519227</v>
      </c>
      <c r="E23" t="str">
        <f t="shared" ref="E23:P23" si="25">IF(OR(D23="P",D23&gt;$C23*2),"P",ROUNDDOWN(D23*$A23,0))</f>
        <v>P</v>
      </c>
      <c r="F23" t="str">
        <f t="shared" si="25"/>
        <v>P</v>
      </c>
      <c r="G23" t="str">
        <f t="shared" si="25"/>
        <v>P</v>
      </c>
      <c r="H23" t="str">
        <f t="shared" si="25"/>
        <v>P</v>
      </c>
      <c r="I23" t="str">
        <f t="shared" si="25"/>
        <v>P</v>
      </c>
      <c r="J23" t="str">
        <f t="shared" si="25"/>
        <v>P</v>
      </c>
      <c r="K23" t="str">
        <f t="shared" si="25"/>
        <v>P</v>
      </c>
      <c r="L23" t="str">
        <f t="shared" si="25"/>
        <v>P</v>
      </c>
      <c r="M23" t="str">
        <f t="shared" si="25"/>
        <v>P</v>
      </c>
      <c r="N23" t="str">
        <f t="shared" si="25"/>
        <v>P</v>
      </c>
      <c r="O23" s="4" t="str">
        <f t="shared" si="25"/>
        <v>P</v>
      </c>
      <c r="P23" t="str">
        <f t="shared" si="25"/>
        <v>P</v>
      </c>
      <c r="Q23">
        <f t="shared" si="2"/>
        <v>3</v>
      </c>
      <c r="R23" t="str">
        <f t="shared" si="3"/>
        <v>TAK</v>
      </c>
      <c r="S23">
        <f t="shared" ca="1" si="7"/>
        <v>5519227</v>
      </c>
      <c r="T23" t="str">
        <f t="shared" ca="1" si="4"/>
        <v>NIE</v>
      </c>
    </row>
    <row r="24" spans="1:20" x14ac:dyDescent="0.25">
      <c r="A24">
        <f>'Pom3'!$H24</f>
        <v>0.72660000000000002</v>
      </c>
      <c r="B24" t="str">
        <f>'Pom3'!$A24</f>
        <v>w23B</v>
      </c>
      <c r="C24">
        <f>'Pom3'!$F24</f>
        <v>4505451</v>
      </c>
      <c r="D24">
        <f>'Pom3'!$G24</f>
        <v>3273876</v>
      </c>
      <c r="E24">
        <f t="shared" ref="E24:P24" si="26">IF(OR(D24="P",D24&gt;$C24*2),"P",ROUNDDOWN(D24*$A24,0))</f>
        <v>2378798</v>
      </c>
      <c r="F24">
        <f t="shared" si="26"/>
        <v>1728434</v>
      </c>
      <c r="G24">
        <f t="shared" si="26"/>
        <v>1255880</v>
      </c>
      <c r="H24">
        <f t="shared" si="26"/>
        <v>912522</v>
      </c>
      <c r="I24">
        <f t="shared" si="26"/>
        <v>663038</v>
      </c>
      <c r="J24">
        <f t="shared" si="26"/>
        <v>481763</v>
      </c>
      <c r="K24">
        <f t="shared" si="26"/>
        <v>350048</v>
      </c>
      <c r="L24">
        <f t="shared" si="26"/>
        <v>254344</v>
      </c>
      <c r="M24">
        <f t="shared" si="26"/>
        <v>184806</v>
      </c>
      <c r="N24">
        <f t="shared" si="26"/>
        <v>134280</v>
      </c>
      <c r="O24" s="4">
        <f t="shared" si="26"/>
        <v>97567</v>
      </c>
      <c r="P24">
        <f t="shared" si="26"/>
        <v>70892</v>
      </c>
      <c r="Q24" t="str">
        <f t="shared" si="2"/>
        <v>NIE</v>
      </c>
      <c r="R24" t="str">
        <f t="shared" si="3"/>
        <v>NIE</v>
      </c>
      <c r="S24">
        <f t="shared" ca="1" si="7"/>
        <v>97567</v>
      </c>
      <c r="T24" t="str">
        <f t="shared" ca="1" si="4"/>
        <v>NIE</v>
      </c>
    </row>
    <row r="25" spans="1:20" x14ac:dyDescent="0.25">
      <c r="A25">
        <f>'Pom3'!$H25</f>
        <v>1.2537</v>
      </c>
      <c r="B25" t="str">
        <f>'Pom3'!$A25</f>
        <v>w24C</v>
      </c>
      <c r="C25">
        <f>'Pom3'!$F25</f>
        <v>1327364</v>
      </c>
      <c r="D25">
        <f>'Pom3'!$G25</f>
        <v>1664117</v>
      </c>
      <c r="E25">
        <f t="shared" ref="E25:P25" si="27">IF(OR(D25="P",D25&gt;$C25*2),"P",ROUNDDOWN(D25*$A25,0))</f>
        <v>2086303</v>
      </c>
      <c r="F25">
        <f t="shared" si="27"/>
        <v>2615598</v>
      </c>
      <c r="G25">
        <f t="shared" si="27"/>
        <v>3279175</v>
      </c>
      <c r="H25" t="str">
        <f t="shared" si="27"/>
        <v>P</v>
      </c>
      <c r="I25" t="str">
        <f t="shared" si="27"/>
        <v>P</v>
      </c>
      <c r="J25" t="str">
        <f t="shared" si="27"/>
        <v>P</v>
      </c>
      <c r="K25" t="str">
        <f t="shared" si="27"/>
        <v>P</v>
      </c>
      <c r="L25" t="str">
        <f t="shared" si="27"/>
        <v>P</v>
      </c>
      <c r="M25" t="str">
        <f t="shared" si="27"/>
        <v>P</v>
      </c>
      <c r="N25" t="str">
        <f t="shared" si="27"/>
        <v>P</v>
      </c>
      <c r="O25" s="4" t="str">
        <f t="shared" si="27"/>
        <v>P</v>
      </c>
      <c r="P25" t="str">
        <f t="shared" si="27"/>
        <v>P</v>
      </c>
      <c r="Q25">
        <f t="shared" si="2"/>
        <v>6</v>
      </c>
      <c r="R25" t="str">
        <f t="shared" si="3"/>
        <v>TAK</v>
      </c>
      <c r="S25">
        <f t="shared" ca="1" si="7"/>
        <v>3279175</v>
      </c>
      <c r="T25" t="str">
        <f t="shared" ca="1" si="4"/>
        <v>NIE</v>
      </c>
    </row>
    <row r="26" spans="1:20" x14ac:dyDescent="0.25">
      <c r="A26">
        <f>'Pom3'!$H26</f>
        <v>3.7826</v>
      </c>
      <c r="B26" t="str">
        <f>'Pom3'!$A26</f>
        <v>w25B</v>
      </c>
      <c r="C26">
        <f>'Pom3'!$F26</f>
        <v>884947</v>
      </c>
      <c r="D26">
        <f>'Pom3'!$G26</f>
        <v>3347446</v>
      </c>
      <c r="E26" t="str">
        <f t="shared" ref="E26:P26" si="28">IF(OR(D26="P",D26&gt;$C26*2),"P",ROUNDDOWN(D26*$A26,0))</f>
        <v>P</v>
      </c>
      <c r="F26" t="str">
        <f t="shared" si="28"/>
        <v>P</v>
      </c>
      <c r="G26" t="str">
        <f t="shared" si="28"/>
        <v>P</v>
      </c>
      <c r="H26" t="str">
        <f t="shared" si="28"/>
        <v>P</v>
      </c>
      <c r="I26" t="str">
        <f t="shared" si="28"/>
        <v>P</v>
      </c>
      <c r="J26" t="str">
        <f t="shared" si="28"/>
        <v>P</v>
      </c>
      <c r="K26" t="str">
        <f t="shared" si="28"/>
        <v>P</v>
      </c>
      <c r="L26" t="str">
        <f t="shared" si="28"/>
        <v>P</v>
      </c>
      <c r="M26" t="str">
        <f t="shared" si="28"/>
        <v>P</v>
      </c>
      <c r="N26" t="str">
        <f t="shared" si="28"/>
        <v>P</v>
      </c>
      <c r="O26" s="4" t="str">
        <f t="shared" si="28"/>
        <v>P</v>
      </c>
      <c r="P26" t="str">
        <f t="shared" si="28"/>
        <v>P</v>
      </c>
      <c r="Q26">
        <f t="shared" si="2"/>
        <v>3</v>
      </c>
      <c r="R26" t="str">
        <f t="shared" si="3"/>
        <v>TAK</v>
      </c>
      <c r="S26">
        <f t="shared" ca="1" si="7"/>
        <v>3347446</v>
      </c>
      <c r="T26" t="str">
        <f t="shared" ca="1" si="4"/>
        <v>NIE</v>
      </c>
    </row>
    <row r="27" spans="1:20" x14ac:dyDescent="0.25">
      <c r="A27">
        <f>'Pom3'!$H27</f>
        <v>0.86829999999999996</v>
      </c>
      <c r="B27" t="str">
        <f>'Pom3'!$A27</f>
        <v>w26C</v>
      </c>
      <c r="C27">
        <f>'Pom3'!$F27</f>
        <v>2151563</v>
      </c>
      <c r="D27">
        <f>'Pom3'!$G27</f>
        <v>1868301</v>
      </c>
      <c r="E27">
        <f t="shared" ref="E27:P27" si="29">IF(OR(D27="P",D27&gt;$C27*2),"P",ROUNDDOWN(D27*$A27,0))</f>
        <v>1622245</v>
      </c>
      <c r="F27">
        <f t="shared" si="29"/>
        <v>1408595</v>
      </c>
      <c r="G27">
        <f t="shared" si="29"/>
        <v>1223083</v>
      </c>
      <c r="H27">
        <f t="shared" si="29"/>
        <v>1062002</v>
      </c>
      <c r="I27">
        <f t="shared" si="29"/>
        <v>922136</v>
      </c>
      <c r="J27">
        <f t="shared" si="29"/>
        <v>800690</v>
      </c>
      <c r="K27">
        <f t="shared" si="29"/>
        <v>695239</v>
      </c>
      <c r="L27">
        <f t="shared" si="29"/>
        <v>603676</v>
      </c>
      <c r="M27">
        <f t="shared" si="29"/>
        <v>524171</v>
      </c>
      <c r="N27">
        <f t="shared" si="29"/>
        <v>455137</v>
      </c>
      <c r="O27" s="4">
        <f t="shared" si="29"/>
        <v>395195</v>
      </c>
      <c r="P27">
        <f t="shared" si="29"/>
        <v>343147</v>
      </c>
      <c r="Q27" t="str">
        <f t="shared" si="2"/>
        <v>NIE</v>
      </c>
      <c r="R27" t="str">
        <f t="shared" si="3"/>
        <v>NIE</v>
      </c>
      <c r="S27">
        <f t="shared" ca="1" si="7"/>
        <v>395195</v>
      </c>
      <c r="T27" t="str">
        <f t="shared" ca="1" si="4"/>
        <v>NIE</v>
      </c>
    </row>
    <row r="28" spans="1:20" x14ac:dyDescent="0.25">
      <c r="A28">
        <f>'Pom3'!$H28</f>
        <v>0.4713</v>
      </c>
      <c r="B28" t="str">
        <f>'Pom3'!$A28</f>
        <v>w27C</v>
      </c>
      <c r="C28">
        <f>'Pom3'!$F28</f>
        <v>4709695</v>
      </c>
      <c r="D28">
        <f>'Pom3'!$G28</f>
        <v>2219872</v>
      </c>
      <c r="E28">
        <f t="shared" ref="E28:P28" si="30">IF(OR(D28="P",D28&gt;$C28*2),"P",ROUNDDOWN(D28*$A28,0))</f>
        <v>1046225</v>
      </c>
      <c r="F28">
        <f t="shared" si="30"/>
        <v>493085</v>
      </c>
      <c r="G28">
        <f t="shared" si="30"/>
        <v>232390</v>
      </c>
      <c r="H28">
        <f t="shared" si="30"/>
        <v>109525</v>
      </c>
      <c r="I28">
        <f t="shared" si="30"/>
        <v>51619</v>
      </c>
      <c r="J28">
        <f t="shared" si="30"/>
        <v>24328</v>
      </c>
      <c r="K28">
        <f t="shared" si="30"/>
        <v>11465</v>
      </c>
      <c r="L28">
        <f t="shared" si="30"/>
        <v>5403</v>
      </c>
      <c r="M28">
        <f t="shared" si="30"/>
        <v>2546</v>
      </c>
      <c r="N28">
        <f t="shared" si="30"/>
        <v>1199</v>
      </c>
      <c r="O28" s="4">
        <f t="shared" si="30"/>
        <v>565</v>
      </c>
      <c r="P28">
        <f t="shared" si="30"/>
        <v>266</v>
      </c>
      <c r="Q28" t="str">
        <f t="shared" si="2"/>
        <v>NIE</v>
      </c>
      <c r="R28" t="str">
        <f t="shared" si="3"/>
        <v>NIE</v>
      </c>
      <c r="S28">
        <f t="shared" ca="1" si="7"/>
        <v>565</v>
      </c>
      <c r="T28" t="str">
        <f t="shared" ca="1" si="4"/>
        <v>NIE</v>
      </c>
    </row>
    <row r="29" spans="1:20" x14ac:dyDescent="0.25">
      <c r="A29">
        <f>'Pom3'!$H29</f>
        <v>0.15870000000000001</v>
      </c>
      <c r="B29" t="str">
        <f>'Pom3'!$A29</f>
        <v>w28D</v>
      </c>
      <c r="C29">
        <f>'Pom3'!$F29</f>
        <v>5450595</v>
      </c>
      <c r="D29">
        <f>'Pom3'!$G29</f>
        <v>865257</v>
      </c>
      <c r="E29">
        <f t="shared" ref="E29:P29" si="31">IF(OR(D29="P",D29&gt;$C29*2),"P",ROUNDDOWN(D29*$A29,0))</f>
        <v>137316</v>
      </c>
      <c r="F29">
        <f t="shared" si="31"/>
        <v>21792</v>
      </c>
      <c r="G29">
        <f t="shared" si="31"/>
        <v>3458</v>
      </c>
      <c r="H29">
        <f t="shared" si="31"/>
        <v>548</v>
      </c>
      <c r="I29">
        <f t="shared" si="31"/>
        <v>86</v>
      </c>
      <c r="J29">
        <f t="shared" si="31"/>
        <v>13</v>
      </c>
      <c r="K29">
        <f t="shared" si="31"/>
        <v>2</v>
      </c>
      <c r="L29">
        <f t="shared" si="31"/>
        <v>0</v>
      </c>
      <c r="M29">
        <f t="shared" si="31"/>
        <v>0</v>
      </c>
      <c r="N29">
        <f t="shared" si="31"/>
        <v>0</v>
      </c>
      <c r="O29" s="4">
        <f t="shared" si="31"/>
        <v>0</v>
      </c>
      <c r="P29">
        <f t="shared" si="31"/>
        <v>0</v>
      </c>
      <c r="Q29" t="str">
        <f t="shared" si="2"/>
        <v>NIE</v>
      </c>
      <c r="R29" t="str">
        <f t="shared" si="3"/>
        <v>NIE</v>
      </c>
      <c r="S29">
        <f t="shared" ca="1" si="7"/>
        <v>0</v>
      </c>
      <c r="T29" t="str">
        <f t="shared" ca="1" si="4"/>
        <v>NIE</v>
      </c>
    </row>
    <row r="30" spans="1:20" x14ac:dyDescent="0.25">
      <c r="A30">
        <f>'Pom3'!$H30</f>
        <v>0.82220000000000004</v>
      </c>
      <c r="B30" t="str">
        <f>'Pom3'!$A30</f>
        <v>w29A</v>
      </c>
      <c r="C30">
        <f>'Pom3'!$F30</f>
        <v>3703941</v>
      </c>
      <c r="D30">
        <f>'Pom3'!$G30</f>
        <v>3045392</v>
      </c>
      <c r="E30">
        <f t="shared" ref="E30:P30" si="32">IF(OR(D30="P",D30&gt;$C30*2),"P",ROUNDDOWN(D30*$A30,0))</f>
        <v>2503921</v>
      </c>
      <c r="F30">
        <f t="shared" si="32"/>
        <v>2058723</v>
      </c>
      <c r="G30">
        <f t="shared" si="32"/>
        <v>1692682</v>
      </c>
      <c r="H30">
        <f t="shared" si="32"/>
        <v>1391723</v>
      </c>
      <c r="I30">
        <f t="shared" si="32"/>
        <v>1144274</v>
      </c>
      <c r="J30">
        <f t="shared" si="32"/>
        <v>940822</v>
      </c>
      <c r="K30">
        <f t="shared" si="32"/>
        <v>773543</v>
      </c>
      <c r="L30">
        <f t="shared" si="32"/>
        <v>636007</v>
      </c>
      <c r="M30">
        <f t="shared" si="32"/>
        <v>522924</v>
      </c>
      <c r="N30">
        <f t="shared" si="32"/>
        <v>429948</v>
      </c>
      <c r="O30" s="4">
        <f t="shared" si="32"/>
        <v>353503</v>
      </c>
      <c r="P30">
        <f t="shared" si="32"/>
        <v>290650</v>
      </c>
      <c r="Q30" t="str">
        <f t="shared" si="2"/>
        <v>NIE</v>
      </c>
      <c r="R30" t="str">
        <f t="shared" si="3"/>
        <v>NIE</v>
      </c>
      <c r="S30">
        <f t="shared" ca="1" si="7"/>
        <v>353503</v>
      </c>
      <c r="T30" t="str">
        <f t="shared" ca="1" si="4"/>
        <v>NIE</v>
      </c>
    </row>
    <row r="31" spans="1:20" x14ac:dyDescent="0.25">
      <c r="A31">
        <f>'Pom3'!$H31</f>
        <v>1.17E-2</v>
      </c>
      <c r="B31" t="str">
        <f>'Pom3'!$A31</f>
        <v>w30C</v>
      </c>
      <c r="C31">
        <f>'Pom3'!$F31</f>
        <v>5040530</v>
      </c>
      <c r="D31">
        <f>'Pom3'!$G31</f>
        <v>59431</v>
      </c>
      <c r="E31">
        <f t="shared" ref="E31:P31" si="33">IF(OR(D31="P",D31&gt;$C31*2),"P",ROUNDDOWN(D31*$A31,0))</f>
        <v>695</v>
      </c>
      <c r="F31">
        <f t="shared" si="33"/>
        <v>8</v>
      </c>
      <c r="G31">
        <f t="shared" si="33"/>
        <v>0</v>
      </c>
      <c r="H31">
        <f t="shared" si="33"/>
        <v>0</v>
      </c>
      <c r="I31">
        <f t="shared" si="33"/>
        <v>0</v>
      </c>
      <c r="J31">
        <f t="shared" si="33"/>
        <v>0</v>
      </c>
      <c r="K31">
        <f t="shared" si="33"/>
        <v>0</v>
      </c>
      <c r="L31">
        <f t="shared" si="33"/>
        <v>0</v>
      </c>
      <c r="M31">
        <f t="shared" si="33"/>
        <v>0</v>
      </c>
      <c r="N31">
        <f t="shared" si="33"/>
        <v>0</v>
      </c>
      <c r="O31" s="4">
        <f t="shared" si="33"/>
        <v>0</v>
      </c>
      <c r="P31">
        <f t="shared" si="33"/>
        <v>0</v>
      </c>
      <c r="Q31" t="str">
        <f t="shared" si="2"/>
        <v>NIE</v>
      </c>
      <c r="R31" t="str">
        <f t="shared" si="3"/>
        <v>NIE</v>
      </c>
      <c r="S31">
        <f t="shared" ca="1" si="7"/>
        <v>0</v>
      </c>
      <c r="T31" t="str">
        <f t="shared" ca="1" si="4"/>
        <v>NIE</v>
      </c>
    </row>
    <row r="32" spans="1:20" x14ac:dyDescent="0.25">
      <c r="A32">
        <f>'Pom3'!$H32</f>
        <v>0.92610000000000003</v>
      </c>
      <c r="B32" t="str">
        <f>'Pom3'!$A32</f>
        <v>w31C</v>
      </c>
      <c r="C32">
        <f>'Pom3'!$F32</f>
        <v>3754769</v>
      </c>
      <c r="D32">
        <f>'Pom3'!$G32</f>
        <v>3477577</v>
      </c>
      <c r="E32">
        <f t="shared" ref="E32:P32" si="34">IF(OR(D32="P",D32&gt;$C32*2),"P",ROUNDDOWN(D32*$A32,0))</f>
        <v>3220584</v>
      </c>
      <c r="F32">
        <f t="shared" si="34"/>
        <v>2982582</v>
      </c>
      <c r="G32">
        <f t="shared" si="34"/>
        <v>2762169</v>
      </c>
      <c r="H32">
        <f t="shared" si="34"/>
        <v>2558044</v>
      </c>
      <c r="I32">
        <f t="shared" si="34"/>
        <v>2369004</v>
      </c>
      <c r="J32">
        <f t="shared" si="34"/>
        <v>2193934</v>
      </c>
      <c r="K32">
        <f t="shared" si="34"/>
        <v>2031802</v>
      </c>
      <c r="L32">
        <f t="shared" si="34"/>
        <v>1881651</v>
      </c>
      <c r="M32">
        <f t="shared" si="34"/>
        <v>1742596</v>
      </c>
      <c r="N32">
        <f t="shared" si="34"/>
        <v>1613818</v>
      </c>
      <c r="O32" s="4">
        <f t="shared" si="34"/>
        <v>1494556</v>
      </c>
      <c r="P32">
        <f t="shared" si="34"/>
        <v>1384108</v>
      </c>
      <c r="Q32" t="str">
        <f t="shared" si="2"/>
        <v>NIE</v>
      </c>
      <c r="R32" t="str">
        <f t="shared" si="3"/>
        <v>NIE</v>
      </c>
      <c r="S32">
        <f t="shared" ca="1" si="7"/>
        <v>1494556</v>
      </c>
      <c r="T32" t="str">
        <f t="shared" ca="1" si="4"/>
        <v>NIE</v>
      </c>
    </row>
    <row r="33" spans="1:20" x14ac:dyDescent="0.25">
      <c r="A33">
        <f>'Pom3'!$H33</f>
        <v>1.9078999999999999</v>
      </c>
      <c r="B33" t="str">
        <f>'Pom3'!$A33</f>
        <v>w32D</v>
      </c>
      <c r="C33">
        <f>'Pom3'!$F33</f>
        <v>2021024</v>
      </c>
      <c r="D33">
        <f>'Pom3'!$G33</f>
        <v>3855970</v>
      </c>
      <c r="E33">
        <f t="shared" ref="E33:P33" si="35">IF(OR(D33="P",D33&gt;$C33*2),"P",ROUNDDOWN(D33*$A33,0))</f>
        <v>7356805</v>
      </c>
      <c r="F33" t="str">
        <f t="shared" si="35"/>
        <v>P</v>
      </c>
      <c r="G33" t="str">
        <f t="shared" si="35"/>
        <v>P</v>
      </c>
      <c r="H33" t="str">
        <f t="shared" si="35"/>
        <v>P</v>
      </c>
      <c r="I33" t="str">
        <f t="shared" si="35"/>
        <v>P</v>
      </c>
      <c r="J33" t="str">
        <f t="shared" si="35"/>
        <v>P</v>
      </c>
      <c r="K33" t="str">
        <f t="shared" si="35"/>
        <v>P</v>
      </c>
      <c r="L33" t="str">
        <f t="shared" si="35"/>
        <v>P</v>
      </c>
      <c r="M33" t="str">
        <f t="shared" si="35"/>
        <v>P</v>
      </c>
      <c r="N33" t="str">
        <f t="shared" si="35"/>
        <v>P</v>
      </c>
      <c r="O33" s="4" t="str">
        <f t="shared" si="35"/>
        <v>P</v>
      </c>
      <c r="P33" t="str">
        <f t="shared" si="35"/>
        <v>P</v>
      </c>
      <c r="Q33">
        <f t="shared" si="2"/>
        <v>4</v>
      </c>
      <c r="R33" t="str">
        <f t="shared" si="3"/>
        <v>TAK</v>
      </c>
      <c r="S33">
        <f t="shared" ca="1" si="7"/>
        <v>7356805</v>
      </c>
      <c r="T33" t="str">
        <f t="shared" ca="1" si="4"/>
        <v>NIE</v>
      </c>
    </row>
    <row r="34" spans="1:20" x14ac:dyDescent="0.25">
      <c r="A34">
        <f>'Pom3'!$H34</f>
        <v>0.16200000000000001</v>
      </c>
      <c r="B34" t="str">
        <f>'Pom3'!$A34</f>
        <v>w33B</v>
      </c>
      <c r="C34">
        <f>'Pom3'!$F34</f>
        <v>5856254</v>
      </c>
      <c r="D34">
        <f>'Pom3'!$G34</f>
        <v>948807</v>
      </c>
      <c r="E34">
        <f t="shared" ref="E34:P34" si="36">IF(OR(D34="P",D34&gt;$C34*2),"P",ROUNDDOWN(D34*$A34,0))</f>
        <v>153706</v>
      </c>
      <c r="F34">
        <f t="shared" si="36"/>
        <v>24900</v>
      </c>
      <c r="G34">
        <f t="shared" si="36"/>
        <v>4033</v>
      </c>
      <c r="H34">
        <f t="shared" si="36"/>
        <v>653</v>
      </c>
      <c r="I34">
        <f t="shared" si="36"/>
        <v>105</v>
      </c>
      <c r="J34">
        <f t="shared" si="36"/>
        <v>17</v>
      </c>
      <c r="K34">
        <f t="shared" si="36"/>
        <v>2</v>
      </c>
      <c r="L34">
        <f t="shared" si="36"/>
        <v>0</v>
      </c>
      <c r="M34">
        <f t="shared" si="36"/>
        <v>0</v>
      </c>
      <c r="N34">
        <f t="shared" si="36"/>
        <v>0</v>
      </c>
      <c r="O34" s="4">
        <f t="shared" si="36"/>
        <v>0</v>
      </c>
      <c r="P34">
        <f t="shared" si="36"/>
        <v>0</v>
      </c>
      <c r="Q34" t="str">
        <f t="shared" si="2"/>
        <v>NIE</v>
      </c>
      <c r="R34" t="str">
        <f t="shared" si="3"/>
        <v>NIE</v>
      </c>
      <c r="S34">
        <f t="shared" ca="1" si="7"/>
        <v>0</v>
      </c>
      <c r="T34" t="str">
        <f t="shared" ca="1" si="4"/>
        <v>NIE</v>
      </c>
    </row>
    <row r="35" spans="1:20" x14ac:dyDescent="0.25">
      <c r="A35">
        <f>'Pom3'!$H35</f>
        <v>17.4284</v>
      </c>
      <c r="B35" t="str">
        <f>'Pom3'!$A35</f>
        <v>w34C</v>
      </c>
      <c r="C35">
        <f>'Pom3'!$F35</f>
        <v>158033</v>
      </c>
      <c r="D35">
        <f>'Pom3'!$G35</f>
        <v>2754275</v>
      </c>
      <c r="E35" t="str">
        <f t="shared" ref="E35:P35" si="37">IF(OR(D35="P",D35&gt;$C35*2),"P",ROUNDDOWN(D35*$A35,0))</f>
        <v>P</v>
      </c>
      <c r="F35" t="str">
        <f t="shared" si="37"/>
        <v>P</v>
      </c>
      <c r="G35" t="str">
        <f t="shared" si="37"/>
        <v>P</v>
      </c>
      <c r="H35" t="str">
        <f t="shared" si="37"/>
        <v>P</v>
      </c>
      <c r="I35" t="str">
        <f t="shared" si="37"/>
        <v>P</v>
      </c>
      <c r="J35" t="str">
        <f t="shared" si="37"/>
        <v>P</v>
      </c>
      <c r="K35" t="str">
        <f t="shared" si="37"/>
        <v>P</v>
      </c>
      <c r="L35" t="str">
        <f t="shared" si="37"/>
        <v>P</v>
      </c>
      <c r="M35" t="str">
        <f t="shared" si="37"/>
        <v>P</v>
      </c>
      <c r="N35" t="str">
        <f t="shared" si="37"/>
        <v>P</v>
      </c>
      <c r="O35" s="4" t="str">
        <f t="shared" si="37"/>
        <v>P</v>
      </c>
      <c r="P35" t="str">
        <f t="shared" si="37"/>
        <v>P</v>
      </c>
      <c r="Q35">
        <f t="shared" si="2"/>
        <v>3</v>
      </c>
      <c r="R35" t="str">
        <f t="shared" si="3"/>
        <v>TAK</v>
      </c>
      <c r="S35">
        <f t="shared" ca="1" si="7"/>
        <v>2754275</v>
      </c>
      <c r="T35" t="str">
        <f t="shared" ca="1" si="4"/>
        <v>NIE</v>
      </c>
    </row>
    <row r="36" spans="1:20" x14ac:dyDescent="0.25">
      <c r="A36">
        <f>'Pom3'!$H36</f>
        <v>0.39850000000000002</v>
      </c>
      <c r="B36" t="str">
        <f>'Pom3'!$A36</f>
        <v>w35C</v>
      </c>
      <c r="C36">
        <f>'Pom3'!$F36</f>
        <v>4984142</v>
      </c>
      <c r="D36">
        <f>'Pom3'!$G36</f>
        <v>1986529</v>
      </c>
      <c r="E36">
        <f t="shared" ref="E36:P36" si="38">IF(OR(D36="P",D36&gt;$C36*2),"P",ROUNDDOWN(D36*$A36,0))</f>
        <v>791631</v>
      </c>
      <c r="F36">
        <f t="shared" si="38"/>
        <v>315464</v>
      </c>
      <c r="G36">
        <f t="shared" si="38"/>
        <v>125712</v>
      </c>
      <c r="H36">
        <f t="shared" si="38"/>
        <v>50096</v>
      </c>
      <c r="I36">
        <f t="shared" si="38"/>
        <v>19963</v>
      </c>
      <c r="J36">
        <f t="shared" si="38"/>
        <v>7955</v>
      </c>
      <c r="K36">
        <f t="shared" si="38"/>
        <v>3170</v>
      </c>
      <c r="L36">
        <f t="shared" si="38"/>
        <v>1263</v>
      </c>
      <c r="M36">
        <f t="shared" si="38"/>
        <v>503</v>
      </c>
      <c r="N36">
        <f t="shared" si="38"/>
        <v>200</v>
      </c>
      <c r="O36" s="4">
        <f t="shared" si="38"/>
        <v>79</v>
      </c>
      <c r="P36">
        <f t="shared" si="38"/>
        <v>31</v>
      </c>
      <c r="Q36" t="str">
        <f t="shared" si="2"/>
        <v>NIE</v>
      </c>
      <c r="R36" t="str">
        <f t="shared" si="3"/>
        <v>NIE</v>
      </c>
      <c r="S36">
        <f t="shared" ca="1" si="7"/>
        <v>79</v>
      </c>
      <c r="T36" t="str">
        <f t="shared" ca="1" si="4"/>
        <v>NIE</v>
      </c>
    </row>
    <row r="37" spans="1:20" x14ac:dyDescent="0.25">
      <c r="A37">
        <f>'Pom3'!$H37</f>
        <v>6.2600000000000003E-2</v>
      </c>
      <c r="B37" t="str">
        <f>'Pom3'!$A37</f>
        <v>w36B</v>
      </c>
      <c r="C37">
        <f>'Pom3'!$F37</f>
        <v>3653434</v>
      </c>
      <c r="D37">
        <f>'Pom3'!$G37</f>
        <v>229037</v>
      </c>
      <c r="E37">
        <f t="shared" ref="E37:P37" si="39">IF(OR(D37="P",D37&gt;$C37*2),"P",ROUNDDOWN(D37*$A37,0))</f>
        <v>14337</v>
      </c>
      <c r="F37">
        <f t="shared" si="39"/>
        <v>897</v>
      </c>
      <c r="G37">
        <f t="shared" si="39"/>
        <v>56</v>
      </c>
      <c r="H37">
        <f t="shared" si="39"/>
        <v>3</v>
      </c>
      <c r="I37">
        <f t="shared" si="39"/>
        <v>0</v>
      </c>
      <c r="J37">
        <f t="shared" si="39"/>
        <v>0</v>
      </c>
      <c r="K37">
        <f t="shared" si="39"/>
        <v>0</v>
      </c>
      <c r="L37">
        <f t="shared" si="39"/>
        <v>0</v>
      </c>
      <c r="M37">
        <f t="shared" si="39"/>
        <v>0</v>
      </c>
      <c r="N37">
        <f t="shared" si="39"/>
        <v>0</v>
      </c>
      <c r="O37" s="4">
        <f t="shared" si="39"/>
        <v>0</v>
      </c>
      <c r="P37">
        <f t="shared" si="39"/>
        <v>0</v>
      </c>
      <c r="Q37" t="str">
        <f t="shared" si="2"/>
        <v>NIE</v>
      </c>
      <c r="R37" t="str">
        <f t="shared" si="3"/>
        <v>NIE</v>
      </c>
      <c r="S37">
        <f t="shared" ca="1" si="7"/>
        <v>0</v>
      </c>
      <c r="T37" t="str">
        <f t="shared" ca="1" si="4"/>
        <v>NIE</v>
      </c>
    </row>
    <row r="38" spans="1:20" x14ac:dyDescent="0.25">
      <c r="A38">
        <f>'Pom3'!$H38</f>
        <v>0.81579999999999997</v>
      </c>
      <c r="B38" t="str">
        <f>'Pom3'!$A38</f>
        <v>w37A</v>
      </c>
      <c r="C38">
        <f>'Pom3'!$F38</f>
        <v>2921428</v>
      </c>
      <c r="D38">
        <f>'Pom3'!$G38</f>
        <v>2383387</v>
      </c>
      <c r="E38">
        <f t="shared" ref="E38:P38" si="40">IF(OR(D38="P",D38&gt;$C38*2),"P",ROUNDDOWN(D38*$A38,0))</f>
        <v>1944367</v>
      </c>
      <c r="F38">
        <f t="shared" si="40"/>
        <v>1586214</v>
      </c>
      <c r="G38">
        <f t="shared" si="40"/>
        <v>1294033</v>
      </c>
      <c r="H38">
        <f t="shared" si="40"/>
        <v>1055672</v>
      </c>
      <c r="I38">
        <f t="shared" si="40"/>
        <v>861217</v>
      </c>
      <c r="J38">
        <f t="shared" si="40"/>
        <v>702580</v>
      </c>
      <c r="K38">
        <f t="shared" si="40"/>
        <v>573164</v>
      </c>
      <c r="L38">
        <f t="shared" si="40"/>
        <v>467587</v>
      </c>
      <c r="M38">
        <f t="shared" si="40"/>
        <v>381457</v>
      </c>
      <c r="N38">
        <f t="shared" si="40"/>
        <v>311192</v>
      </c>
      <c r="O38" s="4">
        <f t="shared" si="40"/>
        <v>253870</v>
      </c>
      <c r="P38">
        <f t="shared" si="40"/>
        <v>207107</v>
      </c>
      <c r="Q38" t="str">
        <f t="shared" si="2"/>
        <v>NIE</v>
      </c>
      <c r="R38" t="str">
        <f t="shared" si="3"/>
        <v>NIE</v>
      </c>
      <c r="S38">
        <f t="shared" ca="1" si="7"/>
        <v>253870</v>
      </c>
      <c r="T38" t="str">
        <f t="shared" ca="1" si="4"/>
        <v>NIE</v>
      </c>
    </row>
    <row r="39" spans="1:20" x14ac:dyDescent="0.25">
      <c r="A39">
        <f>'Pom3'!$H39</f>
        <v>0.26690000000000003</v>
      </c>
      <c r="B39" t="str">
        <f>'Pom3'!$A39</f>
        <v>w38B</v>
      </c>
      <c r="C39">
        <f>'Pom3'!$F39</f>
        <v>3286803</v>
      </c>
      <c r="D39">
        <f>'Pom3'!$G39</f>
        <v>877403</v>
      </c>
      <c r="E39">
        <f t="shared" ref="E39:P39" si="41">IF(OR(D39="P",D39&gt;$C39*2),"P",ROUNDDOWN(D39*$A39,0))</f>
        <v>234178</v>
      </c>
      <c r="F39">
        <f t="shared" si="41"/>
        <v>62502</v>
      </c>
      <c r="G39">
        <f t="shared" si="41"/>
        <v>16681</v>
      </c>
      <c r="H39">
        <f t="shared" si="41"/>
        <v>4452</v>
      </c>
      <c r="I39">
        <f t="shared" si="41"/>
        <v>1188</v>
      </c>
      <c r="J39">
        <f t="shared" si="41"/>
        <v>317</v>
      </c>
      <c r="K39">
        <f t="shared" si="41"/>
        <v>84</v>
      </c>
      <c r="L39">
        <f t="shared" si="41"/>
        <v>22</v>
      </c>
      <c r="M39">
        <f t="shared" si="41"/>
        <v>5</v>
      </c>
      <c r="N39">
        <f t="shared" si="41"/>
        <v>1</v>
      </c>
      <c r="O39" s="4">
        <f t="shared" si="41"/>
        <v>0</v>
      </c>
      <c r="P39">
        <f t="shared" si="41"/>
        <v>0</v>
      </c>
      <c r="Q39" t="str">
        <f t="shared" si="2"/>
        <v>NIE</v>
      </c>
      <c r="R39" t="str">
        <f t="shared" si="3"/>
        <v>NIE</v>
      </c>
      <c r="S39">
        <f t="shared" ca="1" si="7"/>
        <v>0</v>
      </c>
      <c r="T39" t="str">
        <f t="shared" ca="1" si="4"/>
        <v>NIE</v>
      </c>
    </row>
    <row r="40" spans="1:20" x14ac:dyDescent="0.25">
      <c r="A40">
        <f>'Pom3'!$H40</f>
        <v>5.6017999999999999</v>
      </c>
      <c r="B40" t="str">
        <f>'Pom3'!$A40</f>
        <v>w39D</v>
      </c>
      <c r="C40">
        <f>'Pom3'!$F40</f>
        <v>1063625</v>
      </c>
      <c r="D40">
        <f>'Pom3'!$G40</f>
        <v>5958241</v>
      </c>
      <c r="E40" t="str">
        <f t="shared" ref="E40:P40" si="42">IF(OR(D40="P",D40&gt;$C40*2),"P",ROUNDDOWN(D40*$A40,0))</f>
        <v>P</v>
      </c>
      <c r="F40" t="str">
        <f t="shared" si="42"/>
        <v>P</v>
      </c>
      <c r="G40" t="str">
        <f t="shared" si="42"/>
        <v>P</v>
      </c>
      <c r="H40" t="str">
        <f t="shared" si="42"/>
        <v>P</v>
      </c>
      <c r="I40" t="str">
        <f t="shared" si="42"/>
        <v>P</v>
      </c>
      <c r="J40" t="str">
        <f t="shared" si="42"/>
        <v>P</v>
      </c>
      <c r="K40" t="str">
        <f t="shared" si="42"/>
        <v>P</v>
      </c>
      <c r="L40" t="str">
        <f t="shared" si="42"/>
        <v>P</v>
      </c>
      <c r="M40" t="str">
        <f t="shared" si="42"/>
        <v>P</v>
      </c>
      <c r="N40" t="str">
        <f t="shared" si="42"/>
        <v>P</v>
      </c>
      <c r="O40" s="4" t="str">
        <f t="shared" si="42"/>
        <v>P</v>
      </c>
      <c r="P40" t="str">
        <f t="shared" si="42"/>
        <v>P</v>
      </c>
      <c r="Q40">
        <f t="shared" si="2"/>
        <v>3</v>
      </c>
      <c r="R40" t="str">
        <f t="shared" si="3"/>
        <v>TAK</v>
      </c>
      <c r="S40">
        <f t="shared" ca="1" si="7"/>
        <v>5958241</v>
      </c>
      <c r="T40" t="str">
        <f t="shared" ca="1" si="4"/>
        <v>NIE</v>
      </c>
    </row>
    <row r="41" spans="1:20" x14ac:dyDescent="0.25">
      <c r="A41">
        <f>'Pom3'!$H41</f>
        <v>2.2675999999999998</v>
      </c>
      <c r="B41" t="str">
        <f>'Pom3'!$A41</f>
        <v>w40A</v>
      </c>
      <c r="C41">
        <f>'Pom3'!$F41</f>
        <v>2270638</v>
      </c>
      <c r="D41">
        <f>'Pom3'!$G41</f>
        <v>5149121</v>
      </c>
      <c r="E41" t="str">
        <f t="shared" ref="E41:P41" si="43">IF(OR(D41="P",D41&gt;$C41*2),"P",ROUNDDOWN(D41*$A41,0))</f>
        <v>P</v>
      </c>
      <c r="F41" t="str">
        <f t="shared" si="43"/>
        <v>P</v>
      </c>
      <c r="G41" t="str">
        <f t="shared" si="43"/>
        <v>P</v>
      </c>
      <c r="H41" t="str">
        <f t="shared" si="43"/>
        <v>P</v>
      </c>
      <c r="I41" t="str">
        <f t="shared" si="43"/>
        <v>P</v>
      </c>
      <c r="J41" t="str">
        <f t="shared" si="43"/>
        <v>P</v>
      </c>
      <c r="K41" t="str">
        <f t="shared" si="43"/>
        <v>P</v>
      </c>
      <c r="L41" t="str">
        <f t="shared" si="43"/>
        <v>P</v>
      </c>
      <c r="M41" t="str">
        <f t="shared" si="43"/>
        <v>P</v>
      </c>
      <c r="N41" t="str">
        <f t="shared" si="43"/>
        <v>P</v>
      </c>
      <c r="O41" s="4" t="str">
        <f t="shared" si="43"/>
        <v>P</v>
      </c>
      <c r="P41" t="str">
        <f t="shared" si="43"/>
        <v>P</v>
      </c>
      <c r="Q41">
        <f t="shared" si="2"/>
        <v>3</v>
      </c>
      <c r="R41" t="str">
        <f t="shared" si="3"/>
        <v>TAK</v>
      </c>
      <c r="S41">
        <f t="shared" ca="1" si="7"/>
        <v>5149121</v>
      </c>
      <c r="T41" t="str">
        <f t="shared" ca="1" si="4"/>
        <v>NIE</v>
      </c>
    </row>
    <row r="42" spans="1:20" x14ac:dyDescent="0.25">
      <c r="A42">
        <f>'Pom3'!$H42</f>
        <v>6.8999999999999999E-3</v>
      </c>
      <c r="B42" t="str">
        <f>'Pom3'!$A42</f>
        <v>w41D</v>
      </c>
      <c r="C42">
        <f>'Pom3'!$F42</f>
        <v>4318105</v>
      </c>
      <c r="D42">
        <f>'Pom3'!$G42</f>
        <v>29991</v>
      </c>
      <c r="E42">
        <f t="shared" ref="E42:P42" si="44">IF(OR(D42="P",D42&gt;$C42*2),"P",ROUNDDOWN(D42*$A42,0))</f>
        <v>206</v>
      </c>
      <c r="F42">
        <f t="shared" si="44"/>
        <v>1</v>
      </c>
      <c r="G42">
        <f t="shared" si="44"/>
        <v>0</v>
      </c>
      <c r="H42">
        <f t="shared" si="44"/>
        <v>0</v>
      </c>
      <c r="I42">
        <f t="shared" si="44"/>
        <v>0</v>
      </c>
      <c r="J42">
        <f t="shared" si="44"/>
        <v>0</v>
      </c>
      <c r="K42">
        <f t="shared" si="44"/>
        <v>0</v>
      </c>
      <c r="L42">
        <f t="shared" si="44"/>
        <v>0</v>
      </c>
      <c r="M42">
        <f t="shared" si="44"/>
        <v>0</v>
      </c>
      <c r="N42">
        <f t="shared" si="44"/>
        <v>0</v>
      </c>
      <c r="O42" s="4">
        <f t="shared" si="44"/>
        <v>0</v>
      </c>
      <c r="P42">
        <f t="shared" si="44"/>
        <v>0</v>
      </c>
      <c r="Q42" t="str">
        <f t="shared" si="2"/>
        <v>NIE</v>
      </c>
      <c r="R42" t="str">
        <f t="shared" si="3"/>
        <v>NIE</v>
      </c>
      <c r="S42">
        <f t="shared" ca="1" si="7"/>
        <v>0</v>
      </c>
      <c r="T42" t="str">
        <f t="shared" ca="1" si="4"/>
        <v>NIE</v>
      </c>
    </row>
    <row r="43" spans="1:20" x14ac:dyDescent="0.25">
      <c r="A43">
        <f>'Pom3'!$H43</f>
        <v>0.15989999999999999</v>
      </c>
      <c r="B43" t="str">
        <f>'Pom3'!$A43</f>
        <v>w42B</v>
      </c>
      <c r="C43">
        <f>'Pom3'!$F43</f>
        <v>4544199</v>
      </c>
      <c r="D43">
        <f>'Pom3'!$G43</f>
        <v>726835</v>
      </c>
      <c r="E43">
        <f t="shared" ref="E43:P43" si="45">IF(OR(D43="P",D43&gt;$C43*2),"P",ROUNDDOWN(D43*$A43,0))</f>
        <v>116220</v>
      </c>
      <c r="F43">
        <f t="shared" si="45"/>
        <v>18583</v>
      </c>
      <c r="G43">
        <f t="shared" si="45"/>
        <v>2971</v>
      </c>
      <c r="H43">
        <f t="shared" si="45"/>
        <v>475</v>
      </c>
      <c r="I43">
        <f t="shared" si="45"/>
        <v>75</v>
      </c>
      <c r="J43">
        <f t="shared" si="45"/>
        <v>11</v>
      </c>
      <c r="K43">
        <f t="shared" si="45"/>
        <v>1</v>
      </c>
      <c r="L43">
        <f t="shared" si="45"/>
        <v>0</v>
      </c>
      <c r="M43">
        <f t="shared" si="45"/>
        <v>0</v>
      </c>
      <c r="N43">
        <f t="shared" si="45"/>
        <v>0</v>
      </c>
      <c r="O43" s="4">
        <f t="shared" si="45"/>
        <v>0</v>
      </c>
      <c r="P43">
        <f t="shared" si="45"/>
        <v>0</v>
      </c>
      <c r="Q43" t="str">
        <f t="shared" si="2"/>
        <v>NIE</v>
      </c>
      <c r="R43" t="str">
        <f t="shared" si="3"/>
        <v>NIE</v>
      </c>
      <c r="S43">
        <f t="shared" ca="1" si="7"/>
        <v>0</v>
      </c>
      <c r="T43" t="str">
        <f t="shared" ca="1" si="4"/>
        <v>NIE</v>
      </c>
    </row>
    <row r="44" spans="1:20" x14ac:dyDescent="0.25">
      <c r="A44">
        <f>'Pom3'!$H44</f>
        <v>1.47E-2</v>
      </c>
      <c r="B44" t="str">
        <f>'Pom3'!$A44</f>
        <v>w43D</v>
      </c>
      <c r="C44">
        <f>'Pom3'!$F44</f>
        <v>5125651</v>
      </c>
      <c r="D44">
        <f>'Pom3'!$G44</f>
        <v>75752</v>
      </c>
      <c r="E44">
        <f t="shared" ref="E44:P44" si="46">IF(OR(D44="P",D44&gt;$C44*2),"P",ROUNDDOWN(D44*$A44,0))</f>
        <v>1113</v>
      </c>
      <c r="F44">
        <f t="shared" si="46"/>
        <v>16</v>
      </c>
      <c r="G44">
        <f t="shared" si="46"/>
        <v>0</v>
      </c>
      <c r="H44">
        <f t="shared" si="46"/>
        <v>0</v>
      </c>
      <c r="I44">
        <f t="shared" si="46"/>
        <v>0</v>
      </c>
      <c r="J44">
        <f t="shared" si="46"/>
        <v>0</v>
      </c>
      <c r="K44">
        <f t="shared" si="46"/>
        <v>0</v>
      </c>
      <c r="L44">
        <f t="shared" si="46"/>
        <v>0</v>
      </c>
      <c r="M44">
        <f t="shared" si="46"/>
        <v>0</v>
      </c>
      <c r="N44">
        <f t="shared" si="46"/>
        <v>0</v>
      </c>
      <c r="O44" s="4">
        <f t="shared" si="46"/>
        <v>0</v>
      </c>
      <c r="P44">
        <f t="shared" si="46"/>
        <v>0</v>
      </c>
      <c r="Q44" t="str">
        <f t="shared" si="2"/>
        <v>NIE</v>
      </c>
      <c r="R44" t="str">
        <f t="shared" si="3"/>
        <v>NIE</v>
      </c>
      <c r="S44">
        <f t="shared" ca="1" si="7"/>
        <v>0</v>
      </c>
      <c r="T44" t="str">
        <f t="shared" ca="1" si="4"/>
        <v>NIE</v>
      </c>
    </row>
    <row r="45" spans="1:20" x14ac:dyDescent="0.25">
      <c r="A45">
        <f>'Pom3'!$H45</f>
        <v>1.2096</v>
      </c>
      <c r="B45" t="str">
        <f>'Pom3'!$A45</f>
        <v>w44C</v>
      </c>
      <c r="C45">
        <f>'Pom3'!$F45</f>
        <v>1673241</v>
      </c>
      <c r="D45">
        <f>'Pom3'!$G45</f>
        <v>2023958</v>
      </c>
      <c r="E45">
        <f t="shared" ref="E45:P45" si="47">IF(OR(D45="P",D45&gt;$C45*2),"P",ROUNDDOWN(D45*$A45,0))</f>
        <v>2448179</v>
      </c>
      <c r="F45">
        <f t="shared" si="47"/>
        <v>2961317</v>
      </c>
      <c r="G45">
        <f t="shared" si="47"/>
        <v>3582009</v>
      </c>
      <c r="H45" t="str">
        <f t="shared" si="47"/>
        <v>P</v>
      </c>
      <c r="I45" t="str">
        <f t="shared" si="47"/>
        <v>P</v>
      </c>
      <c r="J45" t="str">
        <f t="shared" si="47"/>
        <v>P</v>
      </c>
      <c r="K45" t="str">
        <f t="shared" si="47"/>
        <v>P</v>
      </c>
      <c r="L45" t="str">
        <f t="shared" si="47"/>
        <v>P</v>
      </c>
      <c r="M45" t="str">
        <f t="shared" si="47"/>
        <v>P</v>
      </c>
      <c r="N45" t="str">
        <f t="shared" si="47"/>
        <v>P</v>
      </c>
      <c r="O45" s="4" t="str">
        <f t="shared" si="47"/>
        <v>P</v>
      </c>
      <c r="P45" t="str">
        <f t="shared" si="47"/>
        <v>P</v>
      </c>
      <c r="Q45">
        <f t="shared" si="2"/>
        <v>6</v>
      </c>
      <c r="R45" t="str">
        <f t="shared" si="3"/>
        <v>TAK</v>
      </c>
      <c r="S45">
        <f t="shared" ca="1" si="7"/>
        <v>3582009</v>
      </c>
      <c r="T45" t="str">
        <f t="shared" ca="1" si="4"/>
        <v>NIE</v>
      </c>
    </row>
    <row r="46" spans="1:20" x14ac:dyDescent="0.25">
      <c r="A46">
        <f>'Pom3'!$H46</f>
        <v>1.4444999999999999</v>
      </c>
      <c r="B46" t="str">
        <f>'Pom3'!$A46</f>
        <v>w45B</v>
      </c>
      <c r="C46">
        <f>'Pom3'!$F46</f>
        <v>2257874</v>
      </c>
      <c r="D46">
        <f>'Pom3'!$G46</f>
        <v>3261598</v>
      </c>
      <c r="E46">
        <f t="shared" ref="E46:P46" si="48">IF(OR(D46="P",D46&gt;$C46*2),"P",ROUNDDOWN(D46*$A46,0))</f>
        <v>4711378</v>
      </c>
      <c r="F46" t="str">
        <f t="shared" si="48"/>
        <v>P</v>
      </c>
      <c r="G46" t="str">
        <f t="shared" si="48"/>
        <v>P</v>
      </c>
      <c r="H46" t="str">
        <f t="shared" si="48"/>
        <v>P</v>
      </c>
      <c r="I46" t="str">
        <f t="shared" si="48"/>
        <v>P</v>
      </c>
      <c r="J46" t="str">
        <f t="shared" si="48"/>
        <v>P</v>
      </c>
      <c r="K46" t="str">
        <f t="shared" si="48"/>
        <v>P</v>
      </c>
      <c r="L46" t="str">
        <f t="shared" si="48"/>
        <v>P</v>
      </c>
      <c r="M46" t="str">
        <f t="shared" si="48"/>
        <v>P</v>
      </c>
      <c r="N46" t="str">
        <f t="shared" si="48"/>
        <v>P</v>
      </c>
      <c r="O46" s="4" t="str">
        <f t="shared" si="48"/>
        <v>P</v>
      </c>
      <c r="P46" t="str">
        <f t="shared" si="48"/>
        <v>P</v>
      </c>
      <c r="Q46">
        <f t="shared" si="2"/>
        <v>4</v>
      </c>
      <c r="R46" t="str">
        <f t="shared" si="3"/>
        <v>TAK</v>
      </c>
      <c r="S46">
        <f t="shared" ca="1" si="7"/>
        <v>4711378</v>
      </c>
      <c r="T46" t="str">
        <f t="shared" ca="1" si="4"/>
        <v>NIE</v>
      </c>
    </row>
    <row r="47" spans="1:20" x14ac:dyDescent="0.25">
      <c r="A47">
        <f>'Pom3'!$H47</f>
        <v>19.212599999999998</v>
      </c>
      <c r="B47" t="str">
        <f>'Pom3'!$A47</f>
        <v>w46C</v>
      </c>
      <c r="C47">
        <f>'Pom3'!$F47</f>
        <v>286380</v>
      </c>
      <c r="D47">
        <f>'Pom3'!$G47</f>
        <v>5502111</v>
      </c>
      <c r="E47" t="str">
        <f t="shared" ref="E47:P47" si="49">IF(OR(D47="P",D47&gt;$C47*2),"P",ROUNDDOWN(D47*$A47,0))</f>
        <v>P</v>
      </c>
      <c r="F47" t="str">
        <f t="shared" si="49"/>
        <v>P</v>
      </c>
      <c r="G47" t="str">
        <f t="shared" si="49"/>
        <v>P</v>
      </c>
      <c r="H47" t="str">
        <f t="shared" si="49"/>
        <v>P</v>
      </c>
      <c r="I47" t="str">
        <f t="shared" si="49"/>
        <v>P</v>
      </c>
      <c r="J47" t="str">
        <f t="shared" si="49"/>
        <v>P</v>
      </c>
      <c r="K47" t="str">
        <f t="shared" si="49"/>
        <v>P</v>
      </c>
      <c r="L47" t="str">
        <f t="shared" si="49"/>
        <v>P</v>
      </c>
      <c r="M47" t="str">
        <f t="shared" si="49"/>
        <v>P</v>
      </c>
      <c r="N47" t="str">
        <f t="shared" si="49"/>
        <v>P</v>
      </c>
      <c r="O47" s="4" t="str">
        <f t="shared" si="49"/>
        <v>P</v>
      </c>
      <c r="P47" t="str">
        <f t="shared" si="49"/>
        <v>P</v>
      </c>
      <c r="Q47">
        <f t="shared" si="2"/>
        <v>3</v>
      </c>
      <c r="R47" t="str">
        <f t="shared" si="3"/>
        <v>TAK</v>
      </c>
      <c r="S47">
        <f t="shared" ca="1" si="7"/>
        <v>5502111</v>
      </c>
      <c r="T47" t="str">
        <f t="shared" ca="1" si="4"/>
        <v>NIE</v>
      </c>
    </row>
    <row r="48" spans="1:20" x14ac:dyDescent="0.25">
      <c r="A48">
        <f>'Pom3'!$H48</f>
        <v>2.1524000000000001</v>
      </c>
      <c r="B48" t="str">
        <f>'Pom3'!$A48</f>
        <v>w47B</v>
      </c>
      <c r="C48">
        <f>'Pom3'!$F48</f>
        <v>2503710</v>
      </c>
      <c r="D48">
        <f>'Pom3'!$G48</f>
        <v>5389136</v>
      </c>
      <c r="E48" t="str">
        <f t="shared" ref="E48:P48" si="50">IF(OR(D48="P",D48&gt;$C48*2),"P",ROUNDDOWN(D48*$A48,0))</f>
        <v>P</v>
      </c>
      <c r="F48" t="str">
        <f t="shared" si="50"/>
        <v>P</v>
      </c>
      <c r="G48" t="str">
        <f t="shared" si="50"/>
        <v>P</v>
      </c>
      <c r="H48" t="str">
        <f t="shared" si="50"/>
        <v>P</v>
      </c>
      <c r="I48" t="str">
        <f t="shared" si="50"/>
        <v>P</v>
      </c>
      <c r="J48" t="str">
        <f t="shared" si="50"/>
        <v>P</v>
      </c>
      <c r="K48" t="str">
        <f t="shared" si="50"/>
        <v>P</v>
      </c>
      <c r="L48" t="str">
        <f t="shared" si="50"/>
        <v>P</v>
      </c>
      <c r="M48" t="str">
        <f t="shared" si="50"/>
        <v>P</v>
      </c>
      <c r="N48" t="str">
        <f t="shared" si="50"/>
        <v>P</v>
      </c>
      <c r="O48" s="4" t="str">
        <f t="shared" si="50"/>
        <v>P</v>
      </c>
      <c r="P48" t="str">
        <f t="shared" si="50"/>
        <v>P</v>
      </c>
      <c r="Q48">
        <f t="shared" si="2"/>
        <v>3</v>
      </c>
      <c r="R48" t="str">
        <f t="shared" si="3"/>
        <v>TAK</v>
      </c>
      <c r="S48">
        <f t="shared" ca="1" si="7"/>
        <v>5389136</v>
      </c>
      <c r="T48" t="str">
        <f t="shared" ca="1" si="4"/>
        <v>NIE</v>
      </c>
    </row>
    <row r="49" spans="1:21" x14ac:dyDescent="0.25">
      <c r="A49">
        <f>'Pom3'!$H49</f>
        <v>1.0593999999999999</v>
      </c>
      <c r="B49" t="str">
        <f>'Pom3'!$A49</f>
        <v>w48C</v>
      </c>
      <c r="C49">
        <f>'Pom3'!$F49</f>
        <v>5369399</v>
      </c>
      <c r="D49">
        <f>'Pom3'!$G49</f>
        <v>5688389</v>
      </c>
      <c r="E49">
        <f t="shared" ref="E49:P49" si="51">IF(OR(D49="P",D49&gt;$C49*2),"P",ROUNDDOWN(D49*$A49,0))</f>
        <v>6026279</v>
      </c>
      <c r="F49">
        <f t="shared" si="51"/>
        <v>6384239</v>
      </c>
      <c r="G49">
        <f t="shared" si="51"/>
        <v>6763462</v>
      </c>
      <c r="H49">
        <f t="shared" si="51"/>
        <v>7165211</v>
      </c>
      <c r="I49">
        <f t="shared" si="51"/>
        <v>7590824</v>
      </c>
      <c r="J49">
        <f t="shared" si="51"/>
        <v>8041718</v>
      </c>
      <c r="K49">
        <f t="shared" si="51"/>
        <v>8519396</v>
      </c>
      <c r="L49">
        <f t="shared" si="51"/>
        <v>9025448</v>
      </c>
      <c r="M49">
        <f t="shared" si="51"/>
        <v>9561559</v>
      </c>
      <c r="N49">
        <f t="shared" si="51"/>
        <v>10129515</v>
      </c>
      <c r="O49" s="4">
        <f t="shared" si="51"/>
        <v>10731208</v>
      </c>
      <c r="P49">
        <f t="shared" si="51"/>
        <v>11368641</v>
      </c>
      <c r="Q49" t="str">
        <f t="shared" si="2"/>
        <v>NIE</v>
      </c>
      <c r="R49" t="str">
        <f t="shared" si="3"/>
        <v>NIE</v>
      </c>
      <c r="S49">
        <f t="shared" ca="1" si="7"/>
        <v>10731208</v>
      </c>
      <c r="T49" t="str">
        <f t="shared" ca="1" si="4"/>
        <v>NIE</v>
      </c>
    </row>
    <row r="50" spans="1:21" x14ac:dyDescent="0.25">
      <c r="A50">
        <f>'Pom3'!$H50</f>
        <v>11.7956</v>
      </c>
      <c r="B50" t="str">
        <f>'Pom3'!$A50</f>
        <v>w49C</v>
      </c>
      <c r="C50">
        <f>'Pom3'!$F50</f>
        <v>516909</v>
      </c>
      <c r="D50">
        <f>'Pom3'!$G50</f>
        <v>6097264</v>
      </c>
      <c r="E50" t="str">
        <f t="shared" ref="E50:P50" si="52">IF(OR(D50="P",D50&gt;$C50*2),"P",ROUNDDOWN(D50*$A50,0))</f>
        <v>P</v>
      </c>
      <c r="F50" t="str">
        <f t="shared" si="52"/>
        <v>P</v>
      </c>
      <c r="G50" t="str">
        <f t="shared" si="52"/>
        <v>P</v>
      </c>
      <c r="H50" t="str">
        <f t="shared" si="52"/>
        <v>P</v>
      </c>
      <c r="I50" t="str">
        <f t="shared" si="52"/>
        <v>P</v>
      </c>
      <c r="J50" t="str">
        <f t="shared" si="52"/>
        <v>P</v>
      </c>
      <c r="K50" t="str">
        <f t="shared" si="52"/>
        <v>P</v>
      </c>
      <c r="L50" t="str">
        <f t="shared" si="52"/>
        <v>P</v>
      </c>
      <c r="M50" t="str">
        <f t="shared" si="52"/>
        <v>P</v>
      </c>
      <c r="N50" t="str">
        <f t="shared" si="52"/>
        <v>P</v>
      </c>
      <c r="O50" s="4" t="str">
        <f t="shared" si="52"/>
        <v>P</v>
      </c>
      <c r="P50" t="str">
        <f t="shared" si="52"/>
        <v>P</v>
      </c>
      <c r="Q50">
        <f t="shared" si="2"/>
        <v>3</v>
      </c>
      <c r="R50" t="str">
        <f t="shared" si="3"/>
        <v>TAK</v>
      </c>
      <c r="S50">
        <f t="shared" ca="1" si="7"/>
        <v>6097264</v>
      </c>
      <c r="T50" t="str">
        <f t="shared" ca="1" si="4"/>
        <v>NIE</v>
      </c>
    </row>
    <row r="51" spans="1:21" x14ac:dyDescent="0.25">
      <c r="A51">
        <f>'Pom3'!$H51</f>
        <v>0.71289999999999998</v>
      </c>
      <c r="B51" t="str">
        <f>'Pom3'!$A51</f>
        <v>w50B</v>
      </c>
      <c r="C51">
        <f>'Pom3'!$F51</f>
        <v>5119414</v>
      </c>
      <c r="D51">
        <f>'Pom3'!$G51</f>
        <v>3649895</v>
      </c>
      <c r="E51">
        <f t="shared" ref="E51:P51" si="53">IF(OR(D51="P",D51&gt;$C51*2),"P",ROUNDDOWN(D51*$A51,0))</f>
        <v>2602010</v>
      </c>
      <c r="F51">
        <f t="shared" si="53"/>
        <v>1854972</v>
      </c>
      <c r="G51">
        <f t="shared" si="53"/>
        <v>1322409</v>
      </c>
      <c r="H51">
        <f t="shared" si="53"/>
        <v>942745</v>
      </c>
      <c r="I51">
        <f t="shared" si="53"/>
        <v>672082</v>
      </c>
      <c r="J51">
        <f t="shared" si="53"/>
        <v>479127</v>
      </c>
      <c r="K51">
        <f t="shared" si="53"/>
        <v>341569</v>
      </c>
      <c r="L51">
        <f t="shared" si="53"/>
        <v>243504</v>
      </c>
      <c r="M51">
        <f t="shared" si="53"/>
        <v>173594</v>
      </c>
      <c r="N51">
        <f t="shared" si="53"/>
        <v>123755</v>
      </c>
      <c r="O51" s="4">
        <f t="shared" si="53"/>
        <v>88224</v>
      </c>
      <c r="P51">
        <f t="shared" si="53"/>
        <v>62894</v>
      </c>
      <c r="Q51" t="str">
        <f t="shared" si="2"/>
        <v>NIE</v>
      </c>
      <c r="R51" t="str">
        <f t="shared" si="3"/>
        <v>NIE</v>
      </c>
      <c r="S51">
        <f t="shared" ca="1" si="7"/>
        <v>88224</v>
      </c>
      <c r="T51" t="str">
        <f t="shared" ca="1" si="4"/>
        <v>NIE</v>
      </c>
      <c r="U51" t="s">
        <v>79</v>
      </c>
    </row>
    <row r="52" spans="1:21" x14ac:dyDescent="0.25">
      <c r="R52">
        <f>COUNTIF(R2:R51,"TAK")</f>
        <v>18</v>
      </c>
      <c r="S52">
        <f ca="1">SUM(S2:S51)</f>
        <v>125930205</v>
      </c>
      <c r="T52" t="str">
        <f ca="1">INDIRECT("B"&amp;MATCH("TAK",T2:T51,0)+1)</f>
        <v>w12C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Zakresy nazwane</vt:lpstr>
      </vt:variant>
      <vt:variant>
        <vt:i4>2</vt:i4>
      </vt:variant>
    </vt:vector>
  </HeadingPairs>
  <TitlesOfParts>
    <vt:vector size="7" baseType="lpstr">
      <vt:lpstr>Podpunkt 1</vt:lpstr>
      <vt:lpstr>Podpunkt 2</vt:lpstr>
      <vt:lpstr>Dane</vt:lpstr>
      <vt:lpstr>Pom3</vt:lpstr>
      <vt:lpstr>Arkusz6</vt:lpstr>
      <vt:lpstr>Dane!kraina</vt:lpstr>
      <vt:lpstr>'Pom3'!kraina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2020-05-31T13:23:24Z</dcterms:created>
  <dcterms:modified xsi:type="dcterms:W3CDTF">2020-05-31T14:45:05Z</dcterms:modified>
</cp:coreProperties>
</file>