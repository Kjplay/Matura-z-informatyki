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zkoła\Liceum\INFA\2019_stara_formuła\Zadanie 6\"/>
    </mc:Choice>
  </mc:AlternateContent>
  <xr:revisionPtr revIDLastSave="0" documentId="13_ncr:1_{BC27ED9B-68B9-4B33-AD95-FDBD7E9B9760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6_1 i 6_2" sheetId="2" r:id="rId1"/>
    <sheet name="6_3_6_4_pom" sheetId="1" r:id="rId2"/>
    <sheet name="6_3" sheetId="5" r:id="rId3"/>
    <sheet name="6_4_pom" sheetId="7" r:id="rId4"/>
    <sheet name="6_4" sheetId="8" r:id="rId5"/>
    <sheet name="6_5" sheetId="9" r:id="rId6"/>
  </sheets>
  <definedNames>
    <definedName name="DaneZewnętrzne_1" localSheetId="0" hidden="1">'6_1 i 6_2'!$A$1:$F$301</definedName>
    <definedName name="DaneZewnętrzne_1" localSheetId="1" hidden="1">'6_3_6_4_pom'!$A$1:$F$301</definedName>
    <definedName name="DaneZewnętrzne_1" localSheetId="5" hidden="1">'6_5'!$A$1:$F$301</definedName>
  </definedNames>
  <calcPr calcId="191029"/>
  <pivotCaches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9" l="1"/>
  <c r="K4" i="9"/>
  <c r="H4" i="9"/>
  <c r="H5" i="9"/>
  <c r="H6" i="9"/>
  <c r="H7" i="9"/>
  <c r="H8" i="9" s="1"/>
  <c r="H9" i="9" s="1"/>
  <c r="H10" i="9" s="1"/>
  <c r="H11" i="9"/>
  <c r="H12" i="9"/>
  <c r="H13" i="9"/>
  <c r="H14" i="9"/>
  <c r="H15" i="9"/>
  <c r="H16" i="9"/>
  <c r="H17" i="9"/>
  <c r="H18" i="9"/>
  <c r="H19" i="9"/>
  <c r="H20" i="9" s="1"/>
  <c r="H21" i="9" s="1"/>
  <c r="H22" i="9" s="1"/>
  <c r="H23" i="9" s="1"/>
  <c r="H24" i="9" s="1"/>
  <c r="H25" i="9"/>
  <c r="H26" i="9"/>
  <c r="H27" i="9"/>
  <c r="H28" i="9" s="1"/>
  <c r="H29" i="9" s="1"/>
  <c r="H30" i="9" s="1"/>
  <c r="H31" i="9" s="1"/>
  <c r="H32" i="9" s="1"/>
  <c r="H33" i="9"/>
  <c r="H34" i="9"/>
  <c r="H35" i="9"/>
  <c r="H36" i="9"/>
  <c r="H37" i="9"/>
  <c r="H38" i="9"/>
  <c r="H39" i="9"/>
  <c r="H40" i="9" s="1"/>
  <c r="H41" i="9"/>
  <c r="H42" i="9"/>
  <c r="H43" i="9"/>
  <c r="H44" i="9"/>
  <c r="H45" i="9"/>
  <c r="H46" i="9"/>
  <c r="H47" i="9"/>
  <c r="H48" i="9"/>
  <c r="H49" i="9"/>
  <c r="H50" i="9"/>
  <c r="H51" i="9"/>
  <c r="H52" i="9" s="1"/>
  <c r="H53" i="9"/>
  <c r="H54" i="9"/>
  <c r="H55" i="9"/>
  <c r="H56" i="9" s="1"/>
  <c r="H57" i="9" s="1"/>
  <c r="H58" i="9" s="1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 s="1"/>
  <c r="H73" i="9" s="1"/>
  <c r="H74" i="9"/>
  <c r="H75" i="9"/>
  <c r="H76" i="9" s="1"/>
  <c r="H77" i="9" s="1"/>
  <c r="H78" i="9" s="1"/>
  <c r="H79" i="9"/>
  <c r="H80" i="9" s="1"/>
  <c r="H81" i="9"/>
  <c r="H82" i="9"/>
  <c r="H83" i="9"/>
  <c r="H84" i="9" s="1"/>
  <c r="H85" i="9"/>
  <c r="H86" i="9"/>
  <c r="H87" i="9"/>
  <c r="H88" i="9" s="1"/>
  <c r="H89" i="9"/>
  <c r="H90" i="9"/>
  <c r="H91" i="9"/>
  <c r="H92" i="9"/>
  <c r="H93" i="9"/>
  <c r="H94" i="9"/>
  <c r="H95" i="9"/>
  <c r="H96" i="9"/>
  <c r="H97" i="9"/>
  <c r="H98" i="9"/>
  <c r="H99" i="9"/>
  <c r="H100" i="9" s="1"/>
  <c r="H101" i="9" s="1"/>
  <c r="H102" i="9" s="1"/>
  <c r="H103" i="9" s="1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 s="1"/>
  <c r="H121" i="9" s="1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 s="1"/>
  <c r="H141" i="9"/>
  <c r="H142" i="9"/>
  <c r="H143" i="9"/>
  <c r="H144" i="9" s="1"/>
  <c r="H145" i="9" s="1"/>
  <c r="H146" i="9"/>
  <c r="H147" i="9"/>
  <c r="H148" i="9" s="1"/>
  <c r="H149" i="9" s="1"/>
  <c r="H150" i="9" s="1"/>
  <c r="H151" i="9"/>
  <c r="H152" i="9" s="1"/>
  <c r="H153" i="9" s="1"/>
  <c r="H154" i="9" s="1"/>
  <c r="H155" i="9"/>
  <c r="H156" i="9"/>
  <c r="H157" i="9"/>
  <c r="H158" i="9"/>
  <c r="H159" i="9"/>
  <c r="H160" i="9"/>
  <c r="H161" i="9"/>
  <c r="H162" i="9"/>
  <c r="H163" i="9"/>
  <c r="H164" i="9" s="1"/>
  <c r="H165" i="9" s="1"/>
  <c r="H166" i="9"/>
  <c r="H167" i="9"/>
  <c r="H168" i="9" s="1"/>
  <c r="H169" i="9"/>
  <c r="H170" i="9"/>
  <c r="H171" i="9"/>
  <c r="H172" i="9"/>
  <c r="H173" i="9"/>
  <c r="H174" i="9"/>
  <c r="H175" i="9"/>
  <c r="H176" i="9"/>
  <c r="H177" i="9"/>
  <c r="H178" i="9"/>
  <c r="H179" i="9"/>
  <c r="H180" i="9" s="1"/>
  <c r="H181" i="9"/>
  <c r="H182" i="9"/>
  <c r="H183" i="9"/>
  <c r="H184" i="9" s="1"/>
  <c r="H185" i="9" s="1"/>
  <c r="H186" i="9" s="1"/>
  <c r="H187" i="9"/>
  <c r="H188" i="9" s="1"/>
  <c r="H189" i="9"/>
  <c r="H190" i="9"/>
  <c r="H191" i="9"/>
  <c r="H192" i="9"/>
  <c r="H193" i="9"/>
  <c r="H194" i="9"/>
  <c r="H195" i="9"/>
  <c r="H196" i="9" s="1"/>
  <c r="H197" i="9" s="1"/>
  <c r="H198" i="9" s="1"/>
  <c r="H199" i="9" s="1"/>
  <c r="H200" i="9"/>
  <c r="H201" i="9"/>
  <c r="H202" i="9"/>
  <c r="H203" i="9"/>
  <c r="H204" i="9" s="1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 s="1"/>
  <c r="H221" i="9" s="1"/>
  <c r="H222" i="9" s="1"/>
  <c r="H223" i="9"/>
  <c r="H224" i="9"/>
  <c r="H225" i="9"/>
  <c r="H226" i="9"/>
  <c r="H227" i="9"/>
  <c r="H228" i="9" s="1"/>
  <c r="H229" i="9" s="1"/>
  <c r="H230" i="9"/>
  <c r="H231" i="9"/>
  <c r="H232" i="9"/>
  <c r="H233" i="9"/>
  <c r="H234" i="9"/>
  <c r="H235" i="9"/>
  <c r="H236" i="9" s="1"/>
  <c r="H237" i="9" s="1"/>
  <c r="H238" i="9" s="1"/>
  <c r="H239" i="9"/>
  <c r="H240" i="9" s="1"/>
  <c r="H241" i="9"/>
  <c r="H242" i="9"/>
  <c r="H243" i="9"/>
  <c r="H244" i="9" s="1"/>
  <c r="H245" i="9" s="1"/>
  <c r="H246" i="9"/>
  <c r="H247" i="9"/>
  <c r="H248" i="9" s="1"/>
  <c r="H249" i="9" s="1"/>
  <c r="H250" i="9"/>
  <c r="H251" i="9"/>
  <c r="H252" i="9"/>
  <c r="H253" i="9"/>
  <c r="H254" i="9"/>
  <c r="H255" i="9"/>
  <c r="H256" i="9" s="1"/>
  <c r="H257" i="9" s="1"/>
  <c r="H258" i="9"/>
  <c r="H259" i="9"/>
  <c r="H260" i="9" s="1"/>
  <c r="H261" i="9" s="1"/>
  <c r="H262" i="9"/>
  <c r="H263" i="9"/>
  <c r="H264" i="9" s="1"/>
  <c r="H265" i="9" s="1"/>
  <c r="H266" i="9" s="1"/>
  <c r="H267" i="9" s="1"/>
  <c r="H268" i="9"/>
  <c r="H269" i="9"/>
  <c r="H270" i="9"/>
  <c r="H271" i="9"/>
  <c r="H272" i="9"/>
  <c r="H273" i="9"/>
  <c r="H274" i="9"/>
  <c r="H275" i="9"/>
  <c r="H276" i="9" s="1"/>
  <c r="H277" i="9"/>
  <c r="H278" i="9"/>
  <c r="H279" i="9"/>
  <c r="H280" i="9" s="1"/>
  <c r="H281" i="9" s="1"/>
  <c r="H282" i="9"/>
  <c r="H283" i="9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/>
  <c r="H295" i="9"/>
  <c r="H296" i="9"/>
  <c r="H297" i="9"/>
  <c r="H298" i="9"/>
  <c r="H299" i="9"/>
  <c r="H300" i="9" s="1"/>
  <c r="H301" i="9"/>
  <c r="H3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B9" i="8"/>
  <c r="B10" i="8"/>
  <c r="B11" i="8"/>
  <c r="B12" i="8"/>
  <c r="B3" i="8"/>
  <c r="B4" i="8"/>
  <c r="B5" i="8"/>
  <c r="B6" i="8"/>
  <c r="B7" i="8"/>
  <c r="B8" i="8"/>
  <c r="B2" i="8"/>
  <c r="A4" i="8"/>
  <c r="A5" i="8"/>
  <c r="A6" i="8"/>
  <c r="A7" i="8"/>
  <c r="A8" i="8"/>
  <c r="A9" i="8"/>
  <c r="A10" i="8"/>
  <c r="A11" i="8"/>
  <c r="A12" i="8"/>
  <c r="A3" i="8"/>
  <c r="A2" i="8"/>
  <c r="F9" i="5"/>
  <c r="F5" i="5"/>
  <c r="E5" i="5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10" i="2"/>
  <c r="J7" i="2"/>
  <c r="L8" i="9"/>
  <c r="K8" i="9"/>
  <c r="E9" i="5"/>
  <c r="L4" i="2"/>
  <c r="K4" i="2"/>
  <c r="J4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68F09-EC30-40DF-9265-070161E6A5F6}" keepAlive="1" name="Zapytanie — kursy" description="Połączenie z zapytaniem „kursy” w skoroszycie." type="5" refreshedVersion="6" background="1" saveData="1">
    <dbPr connection="Provider=Microsoft.Mashup.OleDb.1;Data Source=$Workbook$;Location=kursy;Extended Properties=&quot;&quot;" command="SELECT * FROM [kursy]"/>
  </connection>
  <connection id="2" xr16:uid="{0AA4655D-32F4-4F80-87A7-6963556FB626}" keepAlive="1" name="Zapytanie — kursy (2)" description="Połączenie z zapytaniem „kursy (2)” w skoroszycie." type="5" refreshedVersion="6" background="1" saveData="1">
    <dbPr connection="Provider=Microsoft.Mashup.OleDb.1;Data Source=$Workbook$;Location=&quot;kursy (2)&quot;;Extended Properties=&quot;&quot;" command="SELECT * FROM [kursy (2)]"/>
  </connection>
  <connection id="3" xr16:uid="{F468F99F-CB4E-4D92-AE58-2E98B86B85E2}" keepAlive="1" name="Zapytanie — kursy (3)" description="Połączenie z zapytaniem „kursy (3)” w skoroszycie." type="5" refreshedVersion="6" background="1" saveData="1">
    <dbPr connection="Provider=Microsoft.Mashup.OleDb.1;Data Source=$Workbook$;Location=&quot;kursy (3)&quot;;Extended Properties=&quot;&quot;" command="SELECT * FROM [kursy (3)]"/>
  </connection>
</connections>
</file>

<file path=xl/sharedStrings.xml><?xml version="1.0" encoding="utf-8"?>
<sst xmlns="http://schemas.openxmlformats.org/spreadsheetml/2006/main" count="2147" uniqueCount="326">
  <si>
    <t>Data</t>
  </si>
  <si>
    <t>Poczatek</t>
  </si>
  <si>
    <t>Koniec</t>
  </si>
  <si>
    <t>Waga</t>
  </si>
  <si>
    <t>Odleglosc</t>
  </si>
  <si>
    <t>Cena</t>
  </si>
  <si>
    <t>Olsztyn</t>
  </si>
  <si>
    <t>Torun</t>
  </si>
  <si>
    <t>Plock</t>
  </si>
  <si>
    <t>Ostroleka</t>
  </si>
  <si>
    <t>Suwalki</t>
  </si>
  <si>
    <t>Lomza</t>
  </si>
  <si>
    <t>Ciechanow</t>
  </si>
  <si>
    <t>Kuznica Bialostocka</t>
  </si>
  <si>
    <t>Poznan</t>
  </si>
  <si>
    <t>Gubin</t>
  </si>
  <si>
    <t>Skierniewice</t>
  </si>
  <si>
    <t>Tarnow</t>
  </si>
  <si>
    <t>Katowice</t>
  </si>
  <si>
    <t>Radom</t>
  </si>
  <si>
    <t>Konin</t>
  </si>
  <si>
    <t>Pila</t>
  </si>
  <si>
    <t>Kolbaskowo</t>
  </si>
  <si>
    <t>Szczecin</t>
  </si>
  <si>
    <t>Swinoujscie</t>
  </si>
  <si>
    <t>Kostrzyn</t>
  </si>
  <si>
    <t>Gorzow Wielkopolski</t>
  </si>
  <si>
    <t>Jakuszyce</t>
  </si>
  <si>
    <t>Kalisz</t>
  </si>
  <si>
    <t>Piotrkow Trybunalski</t>
  </si>
  <si>
    <t>Gdansk</t>
  </si>
  <si>
    <t>Koszalin</t>
  </si>
  <si>
    <t>Czestochowa</t>
  </si>
  <si>
    <t>Chyzne</t>
  </si>
  <si>
    <t>Krosno</t>
  </si>
  <si>
    <t>Kudowa-Slone</t>
  </si>
  <si>
    <t>Elblag</t>
  </si>
  <si>
    <t>Opole</t>
  </si>
  <si>
    <t>Bielsko-Biala</t>
  </si>
  <si>
    <t>Zakopane</t>
  </si>
  <si>
    <t>Bydgoszcz</t>
  </si>
  <si>
    <t>Wloclawek</t>
  </si>
  <si>
    <t>Sieradz</t>
  </si>
  <si>
    <t>Walbrzych</t>
  </si>
  <si>
    <t>Zamosc</t>
  </si>
  <si>
    <t>Medyka</t>
  </si>
  <si>
    <t>Tarnobrzeg</t>
  </si>
  <si>
    <t>Kielce</t>
  </si>
  <si>
    <t>Zielona Gora</t>
  </si>
  <si>
    <t>Cieszyn</t>
  </si>
  <si>
    <t>Barwinek</t>
  </si>
  <si>
    <t>Rzeszow</t>
  </si>
  <si>
    <t>Zgorzelec</t>
  </si>
  <si>
    <t>Wroclaw</t>
  </si>
  <si>
    <t>Krakow</t>
  </si>
  <si>
    <t>Biala Podlaska</t>
  </si>
  <si>
    <t>Przemysl</t>
  </si>
  <si>
    <t>Chalupki</t>
  </si>
  <si>
    <t>Swiecko</t>
  </si>
  <si>
    <t>Warszawa</t>
  </si>
  <si>
    <t>Lodz</t>
  </si>
  <si>
    <t>Legnica</t>
  </si>
  <si>
    <t>Leszno</t>
  </si>
  <si>
    <t>Jelenia Gora</t>
  </si>
  <si>
    <t>Olszyna</t>
  </si>
  <si>
    <t>Siedlce</t>
  </si>
  <si>
    <t>Hrebenne</t>
  </si>
  <si>
    <t>Lublin</t>
  </si>
  <si>
    <t>Chelm</t>
  </si>
  <si>
    <t>Terespol</t>
  </si>
  <si>
    <t>Slupsk</t>
  </si>
  <si>
    <t>Bialystok</t>
  </si>
  <si>
    <t>Bezledy</t>
  </si>
  <si>
    <t>Nowy Sacz</t>
  </si>
  <si>
    <t>Stawka</t>
  </si>
  <si>
    <t>6_1</t>
  </si>
  <si>
    <t>Max</t>
  </si>
  <si>
    <t>Pozycja</t>
  </si>
  <si>
    <t>Początek</t>
  </si>
  <si>
    <t>6_1_pom</t>
  </si>
  <si>
    <t>6_2</t>
  </si>
  <si>
    <t>Suma</t>
  </si>
  <si>
    <t>Etykiety wierszy</t>
  </si>
  <si>
    <t>Suma końcowa</t>
  </si>
  <si>
    <t>Suma z Cena</t>
  </si>
  <si>
    <t>Typ</t>
  </si>
  <si>
    <t>Barwinek -&gt; Lomza</t>
  </si>
  <si>
    <t>Barwinek -&gt; Medyka</t>
  </si>
  <si>
    <t>Barwinek -&gt; Sieradz</t>
  </si>
  <si>
    <t>Barwinek -&gt; Tarnow</t>
  </si>
  <si>
    <t>Bezledy -&gt; Lomza</t>
  </si>
  <si>
    <t>Biala Podlaska -&gt; Chelm</t>
  </si>
  <si>
    <t>Biala Podlaska -&gt; Gorzow Wielkopolski</t>
  </si>
  <si>
    <t>Biala Podlaska -&gt; Tarnobrzeg</t>
  </si>
  <si>
    <t>Bialystok -&gt; Suwalki</t>
  </si>
  <si>
    <t>Bielsko-Biala -&gt; Chalupki</t>
  </si>
  <si>
    <t>Bielsko-Biala -&gt; Chyzne</t>
  </si>
  <si>
    <t>Bielsko-Biala -&gt; Cieszyn</t>
  </si>
  <si>
    <t>Bielsko-Biala -&gt; Nowy Sacz</t>
  </si>
  <si>
    <t>Bielsko-Biala -&gt; Opole</t>
  </si>
  <si>
    <t>Bielsko-Biala -&gt; Warszawa</t>
  </si>
  <si>
    <t>Bielsko-Biala -&gt; Zakopane</t>
  </si>
  <si>
    <t>Bydgoszcz -&gt; Gdansk</t>
  </si>
  <si>
    <t>Bydgoszcz -&gt; Konin</t>
  </si>
  <si>
    <t>Bydgoszcz -&gt; Wloclawek</t>
  </si>
  <si>
    <t>Chalupki -&gt; Czestochowa</t>
  </si>
  <si>
    <t>Chalupki -&gt; Walbrzych</t>
  </si>
  <si>
    <t>Chelm -&gt; Radom</t>
  </si>
  <si>
    <t>Chelm -&gt; Terespol</t>
  </si>
  <si>
    <t>Chyzne -&gt; Bielsko-Biala</t>
  </si>
  <si>
    <t>Chyzne -&gt; Cieszyn</t>
  </si>
  <si>
    <t>Ciechanow -&gt; Lomza</t>
  </si>
  <si>
    <t>Ciechanow -&gt; Olsztyn</t>
  </si>
  <si>
    <t>Ciechanow -&gt; Ostroleka</t>
  </si>
  <si>
    <t>Ciechanow -&gt; Torun</t>
  </si>
  <si>
    <t>Ciechanow -&gt; Warszawa</t>
  </si>
  <si>
    <t>Ciechanow -&gt; Wloclawek</t>
  </si>
  <si>
    <t>Cieszyn -&gt; Opole</t>
  </si>
  <si>
    <t>Czestochowa -&gt; Bielsko-Biala</t>
  </si>
  <si>
    <t>Czestochowa -&gt; Kielce</t>
  </si>
  <si>
    <t>Czestochowa -&gt; Lodz</t>
  </si>
  <si>
    <t>Czestochowa -&gt; Sieradz</t>
  </si>
  <si>
    <t>Elblag -&gt; Bydgoszcz</t>
  </si>
  <si>
    <t>Elblag -&gt; Ciechanow</t>
  </si>
  <si>
    <t>Elblag -&gt; Kuznica Bialostocka</t>
  </si>
  <si>
    <t>Elblag -&gt; Slupsk</t>
  </si>
  <si>
    <t>Gdansk -&gt; Bezledy</t>
  </si>
  <si>
    <t>Gdansk -&gt; Bydgoszcz</t>
  </si>
  <si>
    <t>Gdansk -&gt; Koszalin</t>
  </si>
  <si>
    <t>Gdansk -&gt; Slupsk</t>
  </si>
  <si>
    <t>Gdansk -&gt; Torun</t>
  </si>
  <si>
    <t>Gorzow Wielkopolski -&gt; Pila</t>
  </si>
  <si>
    <t>Gorzow Wielkopolski -&gt; Szczecin</t>
  </si>
  <si>
    <t>Gorzow Wielkopolski -&gt; Walbrzych</t>
  </si>
  <si>
    <t>Gorzow Wielkopolski -&gt; Zielona Gora</t>
  </si>
  <si>
    <t>Gubin -&gt; Gorzow Wielkopolski</t>
  </si>
  <si>
    <t>Gubin -&gt; Kostrzyn</t>
  </si>
  <si>
    <t>Gubin -&gt; Szczecin</t>
  </si>
  <si>
    <t>Gubin -&gt; Warszawa</t>
  </si>
  <si>
    <t>Gubin -&gt; Zgorzelec</t>
  </si>
  <si>
    <t>Hrebenne -&gt; Lublin</t>
  </si>
  <si>
    <t>Hrebenne -&gt; Medyka</t>
  </si>
  <si>
    <t>Jakuszyce -&gt; Kalisz</t>
  </si>
  <si>
    <t>Jakuszyce -&gt; Kostrzyn</t>
  </si>
  <si>
    <t>Jelenia Gora -&gt; Olszyna</t>
  </si>
  <si>
    <t>Kalisz -&gt; Lodz</t>
  </si>
  <si>
    <t>Kalisz -&gt; Piotrkow Trybunalski</t>
  </si>
  <si>
    <t>Kalisz -&gt; Poznan</t>
  </si>
  <si>
    <t>Katowice -&gt; Piotrkow Trybunalski</t>
  </si>
  <si>
    <t>Katowice -&gt; Skierniewice</t>
  </si>
  <si>
    <t>Katowice -&gt; Zakopane</t>
  </si>
  <si>
    <t>Kielce -&gt; Konin</t>
  </si>
  <si>
    <t>Kielce -&gt; Krakow</t>
  </si>
  <si>
    <t>Kielce -&gt; Sieradz</t>
  </si>
  <si>
    <t>Kielce -&gt; Tarnobrzeg</t>
  </si>
  <si>
    <t>Kielce -&gt; Tarnow</t>
  </si>
  <si>
    <t>Kolbaskowo -&gt; Gorzow Wielkopolski</t>
  </si>
  <si>
    <t>Kolbaskowo -&gt; Pila</t>
  </si>
  <si>
    <t>Kolbaskowo -&gt; Szczecin</t>
  </si>
  <si>
    <t>Konin -&gt; Bydgoszcz</t>
  </si>
  <si>
    <t>Konin -&gt; Lodz</t>
  </si>
  <si>
    <t>Konin -&gt; Plock</t>
  </si>
  <si>
    <t>Konin -&gt; Torun</t>
  </si>
  <si>
    <t>Konin -&gt; Walbrzych</t>
  </si>
  <si>
    <t>Kostrzyn -&gt; Gubin</t>
  </si>
  <si>
    <t>Kostrzyn -&gt; Kolbaskowo</t>
  </si>
  <si>
    <t>Kostrzyn -&gt; Szczecin</t>
  </si>
  <si>
    <t>Kostrzyn -&gt; Zgorzelec</t>
  </si>
  <si>
    <t>Kostrzyn -&gt; Zielona Gora</t>
  </si>
  <si>
    <t>Koszalin -&gt; Kolbaskowo</t>
  </si>
  <si>
    <t>Koszalin -&gt; Pila</t>
  </si>
  <si>
    <t>Koszalin -&gt; Swinoujscie</t>
  </si>
  <si>
    <t>Koszalin -&gt; Szczecin</t>
  </si>
  <si>
    <t>Krakow -&gt; Cieszyn</t>
  </si>
  <si>
    <t>Krakow -&gt; Kielce</t>
  </si>
  <si>
    <t>Krosno -&gt; Tarnobrzeg</t>
  </si>
  <si>
    <t>Krosno -&gt; Zakopane</t>
  </si>
  <si>
    <t>Kudowa-Slone -&gt; Jakuszyce</t>
  </si>
  <si>
    <t>Kudowa-Slone -&gt; Opole</t>
  </si>
  <si>
    <t>Kuznica Bialostocka -&gt; Ostroleka</t>
  </si>
  <si>
    <t>Legnica -&gt; Gubin</t>
  </si>
  <si>
    <t>Legnica -&gt; Leszno</t>
  </si>
  <si>
    <t>Legnica -&gt; Zielona Gora</t>
  </si>
  <si>
    <t>Leszno -&gt; Jelenia Gora</t>
  </si>
  <si>
    <t>Leszno -&gt; Konin</t>
  </si>
  <si>
    <t>Leszno -&gt; Legnica</t>
  </si>
  <si>
    <t>Lodz -&gt; Bialystok</t>
  </si>
  <si>
    <t>Lodz -&gt; Czestochowa</t>
  </si>
  <si>
    <t>Lodz -&gt; Kielce</t>
  </si>
  <si>
    <t>Lodz -&gt; Warszawa</t>
  </si>
  <si>
    <t>Lodz -&gt; Wloclawek</t>
  </si>
  <si>
    <t>Lomza -&gt; Chyzne</t>
  </si>
  <si>
    <t>Lomza -&gt; Ciechanow</t>
  </si>
  <si>
    <t>Lomza -&gt; Kuznica Bialostocka</t>
  </si>
  <si>
    <t>Lublin -&gt; Hrebenne</t>
  </si>
  <si>
    <t>Lublin -&gt; Radom</t>
  </si>
  <si>
    <t>Lublin -&gt; Tarnow</t>
  </si>
  <si>
    <t>Lublin -&gt; Zielona Gora</t>
  </si>
  <si>
    <t>Medyka -&gt; Tarnobrzeg</t>
  </si>
  <si>
    <t>Medyka -&gt; Zamosc</t>
  </si>
  <si>
    <t>Nowy Sacz -&gt; Rzeszow</t>
  </si>
  <si>
    <t>Olsztyn -&gt; Bielsko-Biala</t>
  </si>
  <si>
    <t>Olsztyn -&gt; Ciechanow</t>
  </si>
  <si>
    <t>Olsztyn -&gt; Lomza</t>
  </si>
  <si>
    <t>Olsztyn -&gt; Torun</t>
  </si>
  <si>
    <t>Olszyna -&gt; Kostrzyn</t>
  </si>
  <si>
    <t>Olszyna -&gt; Swiecko</t>
  </si>
  <si>
    <t>Opole -&gt; Bielsko-Biala</t>
  </si>
  <si>
    <t>Opole -&gt; Chalupki</t>
  </si>
  <si>
    <t>Opole -&gt; Katowice</t>
  </si>
  <si>
    <t>Opole -&gt; Kudowa-Slone</t>
  </si>
  <si>
    <t>Opole -&gt; Walbrzych</t>
  </si>
  <si>
    <t>Ostroleka -&gt; Krakow</t>
  </si>
  <si>
    <t>Ostroleka -&gt; Olsztyn</t>
  </si>
  <si>
    <t>Ostroleka -&gt; Suwalki</t>
  </si>
  <si>
    <t>Ostroleka -&gt; Swiecko</t>
  </si>
  <si>
    <t>Ostroleka -&gt; Warszawa</t>
  </si>
  <si>
    <t>Pila -&gt; Czestochowa</t>
  </si>
  <si>
    <t>Pila -&gt; Kostrzyn</t>
  </si>
  <si>
    <t>Pila -&gt; Koszalin</t>
  </si>
  <si>
    <t>Pila -&gt; Poznan</t>
  </si>
  <si>
    <t>Pila -&gt; Torun</t>
  </si>
  <si>
    <t>Piotrkow Trybunalski -&gt; Jakuszyce</t>
  </si>
  <si>
    <t>Piotrkow Trybunalski -&gt; Kalisz</t>
  </si>
  <si>
    <t>Piotrkow Trybunalski -&gt; Konin</t>
  </si>
  <si>
    <t>Piotrkow Trybunalski -&gt; Poznan</t>
  </si>
  <si>
    <t>Piotrkow Trybunalski -&gt; Przemysl</t>
  </si>
  <si>
    <t>Piotrkow Trybunalski -&gt; Radom</t>
  </si>
  <si>
    <t>Piotrkow Trybunalski -&gt; Warszawa</t>
  </si>
  <si>
    <t>Piotrkow Trybunalski -&gt; Wloclawek</t>
  </si>
  <si>
    <t>Plock -&gt; Bielsko-Biala</t>
  </si>
  <si>
    <t>Plock -&gt; Bydgoszcz</t>
  </si>
  <si>
    <t>Plock -&gt; Konin</t>
  </si>
  <si>
    <t>Plock -&gt; Lublin</t>
  </si>
  <si>
    <t>Plock -&gt; Ostroleka</t>
  </si>
  <si>
    <t>Plock -&gt; Piotrkow Trybunalski</t>
  </si>
  <si>
    <t>Plock -&gt; Torun</t>
  </si>
  <si>
    <t>Poznan -&gt; Bydgoszcz</t>
  </si>
  <si>
    <t>Poznan -&gt; Gubin</t>
  </si>
  <si>
    <t>Poznan -&gt; Pila</t>
  </si>
  <si>
    <t>Poznan -&gt; Zielona Gora</t>
  </si>
  <si>
    <t>Przemysl -&gt; Barwinek</t>
  </si>
  <si>
    <t>Przemysl -&gt; Gdansk</t>
  </si>
  <si>
    <t>Przemysl -&gt; Kielce</t>
  </si>
  <si>
    <t>Przemysl -&gt; Medyka</t>
  </si>
  <si>
    <t>Przemysl -&gt; Warszawa</t>
  </si>
  <si>
    <t>Radom -&gt; Konin</t>
  </si>
  <si>
    <t>Radom -&gt; Lodz</t>
  </si>
  <si>
    <t>Radom -&gt; Piotrkow Trybunalski</t>
  </si>
  <si>
    <t>Radom -&gt; Skierniewice</t>
  </si>
  <si>
    <t>Radom -&gt; Tarnobrzeg</t>
  </si>
  <si>
    <t>Radom -&gt; Warszawa</t>
  </si>
  <si>
    <t>Rzeszow -&gt; Lublin</t>
  </si>
  <si>
    <t>Rzeszow -&gt; Zamosc</t>
  </si>
  <si>
    <t>Siedlce -&gt; Lomza</t>
  </si>
  <si>
    <t>Sieradz -&gt; Czestochowa</t>
  </si>
  <si>
    <t>Sieradz -&gt; Leszno</t>
  </si>
  <si>
    <t>Sieradz -&gt; Opole</t>
  </si>
  <si>
    <t>Skierniewice -&gt; Kudowa-Slone</t>
  </si>
  <si>
    <t>Skierniewice -&gt; Sieradz</t>
  </si>
  <si>
    <t>Skierniewice -&gt; Tarnow</t>
  </si>
  <si>
    <t>Skierniewice -&gt; Wloclawek</t>
  </si>
  <si>
    <t>Slupsk -&gt; Elblag</t>
  </si>
  <si>
    <t>Slupsk -&gt; Gdansk</t>
  </si>
  <si>
    <t>Slupsk -&gt; Szczecin</t>
  </si>
  <si>
    <t>Suwalki -&gt; Bialystok</t>
  </si>
  <si>
    <t>Suwalki -&gt; Ostroleka</t>
  </si>
  <si>
    <t>Swiecko -&gt; Legnica</t>
  </si>
  <si>
    <t>Swiecko -&gt; Szczecin</t>
  </si>
  <si>
    <t>Swinoujscie -&gt; Pila</t>
  </si>
  <si>
    <t>Swinoujscie -&gt; Szczecin</t>
  </si>
  <si>
    <t>Szczecin -&gt; Kostrzyn</t>
  </si>
  <si>
    <t>Szczecin -&gt; Pila</t>
  </si>
  <si>
    <t>Szczecin -&gt; Sieradz</t>
  </si>
  <si>
    <t>Szczecin -&gt; Swinoujscie</t>
  </si>
  <si>
    <t>Tarnobrzeg -&gt; Kielce</t>
  </si>
  <si>
    <t>Tarnobrzeg -&gt; Krakow</t>
  </si>
  <si>
    <t>Tarnobrzeg -&gt; Przemysl</t>
  </si>
  <si>
    <t>Tarnobrzeg -&gt; Radom</t>
  </si>
  <si>
    <t>Tarnow -&gt; Bielsko-Biala</t>
  </si>
  <si>
    <t>Tarnow -&gt; Katowice</t>
  </si>
  <si>
    <t>Tarnow -&gt; Krosno</t>
  </si>
  <si>
    <t>Tarnow -&gt; Zakopane</t>
  </si>
  <si>
    <t>Terespol -&gt; Lublin</t>
  </si>
  <si>
    <t>Terespol -&gt; Warszawa</t>
  </si>
  <si>
    <t>Torun -&gt; Pila</t>
  </si>
  <si>
    <t>Torun -&gt; Plock</t>
  </si>
  <si>
    <t>Walbrzych -&gt; Kalisz</t>
  </si>
  <si>
    <t>Walbrzych -&gt; Olszyna</t>
  </si>
  <si>
    <t>Walbrzych -&gt; Opole</t>
  </si>
  <si>
    <t>Walbrzych -&gt; Zgorzelec</t>
  </si>
  <si>
    <t>Warszawa -&gt; Ciechanow</t>
  </si>
  <si>
    <t>Warszawa -&gt; Katowice</t>
  </si>
  <si>
    <t>Warszawa -&gt; Legnica</t>
  </si>
  <si>
    <t>Warszawa -&gt; Lodz</t>
  </si>
  <si>
    <t>Warszawa -&gt; Plock</t>
  </si>
  <si>
    <t>Warszawa -&gt; Radom</t>
  </si>
  <si>
    <t>Warszawa -&gt; Siedlce</t>
  </si>
  <si>
    <t>Warszawa -&gt; Walbrzych</t>
  </si>
  <si>
    <t>Wloclawek -&gt; Ciechanow</t>
  </si>
  <si>
    <t>Wloclawek -&gt; Kalisz</t>
  </si>
  <si>
    <t>Wloclawek -&gt; Skierniewice</t>
  </si>
  <si>
    <t>Zakopane -&gt; Barwinek</t>
  </si>
  <si>
    <t>Zakopane -&gt; Katowice</t>
  </si>
  <si>
    <t>Zakopane -&gt; Tarnow</t>
  </si>
  <si>
    <t>Zamosc -&gt; Biala Podlaska</t>
  </si>
  <si>
    <t>Zamosc -&gt; Medyka</t>
  </si>
  <si>
    <t>Zamosc -&gt; Przemysl</t>
  </si>
  <si>
    <t>Zgorzelec -&gt; Gubin</t>
  </si>
  <si>
    <t>Zgorzelec -&gt; Swiecko</t>
  </si>
  <si>
    <t>Zgorzelec -&gt; Wroclaw</t>
  </si>
  <si>
    <t>Zgorzelec -&gt; Zielona Gora</t>
  </si>
  <si>
    <t>Zielona Gora -&gt; Kostrzyn</t>
  </si>
  <si>
    <t>Zielona Gora -&gt; Legnica</t>
  </si>
  <si>
    <t>Zielona Gora -&gt; Poznan</t>
  </si>
  <si>
    <t>6_3_pom</t>
  </si>
  <si>
    <t>6_3</t>
  </si>
  <si>
    <t>Miasta</t>
  </si>
  <si>
    <t>Maksimum</t>
  </si>
  <si>
    <t>Liczba kursów</t>
  </si>
  <si>
    <t>Miasto</t>
  </si>
  <si>
    <t>Długość ciągu</t>
  </si>
  <si>
    <t>6_5_pom</t>
  </si>
  <si>
    <t>6_5</t>
  </si>
  <si>
    <t>Pierwszy dzień</t>
  </si>
  <si>
    <t>Ostatni 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</si>
</sst>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173" fontId="0" fillId="0" borderId="0" xfId="0" applyNumberFormat="1"/>
    <xf numFmtId="0" fontId="1" fillId="0" borderId="0" xfId="0" applyFont="1"/>
    <xf numFmtId="0" fontId="0" fillId="2" borderId="0" xfId="0" applyFill="1"/>
    <xf numFmtId="173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0" fillId="2" borderId="0" xfId="0" applyNumberFormat="1" applyFill="1"/>
  </cellXfs>
  <cellStyles count="1">
    <cellStyle name="Normalny" xfId="0" builtinId="0"/>
  </cellStyles>
  <dxfs count="16">
    <dxf>
      <numFmt numFmtId="2" formatCode="0.00"/>
    </dxf>
    <dxf>
      <numFmt numFmtId="173" formatCode="#,##0.00\ &quot;zł&quot;"/>
    </dxf>
    <dxf>
      <numFmt numFmtId="0" formatCode="General"/>
    </dxf>
    <dxf>
      <numFmt numFmtId="0" formatCode="General"/>
    </dxf>
    <dxf>
      <numFmt numFmtId="19" formatCode="dd/mm/yyyy"/>
    </dxf>
    <dxf>
      <numFmt numFmtId="173" formatCode="#,##0.00\ &quot;zł&quot;"/>
    </dxf>
    <dxf>
      <numFmt numFmtId="0" formatCode="General"/>
    </dxf>
    <dxf>
      <numFmt numFmtId="2" formatCode="0.00"/>
    </dxf>
    <dxf>
      <numFmt numFmtId="173" formatCode="#,##0.00\ &quot;zł&quot;"/>
    </dxf>
    <dxf>
      <numFmt numFmtId="0" formatCode="General"/>
    </dxf>
    <dxf>
      <numFmt numFmtId="0" formatCode="General"/>
    </dxf>
    <dxf>
      <numFmt numFmtId="173" formatCode="#,##0.00\ &quot;zł&quot;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'6_4'!$B$1</c:f>
              <c:strCache>
                <c:ptCount val="1"/>
                <c:pt idx="0">
                  <c:v>Liczba kursów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'6_4'!$A$2:$A$12</c:f>
              <c:strCache>
                <c:ptCount val="11"/>
                <c:pt idx="0">
                  <c:v>Warszawa</c:v>
                </c:pt>
                <c:pt idx="1">
                  <c:v>Szczecin</c:v>
                </c:pt>
                <c:pt idx="2">
                  <c:v>Bielsko-Biala</c:v>
                </c:pt>
                <c:pt idx="3">
                  <c:v>Konin</c:v>
                </c:pt>
                <c:pt idx="4">
                  <c:v>Pila</c:v>
                </c:pt>
                <c:pt idx="5">
                  <c:v>Kielce</c:v>
                </c:pt>
                <c:pt idx="6">
                  <c:v>Poznan</c:v>
                </c:pt>
                <c:pt idx="7">
                  <c:v>Kostrzyn</c:v>
                </c:pt>
                <c:pt idx="8">
                  <c:v>Ciechanow</c:v>
                </c:pt>
                <c:pt idx="9">
                  <c:v>Zielona Gora</c:v>
                </c:pt>
                <c:pt idx="10">
                  <c:v>Opole</c:v>
                </c:pt>
              </c:strCache>
            </c:strRef>
          </c:cat>
          <c:val>
            <c:numRef>
              <c:f>'6_4'!$B$2:$B$12</c:f>
              <c:numCache>
                <c:formatCode>General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0-4177-8E1E-9838B565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908376"/>
        <c:axId val="902911656"/>
      </c:barChart>
      <c:catAx>
        <c:axId val="902908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Miasto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2911656"/>
        <c:crosses val="autoZero"/>
        <c:auto val="1"/>
        <c:lblAlgn val="ctr"/>
        <c:lblOffset val="100"/>
        <c:noMultiLvlLbl val="0"/>
      </c:catAx>
      <c:valAx>
        <c:axId val="90291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kursów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290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180974</xdr:rowOff>
    </xdr:from>
    <xdr:to>
      <xdr:col>23</xdr:col>
      <xdr:colOff>190500</xdr:colOff>
      <xdr:row>33</xdr:row>
      <xdr:rowOff>171449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3E53C70-6D7D-4544-8438-67F27CEB5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896.803099421297" createdVersion="6" refreshedVersion="6" minRefreshableVersion="3" recordCount="300" xr:uid="{339261F6-57E7-44A2-BD97-0F3679839F91}">
  <cacheSource type="worksheet">
    <worksheetSource name="kursy3"/>
  </cacheSource>
  <cacheFields count="7">
    <cacheField name="Poczatek" numFmtId="0">
      <sharedItems/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  <cacheField name="Typ" numFmtId="0">
      <sharedItems count="229">
        <s v="Olsztyn -&gt; Torun"/>
        <s v="Torun -&gt; Plock"/>
        <s v="Plock -&gt; Ostroleka"/>
        <s v="Ostroleka -&gt; Suwalki"/>
        <s v="Lomza -&gt; Ciechanow"/>
        <s v="Ciechanow -&gt; Lomza"/>
        <s v="Lomza -&gt; Kuznica Bialostocka"/>
        <s v="Kuznica Bialostocka -&gt; Ostroleka"/>
        <s v="Poznan -&gt; Gubin"/>
        <s v="Skierniewice -&gt; Tarnow"/>
        <s v="Tarnow -&gt; Katowice"/>
        <s v="Radom -&gt; Konin"/>
        <s v="Konin -&gt; Torun"/>
        <s v="Ostroleka -&gt; Olsztyn"/>
        <s v="Olsztyn -&gt; Ciechanow"/>
        <s v="Ciechanow -&gt; Olsztyn"/>
        <s v="Olsztyn -&gt; Lomza"/>
        <s v="Torun -&gt; Pila"/>
        <s v="Kolbaskowo -&gt; Szczecin"/>
        <s v="Szczecin -&gt; Swinoujscie"/>
        <s v="Swinoujscie -&gt; Szczecin"/>
        <s v="Szczecin -&gt; Kostrzyn"/>
        <s v="Kostrzyn -&gt; Kolbaskowo"/>
        <s v="Kolbaskowo -&gt; Gorzow Wielkopolski"/>
        <s v="Gorzow Wielkopolski -&gt; Pila"/>
        <s v="Pila -&gt; Poznan"/>
        <s v="Jakuszyce -&gt; Kalisz"/>
        <s v="Kalisz -&gt; Piotrkow Trybunalski"/>
        <s v="Piotrkow Trybunalski -&gt; Konin"/>
        <s v="Gdansk -&gt; Torun"/>
        <s v="Pila -&gt; Koszalin"/>
        <s v="Koszalin -&gt; Pila"/>
        <s v="Pila -&gt; Czestochowa"/>
        <s v="Lomza -&gt; Chyzne"/>
        <s v="Koszalin -&gt; Swinoujscie"/>
        <s v="Pila -&gt; Torun"/>
        <s v="Tarnow -&gt; Krosno"/>
        <s v="Katowice -&gt; Piotrkow Trybunalski"/>
        <s v="Plock -&gt; Torun"/>
        <s v="Kudowa-Slone -&gt; Jakuszyce"/>
        <s v="Elblag -&gt; Ciechanow"/>
        <s v="Kudowa-Slone -&gt; Opole"/>
        <s v="Opole -&gt; Bielsko-Biala"/>
        <s v="Bielsko-Biala -&gt; Zakopane"/>
        <s v="Piotrkow Trybunalski -&gt; Poznan"/>
        <s v="Konin -&gt; Bydgoszcz"/>
        <s v="Bydgoszcz -&gt; Wloclawek"/>
        <s v="Wloclawek -&gt; Skierniewice"/>
        <s v="Skierniewice -&gt; Sieradz"/>
        <s v="Gorzow Wielkopolski -&gt; Walbrzych"/>
        <s v="Gubin -&gt; Kostrzyn"/>
        <s v="Zamosc -&gt; Medyka"/>
        <s v="Medyka -&gt; Tarnobrzeg"/>
        <s v="Tarnobrzeg -&gt; Kielce"/>
        <s v="Krosno -&gt; Tarnobrzeg"/>
        <s v="Tarnobrzeg -&gt; Radom"/>
        <s v="Radom -&gt; Skierniewice"/>
        <s v="Skierniewice -&gt; Wloclawek"/>
        <s v="Gubin -&gt; Gorzow Wielkopolski"/>
        <s v="Gorzow Wielkopolski -&gt; Zielona Gora"/>
        <s v="Zielona Gora -&gt; Poznan"/>
        <s v="Poznan -&gt; Bydgoszcz"/>
        <s v="Chyzne -&gt; Bielsko-Biala"/>
        <s v="Bielsko-Biala -&gt; Chyzne"/>
        <s v="Chyzne -&gt; Cieszyn"/>
        <s v="Barwinek -&gt; Medyka"/>
        <s v="Medyka -&gt; Zamosc"/>
        <s v="Rzeszow -&gt; Zamosc"/>
        <s v="Konin -&gt; Walbrzych"/>
        <s v="Jakuszyce -&gt; Kostrzyn"/>
        <s v="Kostrzyn -&gt; Szczecin"/>
        <s v="Zgorzelec -&gt; Wroclaw"/>
        <s v="Ostroleka -&gt; Krakow"/>
        <s v="Krakow -&gt; Kielce"/>
        <s v="Kielce -&gt; Krakow"/>
        <s v="Zamosc -&gt; Biala Podlaska"/>
        <s v="Przemysl -&gt; Medyka"/>
        <s v="Walbrzych -&gt; Opole"/>
        <s v="Szczecin -&gt; Sieradz"/>
        <s v="Przemysl -&gt; Barwinek"/>
        <s v="Barwinek -&gt; Tarnow"/>
        <s v="Chalupki -&gt; Czestochowa"/>
        <s v="Zgorzelec -&gt; Swiecko"/>
        <s v="Swiecko -&gt; Szczecin"/>
        <s v="Radom -&gt; Piotrkow Trybunalski"/>
        <s v="Piotrkow Trybunalski -&gt; Radom"/>
        <s v="Piotrkow Trybunalski -&gt; Kalisz"/>
        <s v="Kalisz -&gt; Poznan"/>
        <s v="Radom -&gt; Warszawa"/>
        <s v="Walbrzych -&gt; Kalisz"/>
        <s v="Kalisz -&gt; Lodz"/>
        <s v="Lodz -&gt; Kielce"/>
        <s v="Piotrkow Trybunalski -&gt; Przemysl"/>
        <s v="Warszawa -&gt; Legnica"/>
        <s v="Legnica -&gt; Gubin"/>
        <s v="Piotrkow Trybunalski -&gt; Wloclawek"/>
        <s v="Elblag -&gt; Kuznica Bialostocka"/>
        <s v="Warszawa -&gt; Katowice"/>
        <s v="Opole -&gt; Chalupki"/>
        <s v="Ostroleka -&gt; Swiecko"/>
        <s v="Swiecko -&gt; Legnica"/>
        <s v="Legnica -&gt; Leszno"/>
        <s v="Leszno -&gt; Jelenia Gora"/>
        <s v="Jelenia Gora -&gt; Olszyna"/>
        <s v="Olszyna -&gt; Swiecko"/>
        <s v="Siedlce -&gt; Lomza"/>
        <s v="Hrebenne -&gt; Lublin"/>
        <s v="Lublin -&gt; Radom"/>
        <s v="Radom -&gt; Tarnobrzeg"/>
        <s v="Tarnobrzeg -&gt; Krakow"/>
        <s v="Biala Podlaska -&gt; Tarnobrzeg"/>
        <s v="Kielce -&gt; Sieradz"/>
        <s v="Chelm -&gt; Terespol"/>
        <s v="Terespol -&gt; Warszawa"/>
        <s v="Warszawa -&gt; Lodz"/>
        <s v="Lodz -&gt; Wloclawek"/>
        <s v="Krosno -&gt; Zakopane"/>
        <s v="Kielce -&gt; Tarnow"/>
        <s v="Katowice -&gt; Zakopane"/>
        <s v="Zakopane -&gt; Tarnow"/>
        <s v="Gdansk -&gt; Slupsk"/>
        <s v="Slupsk -&gt; Gdansk"/>
        <s v="Gdansk -&gt; Koszalin"/>
        <s v="Koszalin -&gt; Kolbaskowo"/>
        <s v="Kolbaskowo -&gt; Pila"/>
        <s v="Gubin -&gt; Zgorzelec"/>
        <s v="Leszno -&gt; Konin"/>
        <s v="Konin -&gt; Plock"/>
        <s v="Plock -&gt; Konin"/>
        <s v="Konin -&gt; Lodz"/>
        <s v="Wloclawek -&gt; Kalisz"/>
        <s v="Poznan -&gt; Zielona Gora"/>
        <s v="Przemysl -&gt; Gdansk"/>
        <s v="Suwalki -&gt; Bialystok"/>
        <s v="Slupsk -&gt; Elblag"/>
        <s v="Elblag -&gt; Slupsk"/>
        <s v="Zamosc -&gt; Przemysl"/>
        <s v="Biala Podlaska -&gt; Gorzow Wielkopolski"/>
        <s v="Katowice -&gt; Skierniewice"/>
        <s v="Barwinek -&gt; Sieradz"/>
        <s v="Sieradz -&gt; Czestochowa"/>
        <s v="Czestochowa -&gt; Lodz"/>
        <s v="Biala Podlaska -&gt; Chelm"/>
        <s v="Chelm -&gt; Radom"/>
        <s v="Ostroleka -&gt; Warszawa"/>
        <s v="Warszawa -&gt; Siedlce"/>
        <s v="Piotrkow Trybunalski -&gt; Jakuszyce"/>
        <s v="Kostrzyn -&gt; Zielona Gora"/>
        <s v="Lublin -&gt; Zielona Gora"/>
        <s v="Poznan -&gt; Pila"/>
        <s v="Pila -&gt; Kostrzyn"/>
        <s v="Kostrzyn -&gt; Gubin"/>
        <s v="Opole -&gt; Kudowa-Slone"/>
        <s v="Kielce -&gt; Konin"/>
        <s v="Plock -&gt; Bydgoszcz"/>
        <s v="Bydgoszcz -&gt; Konin"/>
        <s v="Bezledy -&gt; Lomza"/>
        <s v="Tarnobrzeg -&gt; Przemysl"/>
        <s v="Radom -&gt; Lodz"/>
        <s v="Tarnow -&gt; Bielsko-Biala"/>
        <s v="Bielsko-Biala -&gt; Nowy Sacz"/>
        <s v="Nowy Sacz -&gt; Rzeszow"/>
        <s v="Rzeszow -&gt; Lublin"/>
        <s v="Zielona Gora -&gt; Legnica"/>
        <s v="Ciechanow -&gt; Warszawa"/>
        <s v="Lublin -&gt; Tarnow"/>
        <s v="Tarnow -&gt; Zakopane"/>
        <s v="Zakopane -&gt; Barwinek"/>
        <s v="Lodz -&gt; Warszawa"/>
        <s v="Koszalin -&gt; Szczecin"/>
        <s v="Ciechanow -&gt; Torun"/>
        <s v="Elblag -&gt; Bydgoszcz"/>
        <s v="Plock -&gt; Bielsko-Biala"/>
        <s v="Barwinek -&gt; Lomza"/>
        <s v="Gubin -&gt; Warszawa"/>
        <s v="Warszawa -&gt; Radom"/>
        <s v="Warszawa -&gt; Walbrzych"/>
        <s v="Chalupki -&gt; Walbrzych"/>
        <s v="Walbrzych -&gt; Olszyna"/>
        <s v="Olszyna -&gt; Kostrzyn"/>
        <s v="Kostrzyn -&gt; Zgorzelec"/>
        <s v="Zgorzelec -&gt; Zielona Gora"/>
        <s v="Zielona Gora -&gt; Kostrzyn"/>
        <s v="Wloclawek -&gt; Ciechanow"/>
        <s v="Lodz -&gt; Czestochowa"/>
        <s v="Czestochowa -&gt; Sieradz"/>
        <s v="Sieradz -&gt; Opole"/>
        <s v="Sieradz -&gt; Leszno"/>
        <s v="Leszno -&gt; Legnica"/>
        <s v="Gdansk -&gt; Bydgoszcz"/>
        <s v="Gorzow Wielkopolski -&gt; Szczecin"/>
        <s v="Swinoujscie -&gt; Pila"/>
        <s v="Plock -&gt; Piotrkow Trybunalski"/>
        <s v="Piotrkow Trybunalski -&gt; Warszawa"/>
        <s v="Terespol -&gt; Lublin"/>
        <s v="Lublin -&gt; Hrebenne"/>
        <s v="Przemysl -&gt; Warszawa"/>
        <s v="Warszawa -&gt; Ciechanow"/>
        <s v="Ciechanow -&gt; Wloclawek"/>
        <s v="Ciechanow -&gt; Ostroleka"/>
        <s v="Bielsko-Biala -&gt; Cieszyn"/>
        <s v="Cieszyn -&gt; Opole"/>
        <s v="Czestochowa -&gt; Kielce"/>
        <s v="Opole -&gt; Katowice"/>
        <s v="Lodz -&gt; Bialystok"/>
        <s v="Bialystok -&gt; Suwalki"/>
        <s v="Suwalki -&gt; Ostroleka"/>
        <s v="Plock -&gt; Lublin"/>
        <s v="Hrebenne -&gt; Medyka"/>
        <s v="Slupsk -&gt; Szczecin"/>
        <s v="Szczecin -&gt; Pila"/>
        <s v="Bydgoszcz -&gt; Gdansk"/>
        <s v="Skierniewice -&gt; Kudowa-Slone"/>
        <s v="Legnica -&gt; Zielona Gora"/>
        <s v="Czestochowa -&gt; Bielsko-Biala"/>
        <s v="Bielsko-Biala -&gt; Chalupki"/>
        <s v="Przemysl -&gt; Kielce"/>
        <s v="Kielce -&gt; Tarnobrzeg"/>
        <s v="Bielsko-Biala -&gt; Warszawa"/>
        <s v="Warszawa -&gt; Plock"/>
        <s v="Gubin -&gt; Szczecin"/>
        <s v="Krakow -&gt; Cieszyn"/>
        <s v="Zakopane -&gt; Katowice"/>
        <s v="Gdansk -&gt; Bezledy"/>
        <s v="Olsztyn -&gt; Bielsko-Biala"/>
        <s v="Bielsko-Biala -&gt; Opole"/>
        <s v="Opole -&gt; Walbrzych"/>
        <s v="Walbrzych -&gt; Zgorzelec"/>
        <s v="Zgorzelec -&gt; Gubin"/>
      </sharedItems>
    </cacheField>
    <cacheField name="Waga" numFmtId="0">
      <sharedItems containsSemiMixedTypes="0" containsString="0" containsNumber="1" containsInteger="1" minValue="1011" maxValue="5986"/>
    </cacheField>
    <cacheField name="Odleglosc" numFmtId="0">
      <sharedItems containsSemiMixedTypes="0" containsString="0" containsNumber="1" containsInteger="1" minValue="17" maxValue="744"/>
    </cacheField>
    <cacheField name="Cena" numFmtId="173">
      <sharedItems containsSemiMixedTypes="0" containsString="0" containsNumber="1" containsInteger="1" minValue="28" maxValue="2887"/>
    </cacheField>
    <cacheField name="Stawka" numFmtId="173">
      <sharedItems containsSemiMixedTypes="0" containsString="0" containsNumber="1" minValue="0.95714285714285718" maxValue="4.26041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lsztyn"/>
    <x v="0"/>
    <x v="0"/>
    <n v="3527"/>
    <n v="167"/>
    <n v="206"/>
    <n v="1.2335329341317365"/>
  </r>
  <r>
    <s v="Torun"/>
    <x v="1"/>
    <x v="1"/>
    <n v="3666"/>
    <n v="112"/>
    <n v="280"/>
    <n v="2.5"/>
  </r>
  <r>
    <s v="Plock"/>
    <x v="2"/>
    <x v="2"/>
    <n v="4888"/>
    <n v="167"/>
    <n v="624"/>
    <n v="3.7365269461077846"/>
  </r>
  <r>
    <s v="Ostroleka"/>
    <x v="3"/>
    <x v="3"/>
    <n v="1099"/>
    <n v="167"/>
    <n v="390"/>
    <n v="2.3353293413173652"/>
  </r>
  <r>
    <s v="Lomza"/>
    <x v="4"/>
    <x v="4"/>
    <n v="4881"/>
    <n v="118"/>
    <n v="219"/>
    <n v="1.8559322033898304"/>
  </r>
  <r>
    <s v="Ciechanow"/>
    <x v="5"/>
    <x v="5"/>
    <n v="5851"/>
    <n v="113"/>
    <n v="160"/>
    <n v="1.415929203539823"/>
  </r>
  <r>
    <s v="Lomza"/>
    <x v="6"/>
    <x v="6"/>
    <n v="5963"/>
    <n v="141"/>
    <n v="168"/>
    <n v="1.1914893617021276"/>
  </r>
  <r>
    <s v="Kuznica Bialostocka"/>
    <x v="2"/>
    <x v="7"/>
    <n v="1364"/>
    <n v="179"/>
    <n v="533"/>
    <n v="2.977653631284916"/>
  </r>
  <r>
    <s v="Ostroleka"/>
    <x v="3"/>
    <x v="3"/>
    <n v="1245"/>
    <n v="166"/>
    <n v="209"/>
    <n v="1.2590361445783131"/>
  </r>
  <r>
    <s v="Poznan"/>
    <x v="7"/>
    <x v="8"/>
    <n v="3771"/>
    <n v="196"/>
    <n v="696"/>
    <n v="3.5510204081632653"/>
  </r>
  <r>
    <s v="Skierniewice"/>
    <x v="8"/>
    <x v="9"/>
    <n v="4522"/>
    <n v="300"/>
    <n v="1113"/>
    <n v="3.71"/>
  </r>
  <r>
    <s v="Tarnow"/>
    <x v="9"/>
    <x v="10"/>
    <n v="4588"/>
    <n v="148"/>
    <n v="494"/>
    <n v="3.3378378378378377"/>
  </r>
  <r>
    <s v="Radom"/>
    <x v="10"/>
    <x v="11"/>
    <n v="1952"/>
    <n v="267"/>
    <n v="602"/>
    <n v="2.2546816479400751"/>
  </r>
  <r>
    <s v="Konin"/>
    <x v="0"/>
    <x v="12"/>
    <n v="3318"/>
    <n v="110"/>
    <n v="422"/>
    <n v="3.8363636363636364"/>
  </r>
  <r>
    <s v="Kuznica Bialostocka"/>
    <x v="2"/>
    <x v="7"/>
    <n v="3106"/>
    <n v="173"/>
    <n v="312"/>
    <n v="1.8034682080924855"/>
  </r>
  <r>
    <s v="Ostroleka"/>
    <x v="11"/>
    <x v="13"/>
    <n v="5593"/>
    <n v="127"/>
    <n v="421"/>
    <n v="3.3149606299212597"/>
  </r>
  <r>
    <s v="Olsztyn"/>
    <x v="4"/>
    <x v="14"/>
    <n v="5983"/>
    <n v="118"/>
    <n v="416"/>
    <n v="3.5254237288135593"/>
  </r>
  <r>
    <s v="Ciechanow"/>
    <x v="11"/>
    <x v="15"/>
    <n v="5496"/>
    <n v="115"/>
    <n v="291"/>
    <n v="2.5304347826086957"/>
  </r>
  <r>
    <s v="Olsztyn"/>
    <x v="5"/>
    <x v="16"/>
    <n v="4572"/>
    <n v="164"/>
    <n v="550"/>
    <n v="3.3536585365853657"/>
  </r>
  <r>
    <s v="Lomza"/>
    <x v="4"/>
    <x v="4"/>
    <n v="4529"/>
    <n v="121"/>
    <n v="373"/>
    <n v="3.0826446280991737"/>
  </r>
  <r>
    <s v="Ciechanow"/>
    <x v="11"/>
    <x v="15"/>
    <n v="4981"/>
    <n v="123"/>
    <n v="218"/>
    <n v="1.7723577235772359"/>
  </r>
  <r>
    <s v="Olsztyn"/>
    <x v="0"/>
    <x v="0"/>
    <n v="3808"/>
    <n v="163"/>
    <n v="655"/>
    <n v="4.0184049079754605"/>
  </r>
  <r>
    <s v="Torun"/>
    <x v="12"/>
    <x v="17"/>
    <n v="1359"/>
    <n v="130"/>
    <n v="346"/>
    <n v="2.6615384615384614"/>
  </r>
  <r>
    <s v="Kolbaskowo"/>
    <x v="13"/>
    <x v="18"/>
    <n v="2320"/>
    <n v="24"/>
    <n v="68"/>
    <n v="2.8333333333333335"/>
  </r>
  <r>
    <s v="Szczecin"/>
    <x v="14"/>
    <x v="19"/>
    <n v="2607"/>
    <n v="115"/>
    <n v="264"/>
    <n v="2.2956521739130435"/>
  </r>
  <r>
    <s v="Swinoujscie"/>
    <x v="13"/>
    <x v="20"/>
    <n v="3657"/>
    <n v="100"/>
    <n v="424"/>
    <n v="4.24"/>
  </r>
  <r>
    <s v="Szczecin"/>
    <x v="15"/>
    <x v="21"/>
    <n v="5671"/>
    <n v="118"/>
    <n v="390"/>
    <n v="3.3050847457627119"/>
  </r>
  <r>
    <s v="Kostrzyn"/>
    <x v="16"/>
    <x v="22"/>
    <n v="4871"/>
    <n v="126"/>
    <n v="185"/>
    <n v="1.4682539682539681"/>
  </r>
  <r>
    <s v="Kolbaskowo"/>
    <x v="17"/>
    <x v="23"/>
    <n v="1686"/>
    <n v="102"/>
    <n v="167"/>
    <n v="1.6372549019607843"/>
  </r>
  <r>
    <s v="Gorzow Wielkopolski"/>
    <x v="12"/>
    <x v="24"/>
    <n v="5628"/>
    <n v="123"/>
    <n v="450"/>
    <n v="3.6585365853658538"/>
  </r>
  <r>
    <s v="Pila"/>
    <x v="18"/>
    <x v="25"/>
    <n v="3295"/>
    <n v="103"/>
    <n v="346"/>
    <n v="3.3592233009708736"/>
  </r>
  <r>
    <s v="Jakuszyce"/>
    <x v="19"/>
    <x v="26"/>
    <n v="5291"/>
    <n v="273"/>
    <n v="520"/>
    <n v="1.9047619047619047"/>
  </r>
  <r>
    <s v="Kalisz"/>
    <x v="20"/>
    <x v="27"/>
    <n v="5838"/>
    <n v="128"/>
    <n v="518"/>
    <n v="4.046875"/>
  </r>
  <r>
    <s v="Piotrkow Trybunalski"/>
    <x v="10"/>
    <x v="28"/>
    <n v="3319"/>
    <n v="154"/>
    <n v="314"/>
    <n v="2.0389610389610389"/>
  </r>
  <r>
    <s v="Gdansk"/>
    <x v="0"/>
    <x v="29"/>
    <n v="2152"/>
    <n v="190"/>
    <n v="406"/>
    <n v="2.1368421052631579"/>
  </r>
  <r>
    <s v="Torun"/>
    <x v="12"/>
    <x v="17"/>
    <n v="3810"/>
    <n v="135"/>
    <n v="221"/>
    <n v="1.6370370370370371"/>
  </r>
  <r>
    <s v="Pila"/>
    <x v="21"/>
    <x v="30"/>
    <n v="5713"/>
    <n v="128"/>
    <n v="376"/>
    <n v="2.9375"/>
  </r>
  <r>
    <s v="Koszalin"/>
    <x v="12"/>
    <x v="31"/>
    <n v="4163"/>
    <n v="128"/>
    <n v="257"/>
    <n v="2.0078125"/>
  </r>
  <r>
    <s v="Pila"/>
    <x v="22"/>
    <x v="32"/>
    <n v="3216"/>
    <n v="162"/>
    <n v="278"/>
    <n v="1.7160493827160495"/>
  </r>
  <r>
    <s v="Lomza"/>
    <x v="23"/>
    <x v="33"/>
    <n v="5060"/>
    <n v="550"/>
    <n v="1622"/>
    <n v="2.9490909090909092"/>
  </r>
  <r>
    <s v="Koszalin"/>
    <x v="14"/>
    <x v="34"/>
    <n v="2446"/>
    <n v="161"/>
    <n v="379"/>
    <n v="2.3540372670807455"/>
  </r>
  <r>
    <s v="Swinoujscie"/>
    <x v="13"/>
    <x v="20"/>
    <n v="3305"/>
    <n v="106"/>
    <n v="116"/>
    <n v="1.0943396226415094"/>
  </r>
  <r>
    <s v="Pila"/>
    <x v="0"/>
    <x v="35"/>
    <n v="1743"/>
    <n v="145"/>
    <n v="376"/>
    <n v="2.5931034482758619"/>
  </r>
  <r>
    <s v="Tarnow"/>
    <x v="24"/>
    <x v="36"/>
    <n v="4053"/>
    <n v="146"/>
    <n v="441"/>
    <n v="3.0205479452054793"/>
  </r>
  <r>
    <s v="Katowice"/>
    <x v="20"/>
    <x v="37"/>
    <n v="4905"/>
    <n v="157"/>
    <n v="392"/>
    <n v="2.4968152866242037"/>
  </r>
  <r>
    <s v="Plock"/>
    <x v="0"/>
    <x v="38"/>
    <n v="1624"/>
    <n v="111"/>
    <n v="221"/>
    <n v="1.9909909909909911"/>
  </r>
  <r>
    <s v="Kudowa-Slone"/>
    <x v="25"/>
    <x v="39"/>
    <n v="5326"/>
    <n v="171"/>
    <n v="263"/>
    <n v="1.5380116959064327"/>
  </r>
  <r>
    <s v="Elblag"/>
    <x v="4"/>
    <x v="40"/>
    <n v="4398"/>
    <n v="225"/>
    <n v="400"/>
    <n v="1.7777777777777777"/>
  </r>
  <r>
    <s v="Kudowa-Slone"/>
    <x v="26"/>
    <x v="41"/>
    <n v="4494"/>
    <n v="143"/>
    <n v="252"/>
    <n v="1.7622377622377623"/>
  </r>
  <r>
    <s v="Opole"/>
    <x v="27"/>
    <x v="42"/>
    <n v="2136"/>
    <n v="139"/>
    <n v="522"/>
    <n v="3.7553956834532376"/>
  </r>
  <r>
    <s v="Bielsko-Biala"/>
    <x v="28"/>
    <x v="43"/>
    <n v="4481"/>
    <n v="121"/>
    <n v="446"/>
    <n v="3.6859504132231407"/>
  </r>
  <r>
    <s v="Piotrkow Trybunalski"/>
    <x v="18"/>
    <x v="44"/>
    <n v="1749"/>
    <n v="232"/>
    <n v="928"/>
    <n v="4"/>
  </r>
  <r>
    <s v="Piotrkow Trybunalski"/>
    <x v="10"/>
    <x v="28"/>
    <n v="1203"/>
    <n v="146"/>
    <n v="330"/>
    <n v="2.2602739726027399"/>
  </r>
  <r>
    <s v="Konin"/>
    <x v="29"/>
    <x v="45"/>
    <n v="4505"/>
    <n v="118"/>
    <n v="374"/>
    <n v="3.1694915254237288"/>
  </r>
  <r>
    <s v="Bydgoszcz"/>
    <x v="30"/>
    <x v="46"/>
    <n v="1454"/>
    <n v="95"/>
    <n v="197"/>
    <n v="2.0736842105263156"/>
  </r>
  <r>
    <s v="Wloclawek"/>
    <x v="31"/>
    <x v="47"/>
    <n v="2835"/>
    <n v="136"/>
    <n v="418"/>
    <n v="3.0735294117647061"/>
  </r>
  <r>
    <s v="Skierniewice"/>
    <x v="32"/>
    <x v="48"/>
    <n v="2338"/>
    <n v="123"/>
    <n v="215"/>
    <n v="1.7479674796747968"/>
  </r>
  <r>
    <s v="Gorzow Wielkopolski"/>
    <x v="33"/>
    <x v="49"/>
    <n v="4154"/>
    <n v="277"/>
    <n v="924"/>
    <n v="3.335740072202166"/>
  </r>
  <r>
    <s v="Gubin"/>
    <x v="15"/>
    <x v="50"/>
    <n v="1767"/>
    <n v="91"/>
    <n v="247"/>
    <n v="2.7142857142857144"/>
  </r>
  <r>
    <s v="Zamosc"/>
    <x v="34"/>
    <x v="51"/>
    <n v="2929"/>
    <n v="152"/>
    <n v="278"/>
    <n v="1.8289473684210527"/>
  </r>
  <r>
    <s v="Medyka"/>
    <x v="35"/>
    <x v="52"/>
    <n v="2151"/>
    <n v="177"/>
    <n v="365"/>
    <n v="2.0621468926553672"/>
  </r>
  <r>
    <s v="Tarnobrzeg"/>
    <x v="36"/>
    <x v="53"/>
    <n v="2431"/>
    <n v="96"/>
    <n v="409"/>
    <n v="4.260416666666667"/>
  </r>
  <r>
    <s v="Krosno"/>
    <x v="35"/>
    <x v="54"/>
    <n v="1168"/>
    <n v="143"/>
    <n v="501"/>
    <n v="3.5034965034965033"/>
  </r>
  <r>
    <s v="Tarnobrzeg"/>
    <x v="37"/>
    <x v="55"/>
    <n v="4251"/>
    <n v="122"/>
    <n v="227"/>
    <n v="1.860655737704918"/>
  </r>
  <r>
    <s v="Radom"/>
    <x v="31"/>
    <x v="56"/>
    <n v="4347"/>
    <n v="117"/>
    <n v="158"/>
    <n v="1.3504273504273505"/>
  </r>
  <r>
    <s v="Skierniewice"/>
    <x v="30"/>
    <x v="57"/>
    <n v="5287"/>
    <n v="127"/>
    <n v="495"/>
    <n v="3.8976377952755907"/>
  </r>
  <r>
    <s v="Tarnow"/>
    <x v="9"/>
    <x v="10"/>
    <n v="5177"/>
    <n v="147"/>
    <n v="443"/>
    <n v="3.0136054421768708"/>
  </r>
  <r>
    <s v="Gubin"/>
    <x v="17"/>
    <x v="58"/>
    <n v="3858"/>
    <n v="155"/>
    <n v="261"/>
    <n v="1.6838709677419355"/>
  </r>
  <r>
    <s v="Gorzow Wielkopolski"/>
    <x v="38"/>
    <x v="59"/>
    <n v="4637"/>
    <n v="116"/>
    <n v="242"/>
    <n v="2.0862068965517242"/>
  </r>
  <r>
    <s v="Zielona Gora"/>
    <x v="18"/>
    <x v="60"/>
    <n v="5212"/>
    <n v="123"/>
    <n v="517"/>
    <n v="4.2032520325203251"/>
  </r>
  <r>
    <s v="Poznan"/>
    <x v="29"/>
    <x v="61"/>
    <n v="1099"/>
    <n v="128"/>
    <n v="205"/>
    <n v="1.6015625"/>
  </r>
  <r>
    <s v="Bydgoszcz"/>
    <x v="30"/>
    <x v="46"/>
    <n v="4422"/>
    <n v="105"/>
    <n v="145"/>
    <n v="1.3809523809523809"/>
  </r>
  <r>
    <s v="Chyzne"/>
    <x v="27"/>
    <x v="62"/>
    <n v="2742"/>
    <n v="109"/>
    <n v="117"/>
    <n v="1.073394495412844"/>
  </r>
  <r>
    <s v="Bielsko-Biala"/>
    <x v="23"/>
    <x v="63"/>
    <n v="2100"/>
    <n v="115"/>
    <n v="172"/>
    <n v="1.4956521739130435"/>
  </r>
  <r>
    <s v="Chyzne"/>
    <x v="27"/>
    <x v="62"/>
    <n v="5626"/>
    <n v="123"/>
    <n v="377"/>
    <n v="3.065040650406504"/>
  </r>
  <r>
    <s v="Bielsko-Biala"/>
    <x v="23"/>
    <x v="63"/>
    <n v="1629"/>
    <n v="109"/>
    <n v="258"/>
    <n v="2.3669724770642202"/>
  </r>
  <r>
    <s v="Chyzne"/>
    <x v="39"/>
    <x v="64"/>
    <n v="4787"/>
    <n v="155"/>
    <n v="354"/>
    <n v="2.2838709677419353"/>
  </r>
  <r>
    <s v="Barwinek"/>
    <x v="34"/>
    <x v="65"/>
    <n v="4678"/>
    <n v="182"/>
    <n v="254"/>
    <n v="1.3956043956043955"/>
  </r>
  <r>
    <s v="Medyka"/>
    <x v="40"/>
    <x v="66"/>
    <n v="5869"/>
    <n v="152"/>
    <n v="599"/>
    <n v="3.9407894736842106"/>
  </r>
  <r>
    <s v="Rzeszow"/>
    <x v="40"/>
    <x v="67"/>
    <n v="2678"/>
    <n v="178"/>
    <n v="481"/>
    <n v="2.702247191011236"/>
  </r>
  <r>
    <s v="Konin"/>
    <x v="33"/>
    <x v="68"/>
    <n v="3193"/>
    <n v="241"/>
    <n v="507"/>
    <n v="2.103734439834025"/>
  </r>
  <r>
    <s v="Jakuszyce"/>
    <x v="15"/>
    <x v="69"/>
    <n v="1011"/>
    <n v="211"/>
    <n v="536"/>
    <n v="2.5402843601895735"/>
  </r>
  <r>
    <s v="Kostrzyn"/>
    <x v="13"/>
    <x v="70"/>
    <n v="3398"/>
    <n v="122"/>
    <n v="163"/>
    <n v="1.3360655737704918"/>
  </r>
  <r>
    <s v="Zgorzelec"/>
    <x v="41"/>
    <x v="71"/>
    <n v="5416"/>
    <n v="156"/>
    <n v="349"/>
    <n v="2.2371794871794872"/>
  </r>
  <r>
    <s v="Ostroleka"/>
    <x v="42"/>
    <x v="72"/>
    <n v="3914"/>
    <n v="417"/>
    <n v="888"/>
    <n v="2.1294964028776979"/>
  </r>
  <r>
    <s v="Krakow"/>
    <x v="36"/>
    <x v="73"/>
    <n v="5805"/>
    <n v="145"/>
    <n v="301"/>
    <n v="2.0758620689655172"/>
  </r>
  <r>
    <s v="Kielce"/>
    <x v="42"/>
    <x v="74"/>
    <n v="4033"/>
    <n v="136"/>
    <n v="297"/>
    <n v="2.1838235294117645"/>
  </r>
  <r>
    <s v="Zamosc"/>
    <x v="43"/>
    <x v="75"/>
    <n v="1021"/>
    <n v="184"/>
    <n v="660"/>
    <n v="3.5869565217391304"/>
  </r>
  <r>
    <s v="Przemysl"/>
    <x v="34"/>
    <x v="76"/>
    <n v="5162"/>
    <n v="17"/>
    <n v="28"/>
    <n v="1.6470588235294117"/>
  </r>
  <r>
    <s v="Medyka"/>
    <x v="40"/>
    <x v="66"/>
    <n v="2050"/>
    <n v="162"/>
    <n v="569"/>
    <n v="3.5123456790123457"/>
  </r>
  <r>
    <s v="Walbrzych"/>
    <x v="26"/>
    <x v="77"/>
    <n v="5312"/>
    <n v="153"/>
    <n v="356"/>
    <n v="2.3267973856209152"/>
  </r>
  <r>
    <s v="Szczecin"/>
    <x v="32"/>
    <x v="78"/>
    <n v="2443"/>
    <n v="392"/>
    <n v="1392"/>
    <n v="3.5510204081632653"/>
  </r>
  <r>
    <s v="Przemysl"/>
    <x v="44"/>
    <x v="79"/>
    <n v="1161"/>
    <n v="174"/>
    <n v="323"/>
    <n v="1.8563218390804597"/>
  </r>
  <r>
    <s v="Barwinek"/>
    <x v="8"/>
    <x v="80"/>
    <n v="3435"/>
    <n v="146"/>
    <n v="530"/>
    <n v="3.6301369863013697"/>
  </r>
  <r>
    <s v="Chalupki"/>
    <x v="22"/>
    <x v="81"/>
    <n v="3358"/>
    <n v="168"/>
    <n v="569"/>
    <n v="3.3869047619047619"/>
  </r>
  <r>
    <s v="Zgorzelec"/>
    <x v="45"/>
    <x v="82"/>
    <n v="2719"/>
    <n v="152"/>
    <n v="240"/>
    <n v="1.5789473684210527"/>
  </r>
  <r>
    <s v="Swiecko"/>
    <x v="13"/>
    <x v="83"/>
    <n v="1793"/>
    <n v="197"/>
    <n v="754"/>
    <n v="3.8274111675126905"/>
  </r>
  <r>
    <s v="Radom"/>
    <x v="20"/>
    <x v="84"/>
    <n v="1858"/>
    <n v="104"/>
    <n v="171"/>
    <n v="1.6442307692307692"/>
  </r>
  <r>
    <s v="Piotrkow Trybunalski"/>
    <x v="37"/>
    <x v="85"/>
    <n v="4651"/>
    <n v="111"/>
    <n v="190"/>
    <n v="1.7117117117117118"/>
  </r>
  <r>
    <s v="Radom"/>
    <x v="20"/>
    <x v="84"/>
    <n v="2929"/>
    <n v="111"/>
    <n v="395"/>
    <n v="3.5585585585585586"/>
  </r>
  <r>
    <s v="Piotrkow Trybunalski"/>
    <x v="19"/>
    <x v="86"/>
    <n v="2608"/>
    <n v="123"/>
    <n v="223"/>
    <n v="1.8130081300813008"/>
  </r>
  <r>
    <s v="Kalisz"/>
    <x v="18"/>
    <x v="87"/>
    <n v="3094"/>
    <n v="107"/>
    <n v="143"/>
    <n v="1.3364485981308412"/>
  </r>
  <r>
    <s v="Radom"/>
    <x v="46"/>
    <x v="88"/>
    <n v="5288"/>
    <n v="107"/>
    <n v="312"/>
    <n v="2.9158878504672896"/>
  </r>
  <r>
    <s v="Walbrzych"/>
    <x v="19"/>
    <x v="89"/>
    <n v="4888"/>
    <n v="182"/>
    <n v="248"/>
    <n v="1.3626373626373627"/>
  </r>
  <r>
    <s v="Kalisz"/>
    <x v="47"/>
    <x v="90"/>
    <n v="5475"/>
    <n v="129"/>
    <n v="200"/>
    <n v="1.5503875968992249"/>
  </r>
  <r>
    <s v="Lodz"/>
    <x v="36"/>
    <x v="91"/>
    <n v="4863"/>
    <n v="141"/>
    <n v="444"/>
    <n v="3.1489361702127661"/>
  </r>
  <r>
    <s v="Piotrkow Trybunalski"/>
    <x v="48"/>
    <x v="92"/>
    <n v="5933"/>
    <n v="335"/>
    <n v="479"/>
    <n v="1.4298507462686567"/>
  </r>
  <r>
    <s v="Warszawa"/>
    <x v="49"/>
    <x v="93"/>
    <n v="1730"/>
    <n v="410"/>
    <n v="1087"/>
    <n v="2.6512195121951221"/>
  </r>
  <r>
    <s v="Legnica"/>
    <x v="7"/>
    <x v="94"/>
    <n v="3178"/>
    <n v="171"/>
    <n v="646"/>
    <n v="3.7777777777777777"/>
  </r>
  <r>
    <s v="Piotrkow Trybunalski"/>
    <x v="30"/>
    <x v="95"/>
    <n v="3983"/>
    <n v="153"/>
    <n v="175"/>
    <n v="1.1437908496732025"/>
  </r>
  <r>
    <s v="Elblag"/>
    <x v="6"/>
    <x v="96"/>
    <n v="3007"/>
    <n v="391"/>
    <n v="1406"/>
    <n v="3.5959079283887467"/>
  </r>
  <r>
    <s v="Warszawa"/>
    <x v="9"/>
    <x v="97"/>
    <n v="5832"/>
    <n v="300"/>
    <n v="453"/>
    <n v="1.51"/>
  </r>
  <r>
    <s v="Kudowa-Slone"/>
    <x v="26"/>
    <x v="41"/>
    <n v="3012"/>
    <n v="148"/>
    <n v="185"/>
    <n v="1.25"/>
  </r>
  <r>
    <s v="Opole"/>
    <x v="50"/>
    <x v="98"/>
    <n v="4508"/>
    <n v="104"/>
    <n v="399"/>
    <n v="3.8365384615384617"/>
  </r>
  <r>
    <s v="Ostroleka"/>
    <x v="45"/>
    <x v="99"/>
    <n v="1777"/>
    <n v="552"/>
    <n v="1964"/>
    <n v="3.5579710144927534"/>
  </r>
  <r>
    <s v="Swiecko"/>
    <x v="49"/>
    <x v="100"/>
    <n v="4788"/>
    <n v="203"/>
    <n v="347"/>
    <n v="1.7093596059113301"/>
  </r>
  <r>
    <s v="Legnica"/>
    <x v="51"/>
    <x v="101"/>
    <n v="3035"/>
    <n v="103"/>
    <n v="376"/>
    <n v="3.650485436893204"/>
  </r>
  <r>
    <s v="Leszno"/>
    <x v="52"/>
    <x v="102"/>
    <n v="3380"/>
    <n v="155"/>
    <n v="542"/>
    <n v="3.4967741935483869"/>
  </r>
  <r>
    <s v="Jelenia Gora"/>
    <x v="53"/>
    <x v="103"/>
    <n v="5014"/>
    <n v="154"/>
    <n v="577"/>
    <n v="3.7467532467532467"/>
  </r>
  <r>
    <s v="Olszyna"/>
    <x v="45"/>
    <x v="104"/>
    <n v="1852"/>
    <n v="110"/>
    <n v="407"/>
    <n v="3.7"/>
  </r>
  <r>
    <s v="Siedlce"/>
    <x v="5"/>
    <x v="105"/>
    <n v="5493"/>
    <n v="145"/>
    <n v="168"/>
    <n v="1.1586206896551725"/>
  </r>
  <r>
    <s v="Rzeszow"/>
    <x v="40"/>
    <x v="67"/>
    <n v="5560"/>
    <n v="187"/>
    <n v="288"/>
    <n v="1.5401069518716577"/>
  </r>
  <r>
    <s v="Hrebenne"/>
    <x v="54"/>
    <x v="106"/>
    <n v="2571"/>
    <n v="145"/>
    <n v="567"/>
    <n v="3.9103448275862069"/>
  </r>
  <r>
    <s v="Lublin"/>
    <x v="37"/>
    <x v="107"/>
    <n v="3348"/>
    <n v="111"/>
    <n v="135"/>
    <n v="1.2162162162162162"/>
  </r>
  <r>
    <s v="Radom"/>
    <x v="35"/>
    <x v="108"/>
    <n v="2906"/>
    <n v="119"/>
    <n v="398"/>
    <n v="3.3445378151260505"/>
  </r>
  <r>
    <s v="Tarnobrzeg"/>
    <x v="42"/>
    <x v="109"/>
    <n v="5660"/>
    <n v="137"/>
    <n v="490"/>
    <n v="3.5766423357664232"/>
  </r>
  <r>
    <s v="Radom"/>
    <x v="20"/>
    <x v="84"/>
    <n v="2575"/>
    <n v="113"/>
    <n v="277"/>
    <n v="2.4513274336283186"/>
  </r>
  <r>
    <s v="Biala Podlaska"/>
    <x v="35"/>
    <x v="110"/>
    <n v="1676"/>
    <n v="217"/>
    <n v="499"/>
    <n v="2.2995391705069124"/>
  </r>
  <r>
    <s v="Tarnobrzeg"/>
    <x v="36"/>
    <x v="53"/>
    <n v="1536"/>
    <n v="96"/>
    <n v="154"/>
    <n v="1.6041666666666667"/>
  </r>
  <r>
    <s v="Kielce"/>
    <x v="32"/>
    <x v="111"/>
    <n v="1996"/>
    <n v="158"/>
    <n v="653"/>
    <n v="4.1329113924050631"/>
  </r>
  <r>
    <s v="Chelm"/>
    <x v="55"/>
    <x v="112"/>
    <n v="4769"/>
    <n v="160"/>
    <n v="522"/>
    <n v="3.2625000000000002"/>
  </r>
  <r>
    <s v="Terespol"/>
    <x v="46"/>
    <x v="113"/>
    <n v="4542"/>
    <n v="205"/>
    <n v="524"/>
    <n v="2.5560975609756098"/>
  </r>
  <r>
    <s v="Warszawa"/>
    <x v="47"/>
    <x v="114"/>
    <n v="2286"/>
    <n v="140"/>
    <n v="136"/>
    <n v="0.97142857142857142"/>
  </r>
  <r>
    <s v="Lodz"/>
    <x v="30"/>
    <x v="115"/>
    <n v="1504"/>
    <n v="95"/>
    <n v="382"/>
    <n v="4.0210526315789474"/>
  </r>
  <r>
    <s v="Krosno"/>
    <x v="28"/>
    <x v="116"/>
    <n v="3990"/>
    <n v="195"/>
    <n v="468"/>
    <n v="2.4"/>
  </r>
  <r>
    <s v="Kielce"/>
    <x v="8"/>
    <x v="117"/>
    <n v="4569"/>
    <n v="123"/>
    <n v="295"/>
    <n v="2.3983739837398375"/>
  </r>
  <r>
    <s v="Tarnow"/>
    <x v="9"/>
    <x v="10"/>
    <n v="3469"/>
    <n v="151"/>
    <n v="558"/>
    <n v="3.6953642384105962"/>
  </r>
  <r>
    <s v="Katowice"/>
    <x v="28"/>
    <x v="118"/>
    <n v="2498"/>
    <n v="163"/>
    <n v="610"/>
    <n v="3.7423312883435584"/>
  </r>
  <r>
    <s v="Zakopane"/>
    <x v="8"/>
    <x v="119"/>
    <n v="4118"/>
    <n v="144"/>
    <n v="256"/>
    <n v="1.7777777777777777"/>
  </r>
  <r>
    <s v="Gdansk"/>
    <x v="56"/>
    <x v="120"/>
    <n v="5847"/>
    <n v="137"/>
    <n v="270"/>
    <n v="1.9708029197080292"/>
  </r>
  <r>
    <s v="Slupsk"/>
    <x v="57"/>
    <x v="121"/>
    <n v="2032"/>
    <n v="129"/>
    <n v="245"/>
    <n v="1.8992248062015504"/>
  </r>
  <r>
    <s v="Gdansk"/>
    <x v="21"/>
    <x v="122"/>
    <n v="2735"/>
    <n v="213"/>
    <n v="213"/>
    <n v="1"/>
  </r>
  <r>
    <s v="Koszalin"/>
    <x v="16"/>
    <x v="123"/>
    <n v="5467"/>
    <n v="168"/>
    <n v="336"/>
    <n v="2"/>
  </r>
  <r>
    <s v="Kolbaskowo"/>
    <x v="12"/>
    <x v="124"/>
    <n v="3691"/>
    <n v="170"/>
    <n v="525"/>
    <n v="3.0882352941176472"/>
  </r>
  <r>
    <s v="Gubin"/>
    <x v="58"/>
    <x v="125"/>
    <n v="3681"/>
    <n v="145"/>
    <n v="546"/>
    <n v="3.7655172413793103"/>
  </r>
  <r>
    <s v="Leszno"/>
    <x v="10"/>
    <x v="126"/>
    <n v="2256"/>
    <n v="146"/>
    <n v="315"/>
    <n v="2.1575342465753424"/>
  </r>
  <r>
    <s v="Konin"/>
    <x v="1"/>
    <x v="127"/>
    <n v="4602"/>
    <n v="120"/>
    <n v="288"/>
    <n v="2.4"/>
  </r>
  <r>
    <s v="Plock"/>
    <x v="10"/>
    <x v="128"/>
    <n v="4354"/>
    <n v="135"/>
    <n v="215"/>
    <n v="1.5925925925925926"/>
  </r>
  <r>
    <s v="Konin"/>
    <x v="47"/>
    <x v="129"/>
    <n v="4260"/>
    <n v="118"/>
    <n v="222"/>
    <n v="1.8813559322033899"/>
  </r>
  <r>
    <s v="Bydgoszcz"/>
    <x v="30"/>
    <x v="46"/>
    <n v="2800"/>
    <n v="98"/>
    <n v="108"/>
    <n v="1.1020408163265305"/>
  </r>
  <r>
    <s v="Wloclawek"/>
    <x v="19"/>
    <x v="130"/>
    <n v="2637"/>
    <n v="138"/>
    <n v="179"/>
    <n v="1.2971014492753623"/>
  </r>
  <r>
    <s v="Kalisz"/>
    <x v="18"/>
    <x v="87"/>
    <n v="5651"/>
    <n v="116"/>
    <n v="141"/>
    <n v="1.2155172413793103"/>
  </r>
  <r>
    <s v="Poznan"/>
    <x v="38"/>
    <x v="131"/>
    <n v="2511"/>
    <n v="120"/>
    <n v="438"/>
    <n v="3.65"/>
  </r>
  <r>
    <s v="Przemysl"/>
    <x v="57"/>
    <x v="132"/>
    <n v="2448"/>
    <n v="744"/>
    <n v="2887"/>
    <n v="3.8803763440860215"/>
  </r>
  <r>
    <s v="Suwalki"/>
    <x v="59"/>
    <x v="133"/>
    <n v="3414"/>
    <n v="114"/>
    <n v="301"/>
    <n v="2.6403508771929824"/>
  </r>
  <r>
    <s v="Slupsk"/>
    <x v="60"/>
    <x v="134"/>
    <n v="4039"/>
    <n v="204"/>
    <n v="614"/>
    <n v="3.0098039215686274"/>
  </r>
  <r>
    <s v="Elblag"/>
    <x v="56"/>
    <x v="135"/>
    <n v="5862"/>
    <n v="202"/>
    <n v="518"/>
    <n v="2.5643564356435644"/>
  </r>
  <r>
    <s v="Zamosc"/>
    <x v="48"/>
    <x v="136"/>
    <n v="3077"/>
    <n v="148"/>
    <n v="454"/>
    <n v="3.0675675675675675"/>
  </r>
  <r>
    <s v="Biala Podlaska"/>
    <x v="17"/>
    <x v="137"/>
    <n v="5569"/>
    <n v="604"/>
    <n v="1446"/>
    <n v="2.3940397350993377"/>
  </r>
  <r>
    <s v="Gorzow Wielkopolski"/>
    <x v="38"/>
    <x v="59"/>
    <n v="4513"/>
    <n v="114"/>
    <n v="125"/>
    <n v="1.0964912280701755"/>
  </r>
  <r>
    <s v="Katowice"/>
    <x v="31"/>
    <x v="138"/>
    <n v="2771"/>
    <n v="239"/>
    <n v="396"/>
    <n v="1.6569037656903767"/>
  </r>
  <r>
    <s v="Barwinek"/>
    <x v="32"/>
    <x v="139"/>
    <n v="1079"/>
    <n v="438"/>
    <n v="899"/>
    <n v="2.0525114155251143"/>
  </r>
  <r>
    <s v="Sieradz"/>
    <x v="22"/>
    <x v="140"/>
    <n v="3126"/>
    <n v="124"/>
    <n v="317"/>
    <n v="2.556451612903226"/>
  </r>
  <r>
    <s v="Czestochowa"/>
    <x v="47"/>
    <x v="141"/>
    <n v="3650"/>
    <n v="137"/>
    <n v="308"/>
    <n v="2.2481751824817517"/>
  </r>
  <r>
    <s v="Biala Podlaska"/>
    <x v="61"/>
    <x v="142"/>
    <n v="5721"/>
    <n v="122"/>
    <n v="280"/>
    <n v="2.2950819672131146"/>
  </r>
  <r>
    <s v="Chelm"/>
    <x v="37"/>
    <x v="143"/>
    <n v="5759"/>
    <n v="175"/>
    <n v="297"/>
    <n v="1.6971428571428571"/>
  </r>
  <r>
    <s v="Radom"/>
    <x v="46"/>
    <x v="88"/>
    <n v="2871"/>
    <n v="113"/>
    <n v="110"/>
    <n v="0.97345132743362828"/>
  </r>
  <r>
    <s v="Plock"/>
    <x v="2"/>
    <x v="2"/>
    <n v="3571"/>
    <n v="162"/>
    <n v="292"/>
    <n v="1.8024691358024691"/>
  </r>
  <r>
    <s v="Ostroleka"/>
    <x v="46"/>
    <x v="144"/>
    <n v="3061"/>
    <n v="107"/>
    <n v="258"/>
    <n v="2.4112149532710281"/>
  </r>
  <r>
    <s v="Warszawa"/>
    <x v="62"/>
    <x v="145"/>
    <n v="5336"/>
    <n v="107"/>
    <n v="171"/>
    <n v="1.5981308411214954"/>
  </r>
  <r>
    <s v="Piotrkow Trybunalski"/>
    <x v="25"/>
    <x v="146"/>
    <n v="5658"/>
    <n v="249"/>
    <n v="967"/>
    <n v="3.8835341365461846"/>
  </r>
  <r>
    <s v="Jakuszyce"/>
    <x v="15"/>
    <x v="69"/>
    <n v="2697"/>
    <n v="209"/>
    <n v="699"/>
    <n v="3.3444976076555024"/>
  </r>
  <r>
    <s v="Kostrzyn"/>
    <x v="38"/>
    <x v="147"/>
    <n v="5368"/>
    <n v="122"/>
    <n v="491"/>
    <n v="4.0245901639344259"/>
  </r>
  <r>
    <s v="Zielona Gora"/>
    <x v="18"/>
    <x v="60"/>
    <n v="2706"/>
    <n v="137"/>
    <n v="292"/>
    <n v="2.1313868613138687"/>
  </r>
  <r>
    <s v="Lublin"/>
    <x v="38"/>
    <x v="148"/>
    <n v="3456"/>
    <n v="542"/>
    <n v="1891"/>
    <n v="3.4889298892988929"/>
  </r>
  <r>
    <s v="Zielona Gora"/>
    <x v="18"/>
    <x v="60"/>
    <n v="1914"/>
    <n v="138"/>
    <n v="405"/>
    <n v="2.9347826086956523"/>
  </r>
  <r>
    <s v="Poznan"/>
    <x v="12"/>
    <x v="149"/>
    <n v="1134"/>
    <n v="95"/>
    <n v="115"/>
    <n v="1.2105263157894737"/>
  </r>
  <r>
    <s v="Pila"/>
    <x v="15"/>
    <x v="150"/>
    <n v="2935"/>
    <n v="160"/>
    <n v="275"/>
    <n v="1.71875"/>
  </r>
  <r>
    <s v="Kostrzyn"/>
    <x v="7"/>
    <x v="151"/>
    <n v="4379"/>
    <n v="93"/>
    <n v="147"/>
    <n v="1.5806451612903225"/>
  </r>
  <r>
    <s v="Opole"/>
    <x v="63"/>
    <x v="152"/>
    <n v="1328"/>
    <n v="148"/>
    <n v="516"/>
    <n v="3.4864864864864864"/>
  </r>
  <r>
    <s v="Slupsk"/>
    <x v="57"/>
    <x v="121"/>
    <n v="4133"/>
    <n v="130"/>
    <n v="398"/>
    <n v="3.0615384615384613"/>
  </r>
  <r>
    <s v="Kielce"/>
    <x v="10"/>
    <x v="153"/>
    <n v="5370"/>
    <n v="266"/>
    <n v="699"/>
    <n v="2.6278195488721803"/>
  </r>
  <r>
    <s v="Konin"/>
    <x v="1"/>
    <x v="127"/>
    <n v="4663"/>
    <n v="122"/>
    <n v="256"/>
    <n v="2.098360655737705"/>
  </r>
  <r>
    <s v="Plock"/>
    <x v="29"/>
    <x v="154"/>
    <n v="5151"/>
    <n v="151"/>
    <n v="195"/>
    <n v="1.2913907284768211"/>
  </r>
  <r>
    <s v="Bydgoszcz"/>
    <x v="10"/>
    <x v="155"/>
    <n v="3035"/>
    <n v="118"/>
    <n v="207"/>
    <n v="1.7542372881355932"/>
  </r>
  <r>
    <s v="Bezledy"/>
    <x v="5"/>
    <x v="156"/>
    <n v="1090"/>
    <n v="200"/>
    <n v="585"/>
    <n v="2.9249999999999998"/>
  </r>
  <r>
    <s v="Lomza"/>
    <x v="6"/>
    <x v="6"/>
    <n v="5746"/>
    <n v="145"/>
    <n v="214"/>
    <n v="1.4758620689655173"/>
  </r>
  <r>
    <s v="Tarnobrzeg"/>
    <x v="48"/>
    <x v="157"/>
    <n v="3200"/>
    <n v="138"/>
    <n v="417"/>
    <n v="3.0217391304347827"/>
  </r>
  <r>
    <s v="Przemysl"/>
    <x v="44"/>
    <x v="79"/>
    <n v="3586"/>
    <n v="155"/>
    <n v="290"/>
    <n v="1.8709677419354838"/>
  </r>
  <r>
    <s v="Barwinek"/>
    <x v="8"/>
    <x v="80"/>
    <n v="3460"/>
    <n v="145"/>
    <n v="162"/>
    <n v="1.1172413793103448"/>
  </r>
  <r>
    <s v="Chelm"/>
    <x v="37"/>
    <x v="143"/>
    <n v="1347"/>
    <n v="173"/>
    <n v="576"/>
    <n v="3.3294797687861273"/>
  </r>
  <r>
    <s v="Radom"/>
    <x v="47"/>
    <x v="158"/>
    <n v="2421"/>
    <n v="148"/>
    <n v="552"/>
    <n v="3.7297297297297298"/>
  </r>
  <r>
    <s v="Lodz"/>
    <x v="36"/>
    <x v="91"/>
    <n v="2939"/>
    <n v="125"/>
    <n v="307"/>
    <n v="2.456"/>
  </r>
  <r>
    <s v="Kielce"/>
    <x v="8"/>
    <x v="117"/>
    <n v="4921"/>
    <n v="124"/>
    <n v="472"/>
    <n v="3.806451612903226"/>
  </r>
  <r>
    <s v="Tarnow"/>
    <x v="27"/>
    <x v="159"/>
    <n v="3580"/>
    <n v="173"/>
    <n v="382"/>
    <n v="2.2080924855491331"/>
  </r>
  <r>
    <s v="Bielsko-Biala"/>
    <x v="64"/>
    <x v="160"/>
    <n v="5215"/>
    <n v="158"/>
    <n v="375"/>
    <n v="2.3734177215189876"/>
  </r>
  <r>
    <s v="Nowy Sacz"/>
    <x v="65"/>
    <x v="161"/>
    <n v="1369"/>
    <n v="170"/>
    <n v="276"/>
    <n v="1.6235294117647059"/>
  </r>
  <r>
    <s v="Rzeszow"/>
    <x v="54"/>
    <x v="162"/>
    <n v="1655"/>
    <n v="180"/>
    <n v="332"/>
    <n v="1.8444444444444446"/>
  </r>
  <r>
    <s v="Zielona Gora"/>
    <x v="49"/>
    <x v="163"/>
    <n v="2192"/>
    <n v="114"/>
    <n v="137"/>
    <n v="1.2017543859649122"/>
  </r>
  <r>
    <s v="Ciechanow"/>
    <x v="46"/>
    <x v="164"/>
    <n v="5919"/>
    <n v="103"/>
    <n v="279"/>
    <n v="2.70873786407767"/>
  </r>
  <r>
    <s v="Lublin"/>
    <x v="8"/>
    <x v="165"/>
    <n v="5986"/>
    <n v="222"/>
    <n v="501"/>
    <n v="2.2567567567567566"/>
  </r>
  <r>
    <s v="Tarnow"/>
    <x v="28"/>
    <x v="166"/>
    <n v="2750"/>
    <n v="144"/>
    <n v="422"/>
    <n v="2.9305555555555554"/>
  </r>
  <r>
    <s v="Zakopane"/>
    <x v="44"/>
    <x v="167"/>
    <n v="1381"/>
    <n v="192"/>
    <n v="556"/>
    <n v="2.8958333333333335"/>
  </r>
  <r>
    <s v="Lodz"/>
    <x v="46"/>
    <x v="168"/>
    <n v="2219"/>
    <n v="136"/>
    <n v="162"/>
    <n v="1.1911764705882353"/>
  </r>
  <r>
    <s v="Warszawa"/>
    <x v="62"/>
    <x v="145"/>
    <n v="5041"/>
    <n v="101"/>
    <n v="319"/>
    <n v="3.1584158415841586"/>
  </r>
  <r>
    <s v="Koszalin"/>
    <x v="13"/>
    <x v="169"/>
    <n v="4432"/>
    <n v="159"/>
    <n v="585"/>
    <n v="3.6792452830188678"/>
  </r>
  <r>
    <s v="Olsztyn"/>
    <x v="4"/>
    <x v="14"/>
    <n v="2761"/>
    <n v="129"/>
    <n v="288"/>
    <n v="2.2325581395348837"/>
  </r>
  <r>
    <s v="Ciechanow"/>
    <x v="0"/>
    <x v="170"/>
    <n v="2935"/>
    <n v="162"/>
    <n v="572"/>
    <n v="3.5308641975308643"/>
  </r>
  <r>
    <s v="Elblag"/>
    <x v="29"/>
    <x v="171"/>
    <n v="3565"/>
    <n v="176"/>
    <n v="224"/>
    <n v="1.2727272727272727"/>
  </r>
  <r>
    <s v="Plock"/>
    <x v="27"/>
    <x v="172"/>
    <n v="3096"/>
    <n v="353"/>
    <n v="993"/>
    <n v="2.8130311614730878"/>
  </r>
  <r>
    <s v="Barwinek"/>
    <x v="5"/>
    <x v="173"/>
    <n v="3325"/>
    <n v="517"/>
    <n v="1107"/>
    <n v="2.1411992263056092"/>
  </r>
  <r>
    <s v="Gubin"/>
    <x v="46"/>
    <x v="174"/>
    <n v="2563"/>
    <n v="480"/>
    <n v="1849"/>
    <n v="3.8520833333333333"/>
  </r>
  <r>
    <s v="Warszawa"/>
    <x v="37"/>
    <x v="175"/>
    <n v="2914"/>
    <n v="104"/>
    <n v="275"/>
    <n v="2.6442307692307692"/>
  </r>
  <r>
    <s v="Radom"/>
    <x v="20"/>
    <x v="84"/>
    <n v="2832"/>
    <n v="106"/>
    <n v="396"/>
    <n v="3.7358490566037736"/>
  </r>
  <r>
    <s v="Warszawa"/>
    <x v="33"/>
    <x v="176"/>
    <n v="5257"/>
    <n v="407"/>
    <n v="551"/>
    <n v="1.3538083538083538"/>
  </r>
  <r>
    <s v="Chalupki"/>
    <x v="33"/>
    <x v="177"/>
    <n v="5983"/>
    <n v="227"/>
    <n v="832"/>
    <n v="3.6651982378854626"/>
  </r>
  <r>
    <s v="Walbrzych"/>
    <x v="53"/>
    <x v="178"/>
    <n v="4378"/>
    <n v="187"/>
    <n v="653"/>
    <n v="3.4919786096256686"/>
  </r>
  <r>
    <s v="Olszyna"/>
    <x v="15"/>
    <x v="179"/>
    <n v="3108"/>
    <n v="114"/>
    <n v="174"/>
    <n v="1.5263157894736843"/>
  </r>
  <r>
    <s v="Kostrzyn"/>
    <x v="58"/>
    <x v="180"/>
    <n v="2133"/>
    <n v="166"/>
    <n v="513"/>
    <n v="3.0903614457831323"/>
  </r>
  <r>
    <s v="Zgorzelec"/>
    <x v="38"/>
    <x v="181"/>
    <n v="1125"/>
    <n v="98"/>
    <n v="194"/>
    <n v="1.9795918367346939"/>
  </r>
  <r>
    <s v="Zielona Gora"/>
    <x v="15"/>
    <x v="182"/>
    <n v="4375"/>
    <n v="140"/>
    <n v="134"/>
    <n v="0.95714285714285718"/>
  </r>
  <r>
    <s v="Wloclawek"/>
    <x v="4"/>
    <x v="183"/>
    <n v="5455"/>
    <n v="124"/>
    <n v="231"/>
    <n v="1.8629032258064515"/>
  </r>
  <r>
    <s v="Piotrkow Trybunalski"/>
    <x v="19"/>
    <x v="86"/>
    <n v="4649"/>
    <n v="125"/>
    <n v="356"/>
    <n v="2.8479999999999999"/>
  </r>
  <r>
    <s v="Kalisz"/>
    <x v="47"/>
    <x v="90"/>
    <n v="4016"/>
    <n v="115"/>
    <n v="145"/>
    <n v="1.2608695652173914"/>
  </r>
  <r>
    <s v="Lodz"/>
    <x v="22"/>
    <x v="184"/>
    <n v="1211"/>
    <n v="139"/>
    <n v="218"/>
    <n v="1.5683453237410072"/>
  </r>
  <r>
    <s v="Czestochowa"/>
    <x v="32"/>
    <x v="185"/>
    <n v="4633"/>
    <n v="120"/>
    <n v="280"/>
    <n v="2.3333333333333335"/>
  </r>
  <r>
    <s v="Sieradz"/>
    <x v="26"/>
    <x v="186"/>
    <n v="2488"/>
    <n v="144"/>
    <n v="252"/>
    <n v="1.75"/>
  </r>
  <r>
    <s v="Opole"/>
    <x v="63"/>
    <x v="152"/>
    <n v="5798"/>
    <n v="142"/>
    <n v="501"/>
    <n v="3.528169014084507"/>
  </r>
  <r>
    <s v="Sieradz"/>
    <x v="51"/>
    <x v="187"/>
    <n v="2918"/>
    <n v="181"/>
    <n v="289"/>
    <n v="1.5966850828729282"/>
  </r>
  <r>
    <s v="Leszno"/>
    <x v="49"/>
    <x v="188"/>
    <n v="1886"/>
    <n v="110"/>
    <n v="254"/>
    <n v="2.3090909090909091"/>
  </r>
  <r>
    <s v="Slupsk"/>
    <x v="57"/>
    <x v="121"/>
    <n v="4431"/>
    <n v="128"/>
    <n v="213"/>
    <n v="1.6640625"/>
  </r>
  <r>
    <s v="Gdansk"/>
    <x v="29"/>
    <x v="189"/>
    <n v="1956"/>
    <n v="176"/>
    <n v="248"/>
    <n v="1.4090909090909092"/>
  </r>
  <r>
    <s v="Gubin"/>
    <x v="17"/>
    <x v="58"/>
    <n v="4059"/>
    <n v="162"/>
    <n v="550"/>
    <n v="3.3950617283950617"/>
  </r>
  <r>
    <s v="Gorzow Wielkopolski"/>
    <x v="13"/>
    <x v="190"/>
    <n v="2157"/>
    <n v="115"/>
    <n v="182"/>
    <n v="1.5826086956521739"/>
  </r>
  <r>
    <s v="Szczecin"/>
    <x v="14"/>
    <x v="19"/>
    <n v="3353"/>
    <n v="117"/>
    <n v="312"/>
    <n v="2.6666666666666665"/>
  </r>
  <r>
    <s v="Swinoujscie"/>
    <x v="12"/>
    <x v="191"/>
    <n v="4677"/>
    <n v="219"/>
    <n v="255"/>
    <n v="1.1643835616438356"/>
  </r>
  <r>
    <s v="Pila"/>
    <x v="15"/>
    <x v="150"/>
    <n v="2059"/>
    <n v="164"/>
    <n v="630"/>
    <n v="3.8414634146341462"/>
  </r>
  <r>
    <s v="Plock"/>
    <x v="20"/>
    <x v="192"/>
    <n v="5537"/>
    <n v="141"/>
    <n v="240"/>
    <n v="1.7021276595744681"/>
  </r>
  <r>
    <s v="Piotrkow Trybunalski"/>
    <x v="46"/>
    <x v="193"/>
    <n v="2987"/>
    <n v="149"/>
    <n v="464"/>
    <n v="3.1140939597315436"/>
  </r>
  <r>
    <s v="Terespol"/>
    <x v="54"/>
    <x v="194"/>
    <n v="5570"/>
    <n v="166"/>
    <n v="577"/>
    <n v="3.4759036144578315"/>
  </r>
  <r>
    <s v="Lublin"/>
    <x v="66"/>
    <x v="195"/>
    <n v="3948"/>
    <n v="137"/>
    <n v="469"/>
    <n v="3.4233576642335768"/>
  </r>
  <r>
    <s v="Przemysl"/>
    <x v="46"/>
    <x v="196"/>
    <n v="4201"/>
    <n v="380"/>
    <n v="528"/>
    <n v="1.3894736842105264"/>
  </r>
  <r>
    <s v="Warszawa"/>
    <x v="4"/>
    <x v="197"/>
    <n v="3592"/>
    <n v="109"/>
    <n v="134"/>
    <n v="1.2293577981651376"/>
  </r>
  <r>
    <s v="Ciechanow"/>
    <x v="30"/>
    <x v="198"/>
    <n v="4543"/>
    <n v="135"/>
    <n v="345"/>
    <n v="2.5555555555555554"/>
  </r>
  <r>
    <s v="Ciechanow"/>
    <x v="2"/>
    <x v="199"/>
    <n v="1813"/>
    <n v="86"/>
    <n v="163"/>
    <n v="1.8953488372093024"/>
  </r>
  <r>
    <s v="Bielsko-Biala"/>
    <x v="39"/>
    <x v="200"/>
    <n v="4567"/>
    <n v="31"/>
    <n v="54"/>
    <n v="1.7419354838709677"/>
  </r>
  <r>
    <s v="Cieszyn"/>
    <x v="26"/>
    <x v="201"/>
    <n v="1830"/>
    <n v="152"/>
    <n v="301"/>
    <n v="1.9802631578947369"/>
  </r>
  <r>
    <s v="Opole"/>
    <x v="50"/>
    <x v="98"/>
    <n v="3678"/>
    <n v="104"/>
    <n v="275"/>
    <n v="2.6442307692307692"/>
  </r>
  <r>
    <s v="Tarnow"/>
    <x v="27"/>
    <x v="159"/>
    <n v="1782"/>
    <n v="171"/>
    <n v="193"/>
    <n v="1.128654970760234"/>
  </r>
  <r>
    <s v="Ciechanow"/>
    <x v="11"/>
    <x v="15"/>
    <n v="2966"/>
    <n v="125"/>
    <n v="170"/>
    <n v="1.36"/>
  </r>
  <r>
    <s v="Czestochowa"/>
    <x v="36"/>
    <x v="202"/>
    <n v="4746"/>
    <n v="131"/>
    <n v="245"/>
    <n v="1.8702290076335877"/>
  </r>
  <r>
    <s v="Opole"/>
    <x v="9"/>
    <x v="203"/>
    <n v="3161"/>
    <n v="101"/>
    <n v="115"/>
    <n v="1.1386138613861385"/>
  </r>
  <r>
    <s v="Lodz"/>
    <x v="59"/>
    <x v="204"/>
    <n v="3600"/>
    <n v="211"/>
    <n v="670"/>
    <n v="3.175355450236967"/>
  </r>
  <r>
    <s v="Bialystok"/>
    <x v="3"/>
    <x v="205"/>
    <n v="4093"/>
    <n v="119"/>
    <n v="254"/>
    <n v="2.134453781512605"/>
  </r>
  <r>
    <s v="Suwalki"/>
    <x v="2"/>
    <x v="206"/>
    <n v="1981"/>
    <n v="159"/>
    <n v="192"/>
    <n v="1.2075471698113207"/>
  </r>
  <r>
    <s v="Ostroleka"/>
    <x v="11"/>
    <x v="13"/>
    <n v="3154"/>
    <n v="127"/>
    <n v="390"/>
    <n v="3.0708661417322833"/>
  </r>
  <r>
    <s v="Plock"/>
    <x v="54"/>
    <x v="207"/>
    <n v="4876"/>
    <n v="280"/>
    <n v="688"/>
    <n v="2.4571428571428573"/>
  </r>
  <r>
    <s v="Lublin"/>
    <x v="66"/>
    <x v="195"/>
    <n v="5153"/>
    <n v="141"/>
    <n v="547"/>
    <n v="3.8794326241134751"/>
  </r>
  <r>
    <s v="Hrebenne"/>
    <x v="34"/>
    <x v="208"/>
    <n v="1720"/>
    <n v="122"/>
    <n v="363"/>
    <n v="2.9754098360655736"/>
  </r>
  <r>
    <s v="Medyka"/>
    <x v="40"/>
    <x v="66"/>
    <n v="5392"/>
    <n v="161"/>
    <n v="240"/>
    <n v="1.4906832298136645"/>
  </r>
  <r>
    <s v="Slupsk"/>
    <x v="13"/>
    <x v="209"/>
    <n v="1698"/>
    <n v="224"/>
    <n v="579"/>
    <n v="2.5848214285714284"/>
  </r>
  <r>
    <s v="Szczecin"/>
    <x v="12"/>
    <x v="210"/>
    <n v="3411"/>
    <n v="166"/>
    <n v="574"/>
    <n v="3.4578313253012047"/>
  </r>
  <r>
    <s v="Pila"/>
    <x v="18"/>
    <x v="25"/>
    <n v="5558"/>
    <n v="107"/>
    <n v="202"/>
    <n v="1.8878504672897196"/>
  </r>
  <r>
    <s v="Poznan"/>
    <x v="29"/>
    <x v="61"/>
    <n v="2592"/>
    <n v="136"/>
    <n v="325"/>
    <n v="2.3897058823529411"/>
  </r>
  <r>
    <s v="Bydgoszcz"/>
    <x v="57"/>
    <x v="211"/>
    <n v="5214"/>
    <n v="178"/>
    <n v="634"/>
    <n v="3.5617977528089888"/>
  </r>
  <r>
    <s v="Gdansk"/>
    <x v="29"/>
    <x v="189"/>
    <n v="5491"/>
    <n v="162"/>
    <n v="408"/>
    <n v="2.5185185185185186"/>
  </r>
  <r>
    <s v="Skierniewice"/>
    <x v="63"/>
    <x v="212"/>
    <n v="4594"/>
    <n v="443"/>
    <n v="1098"/>
    <n v="2.4785553047404063"/>
  </r>
  <r>
    <s v="Kudowa-Slone"/>
    <x v="26"/>
    <x v="41"/>
    <n v="1047"/>
    <n v="147"/>
    <n v="432"/>
    <n v="2.9387755102040818"/>
  </r>
  <r>
    <s v="Gubin"/>
    <x v="46"/>
    <x v="174"/>
    <n v="5517"/>
    <n v="494"/>
    <n v="1185"/>
    <n v="2.3987854251012144"/>
  </r>
  <r>
    <s v="Warszawa"/>
    <x v="4"/>
    <x v="197"/>
    <n v="4155"/>
    <n v="93"/>
    <n v="181"/>
    <n v="1.946236559139785"/>
  </r>
  <r>
    <s v="Legnica"/>
    <x v="38"/>
    <x v="213"/>
    <n v="2798"/>
    <n v="109"/>
    <n v="366"/>
    <n v="3.3577981651376145"/>
  </r>
  <r>
    <s v="Zielona Gora"/>
    <x v="49"/>
    <x v="163"/>
    <n v="4217"/>
    <n v="112"/>
    <n v="263"/>
    <n v="2.3482142857142856"/>
  </r>
  <r>
    <s v="Legnica"/>
    <x v="38"/>
    <x v="213"/>
    <n v="4327"/>
    <n v="109"/>
    <n v="196"/>
    <n v="1.798165137614679"/>
  </r>
  <r>
    <s v="Czestochowa"/>
    <x v="27"/>
    <x v="214"/>
    <n v="2555"/>
    <n v="124"/>
    <n v="150"/>
    <n v="1.2096774193548387"/>
  </r>
  <r>
    <s v="Bielsko-Biala"/>
    <x v="50"/>
    <x v="215"/>
    <n v="5150"/>
    <n v="104"/>
    <n v="435"/>
    <n v="4.1826923076923075"/>
  </r>
  <r>
    <s v="Przemysl"/>
    <x v="36"/>
    <x v="216"/>
    <n v="5697"/>
    <n v="257"/>
    <n v="717"/>
    <n v="2.7898832684824901"/>
  </r>
  <r>
    <s v="Kielce"/>
    <x v="35"/>
    <x v="217"/>
    <n v="3192"/>
    <n v="113"/>
    <n v="310"/>
    <n v="2.7433628318584069"/>
  </r>
  <r>
    <s v="Bielsko-Biala"/>
    <x v="46"/>
    <x v="218"/>
    <n v="2781"/>
    <n v="409"/>
    <n v="1436"/>
    <n v="3.511002444987775"/>
  </r>
  <r>
    <s v="Warszawa"/>
    <x v="1"/>
    <x v="219"/>
    <n v="1093"/>
    <n v="110"/>
    <n v="400"/>
    <n v="3.6363636363636362"/>
  </r>
  <r>
    <s v="Plock"/>
    <x v="10"/>
    <x v="128"/>
    <n v="2291"/>
    <n v="132"/>
    <n v="163"/>
    <n v="1.2348484848484849"/>
  </r>
  <r>
    <s v="Gubin"/>
    <x v="13"/>
    <x v="220"/>
    <n v="2962"/>
    <n v="170"/>
    <n v="273"/>
    <n v="1.6058823529411765"/>
  </r>
  <r>
    <s v="Torun"/>
    <x v="1"/>
    <x v="1"/>
    <n v="2939"/>
    <n v="110"/>
    <n v="279"/>
    <n v="2.5363636363636362"/>
  </r>
  <r>
    <s v="Plock"/>
    <x v="10"/>
    <x v="128"/>
    <n v="4981"/>
    <n v="138"/>
    <n v="455"/>
    <n v="3.2971014492753623"/>
  </r>
  <r>
    <s v="Konin"/>
    <x v="47"/>
    <x v="129"/>
    <n v="3436"/>
    <n v="114"/>
    <n v="370"/>
    <n v="3.2456140350877192"/>
  </r>
  <r>
    <s v="Lodz"/>
    <x v="36"/>
    <x v="91"/>
    <n v="2342"/>
    <n v="141"/>
    <n v="319"/>
    <n v="2.2624113475177303"/>
  </r>
  <r>
    <s v="Kielce"/>
    <x v="42"/>
    <x v="74"/>
    <n v="1981"/>
    <n v="126"/>
    <n v="396"/>
    <n v="3.1428571428571428"/>
  </r>
  <r>
    <s v="Krakow"/>
    <x v="39"/>
    <x v="221"/>
    <n v="5238"/>
    <n v="131"/>
    <n v="158"/>
    <n v="1.2061068702290076"/>
  </r>
  <r>
    <s v="Cieszyn"/>
    <x v="26"/>
    <x v="201"/>
    <n v="2823"/>
    <n v="156"/>
    <n v="280"/>
    <n v="1.7948717948717949"/>
  </r>
  <r>
    <s v="Opole"/>
    <x v="27"/>
    <x v="42"/>
    <n v="1173"/>
    <n v="139"/>
    <n v="475"/>
    <n v="3.4172661870503598"/>
  </r>
  <r>
    <s v="Bielsko-Biala"/>
    <x v="28"/>
    <x v="43"/>
    <n v="1465"/>
    <n v="121"/>
    <n v="193"/>
    <n v="1.5950413223140496"/>
  </r>
  <r>
    <s v="Zakopane"/>
    <x v="9"/>
    <x v="222"/>
    <n v="1572"/>
    <n v="159"/>
    <n v="476"/>
    <n v="2.9937106918238992"/>
  </r>
  <r>
    <s v="Katowice"/>
    <x v="28"/>
    <x v="118"/>
    <n v="4084"/>
    <n v="160"/>
    <n v="338"/>
    <n v="2.1124999999999998"/>
  </r>
  <r>
    <s v="Gubin"/>
    <x v="13"/>
    <x v="220"/>
    <n v="4635"/>
    <n v="163"/>
    <n v="359"/>
    <n v="2.2024539877300615"/>
  </r>
  <r>
    <s v="Gdansk"/>
    <x v="67"/>
    <x v="223"/>
    <n v="3705"/>
    <n v="182"/>
    <n v="760"/>
    <n v="4.1758241758241761"/>
  </r>
  <r>
    <s v="Olsztyn"/>
    <x v="27"/>
    <x v="224"/>
    <n v="5624"/>
    <n v="541"/>
    <n v="1198"/>
    <n v="2.2144177449168208"/>
  </r>
  <r>
    <s v="Bielsko-Biala"/>
    <x v="26"/>
    <x v="225"/>
    <n v="4157"/>
    <n v="151"/>
    <n v="168"/>
    <n v="1.1125827814569536"/>
  </r>
  <r>
    <s v="Opole"/>
    <x v="33"/>
    <x v="226"/>
    <n v="3021"/>
    <n v="137"/>
    <n v="323"/>
    <n v="2.3576642335766422"/>
  </r>
  <r>
    <s v="Walbrzych"/>
    <x v="58"/>
    <x v="227"/>
    <n v="3573"/>
    <n v="149"/>
    <n v="341"/>
    <n v="2.2885906040268456"/>
  </r>
  <r>
    <s v="Zgorzelec"/>
    <x v="7"/>
    <x v="228"/>
    <n v="4748"/>
    <n v="152"/>
    <n v="491"/>
    <n v="3.2302631578947367"/>
  </r>
  <r>
    <s v="Ciechanow"/>
    <x v="11"/>
    <x v="15"/>
    <n v="2293"/>
    <n v="126"/>
    <n v="219"/>
    <n v="1.73809523809523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3E7CB-F9C2-4798-B378-734A4D5F5F25}" name="Tabela przestawna3" cacheId="1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233" firstHeaderRow="1" firstDataRow="1" firstDataCol="1"/>
  <pivotFields count="7">
    <pivotField showAll="0"/>
    <pivotField showAll="0"/>
    <pivotField axis="axisRow" showAll="0">
      <items count="230">
        <item x="173"/>
        <item x="65"/>
        <item x="139"/>
        <item x="80"/>
        <item x="156"/>
        <item x="142"/>
        <item x="137"/>
        <item x="110"/>
        <item x="205"/>
        <item x="215"/>
        <item x="63"/>
        <item x="200"/>
        <item x="160"/>
        <item x="225"/>
        <item x="218"/>
        <item x="43"/>
        <item x="211"/>
        <item x="155"/>
        <item x="46"/>
        <item x="81"/>
        <item x="177"/>
        <item x="143"/>
        <item x="112"/>
        <item x="62"/>
        <item x="64"/>
        <item x="5"/>
        <item x="15"/>
        <item x="199"/>
        <item x="170"/>
        <item x="164"/>
        <item x="198"/>
        <item x="201"/>
        <item x="214"/>
        <item x="202"/>
        <item x="141"/>
        <item x="185"/>
        <item x="171"/>
        <item x="40"/>
        <item x="96"/>
        <item x="135"/>
        <item x="223"/>
        <item x="189"/>
        <item x="122"/>
        <item x="120"/>
        <item x="29"/>
        <item x="24"/>
        <item x="190"/>
        <item x="49"/>
        <item x="59"/>
        <item x="58"/>
        <item x="50"/>
        <item x="220"/>
        <item x="174"/>
        <item x="125"/>
        <item x="106"/>
        <item x="208"/>
        <item x="26"/>
        <item x="69"/>
        <item x="103"/>
        <item x="90"/>
        <item x="27"/>
        <item x="87"/>
        <item x="37"/>
        <item x="138"/>
        <item x="118"/>
        <item x="153"/>
        <item x="74"/>
        <item x="111"/>
        <item x="217"/>
        <item x="117"/>
        <item x="23"/>
        <item x="124"/>
        <item x="18"/>
        <item x="45"/>
        <item x="129"/>
        <item x="127"/>
        <item x="12"/>
        <item x="68"/>
        <item x="151"/>
        <item x="22"/>
        <item x="70"/>
        <item x="180"/>
        <item x="147"/>
        <item x="123"/>
        <item x="31"/>
        <item x="34"/>
        <item x="169"/>
        <item x="221"/>
        <item x="73"/>
        <item x="54"/>
        <item x="116"/>
        <item x="39"/>
        <item x="41"/>
        <item x="7"/>
        <item x="94"/>
        <item x="101"/>
        <item x="213"/>
        <item x="102"/>
        <item x="126"/>
        <item x="188"/>
        <item x="204"/>
        <item x="184"/>
        <item x="91"/>
        <item x="168"/>
        <item x="115"/>
        <item x="33"/>
        <item x="4"/>
        <item x="6"/>
        <item x="195"/>
        <item x="107"/>
        <item x="165"/>
        <item x="148"/>
        <item x="52"/>
        <item x="66"/>
        <item x="161"/>
        <item x="224"/>
        <item x="14"/>
        <item x="16"/>
        <item x="0"/>
        <item x="179"/>
        <item x="104"/>
        <item x="42"/>
        <item x="98"/>
        <item x="203"/>
        <item x="152"/>
        <item x="226"/>
        <item x="72"/>
        <item x="13"/>
        <item x="3"/>
        <item x="99"/>
        <item x="144"/>
        <item x="32"/>
        <item x="150"/>
        <item x="30"/>
        <item x="25"/>
        <item x="35"/>
        <item x="146"/>
        <item x="86"/>
        <item x="28"/>
        <item x="44"/>
        <item x="92"/>
        <item x="85"/>
        <item x="193"/>
        <item x="95"/>
        <item x="172"/>
        <item x="154"/>
        <item x="128"/>
        <item x="207"/>
        <item x="2"/>
        <item x="192"/>
        <item x="38"/>
        <item x="61"/>
        <item x="8"/>
        <item x="149"/>
        <item x="131"/>
        <item x="79"/>
        <item x="132"/>
        <item x="216"/>
        <item x="76"/>
        <item x="196"/>
        <item x="11"/>
        <item x="158"/>
        <item x="84"/>
        <item x="56"/>
        <item x="108"/>
        <item x="88"/>
        <item x="162"/>
        <item x="67"/>
        <item x="105"/>
        <item x="140"/>
        <item x="187"/>
        <item x="186"/>
        <item x="212"/>
        <item x="48"/>
        <item x="9"/>
        <item x="57"/>
        <item x="134"/>
        <item x="121"/>
        <item x="209"/>
        <item x="133"/>
        <item x="206"/>
        <item x="100"/>
        <item x="83"/>
        <item x="191"/>
        <item x="20"/>
        <item x="21"/>
        <item x="210"/>
        <item x="78"/>
        <item x="19"/>
        <item x="53"/>
        <item x="109"/>
        <item x="157"/>
        <item x="55"/>
        <item x="159"/>
        <item x="10"/>
        <item x="36"/>
        <item x="166"/>
        <item x="194"/>
        <item x="113"/>
        <item x="17"/>
        <item x="1"/>
        <item x="89"/>
        <item x="178"/>
        <item x="77"/>
        <item x="227"/>
        <item x="197"/>
        <item x="97"/>
        <item x="93"/>
        <item x="114"/>
        <item x="219"/>
        <item x="175"/>
        <item x="145"/>
        <item x="176"/>
        <item x="183"/>
        <item x="130"/>
        <item x="47"/>
        <item x="167"/>
        <item x="222"/>
        <item x="119"/>
        <item x="75"/>
        <item x="51"/>
        <item x="136"/>
        <item x="228"/>
        <item x="82"/>
        <item x="71"/>
        <item x="181"/>
        <item x="182"/>
        <item x="163"/>
        <item x="60"/>
        <item t="default"/>
      </items>
    </pivotField>
    <pivotField showAll="0"/>
    <pivotField showAll="0"/>
    <pivotField dataField="1" numFmtId="173" showAll="0"/>
    <pivotField numFmtId="173" showAll="0"/>
  </pivotFields>
  <rowFields count="1">
    <field x="2"/>
  </rowFields>
  <rowItems count="2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 t="grand">
      <x/>
    </i>
  </rowItems>
  <colItems count="1">
    <i/>
  </colItems>
  <dataFields count="1">
    <dataField name="Suma z Cena" fld="5" baseField="0" baseItem="0" numFmtId="17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37A04-8C4D-421F-98E4-038411F5F57C}" name="Tabela przestawna4" cacheId="1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3" rowHeaderCaption="Koniec">
  <location ref="A3:B72" firstHeaderRow="1" firstDataRow="1" firstDataCol="1"/>
  <pivotFields count="7">
    <pivotField showAll="0"/>
    <pivotField axis="axisRow" showAll="0" sortType="descending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0">
        <item x="173"/>
        <item x="65"/>
        <item x="139"/>
        <item x="80"/>
        <item x="156"/>
        <item x="142"/>
        <item x="137"/>
        <item x="110"/>
        <item x="205"/>
        <item x="215"/>
        <item x="63"/>
        <item x="200"/>
        <item x="160"/>
        <item x="225"/>
        <item x="218"/>
        <item x="43"/>
        <item x="211"/>
        <item x="155"/>
        <item x="46"/>
        <item x="81"/>
        <item x="177"/>
        <item x="143"/>
        <item x="112"/>
        <item x="62"/>
        <item x="64"/>
        <item x="5"/>
        <item x="15"/>
        <item x="199"/>
        <item x="170"/>
        <item x="164"/>
        <item x="198"/>
        <item x="201"/>
        <item x="214"/>
        <item x="202"/>
        <item x="141"/>
        <item x="185"/>
        <item x="171"/>
        <item x="40"/>
        <item x="96"/>
        <item x="135"/>
        <item x="223"/>
        <item x="189"/>
        <item x="122"/>
        <item x="120"/>
        <item x="29"/>
        <item x="24"/>
        <item x="190"/>
        <item x="49"/>
        <item x="59"/>
        <item x="58"/>
        <item x="50"/>
        <item x="220"/>
        <item x="174"/>
        <item x="125"/>
        <item x="106"/>
        <item x="208"/>
        <item x="26"/>
        <item x="69"/>
        <item x="103"/>
        <item x="90"/>
        <item x="27"/>
        <item x="87"/>
        <item x="37"/>
        <item x="138"/>
        <item x="118"/>
        <item x="153"/>
        <item x="74"/>
        <item x="111"/>
        <item x="217"/>
        <item x="117"/>
        <item x="23"/>
        <item x="124"/>
        <item x="18"/>
        <item x="45"/>
        <item x="129"/>
        <item x="127"/>
        <item x="12"/>
        <item x="68"/>
        <item x="151"/>
        <item x="22"/>
        <item x="70"/>
        <item x="180"/>
        <item x="147"/>
        <item x="123"/>
        <item x="31"/>
        <item x="34"/>
        <item x="169"/>
        <item x="221"/>
        <item x="73"/>
        <item x="54"/>
        <item x="116"/>
        <item x="39"/>
        <item x="41"/>
        <item x="7"/>
        <item x="94"/>
        <item x="101"/>
        <item x="213"/>
        <item x="102"/>
        <item x="126"/>
        <item x="188"/>
        <item x="204"/>
        <item x="184"/>
        <item x="91"/>
        <item x="168"/>
        <item x="115"/>
        <item x="33"/>
        <item x="4"/>
        <item x="6"/>
        <item x="195"/>
        <item x="107"/>
        <item x="165"/>
        <item x="148"/>
        <item x="52"/>
        <item x="66"/>
        <item x="161"/>
        <item x="224"/>
        <item x="14"/>
        <item x="16"/>
        <item x="0"/>
        <item x="179"/>
        <item x="104"/>
        <item x="42"/>
        <item x="98"/>
        <item x="203"/>
        <item x="152"/>
        <item x="226"/>
        <item x="72"/>
        <item x="13"/>
        <item x="3"/>
        <item x="99"/>
        <item x="144"/>
        <item x="32"/>
        <item x="150"/>
        <item x="30"/>
        <item x="25"/>
        <item x="35"/>
        <item x="146"/>
        <item x="86"/>
        <item x="28"/>
        <item x="44"/>
        <item x="92"/>
        <item x="85"/>
        <item x="193"/>
        <item x="95"/>
        <item x="172"/>
        <item x="154"/>
        <item x="128"/>
        <item x="207"/>
        <item x="2"/>
        <item x="192"/>
        <item x="38"/>
        <item x="61"/>
        <item x="8"/>
        <item x="149"/>
        <item x="131"/>
        <item x="79"/>
        <item x="132"/>
        <item x="216"/>
        <item x="76"/>
        <item x="196"/>
        <item x="11"/>
        <item x="158"/>
        <item x="84"/>
        <item x="56"/>
        <item x="108"/>
        <item x="88"/>
        <item x="162"/>
        <item x="67"/>
        <item x="105"/>
        <item x="140"/>
        <item x="187"/>
        <item x="186"/>
        <item x="212"/>
        <item x="48"/>
        <item x="9"/>
        <item x="57"/>
        <item x="134"/>
        <item x="121"/>
        <item x="209"/>
        <item x="133"/>
        <item x="206"/>
        <item x="100"/>
        <item x="83"/>
        <item x="191"/>
        <item x="20"/>
        <item x="21"/>
        <item x="210"/>
        <item x="78"/>
        <item x="19"/>
        <item x="53"/>
        <item x="109"/>
        <item x="157"/>
        <item x="55"/>
        <item x="159"/>
        <item x="10"/>
        <item x="36"/>
        <item x="166"/>
        <item x="194"/>
        <item x="113"/>
        <item x="17"/>
        <item x="1"/>
        <item x="89"/>
        <item x="178"/>
        <item x="77"/>
        <item x="227"/>
        <item x="197"/>
        <item x="97"/>
        <item x="93"/>
        <item x="114"/>
        <item x="219"/>
        <item x="175"/>
        <item x="145"/>
        <item x="176"/>
        <item x="183"/>
        <item x="130"/>
        <item x="47"/>
        <item x="167"/>
        <item x="222"/>
        <item x="119"/>
        <item x="75"/>
        <item x="51"/>
        <item x="136"/>
        <item x="228"/>
        <item x="82"/>
        <item x="71"/>
        <item x="181"/>
        <item x="182"/>
        <item x="163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73" showAll="0"/>
    <pivotField numFmtId="173" showAll="0"/>
  </pivotFields>
  <rowFields count="1">
    <field x="1"/>
  </rowFields>
  <rowItems count="69">
    <i>
      <x v="61"/>
    </i>
    <i>
      <x v="55"/>
    </i>
    <i>
      <x v="4"/>
    </i>
    <i>
      <x v="23"/>
    </i>
    <i>
      <x v="41"/>
    </i>
    <i>
      <x v="21"/>
    </i>
    <i>
      <x v="44"/>
    </i>
    <i>
      <x v="24"/>
    </i>
    <i>
      <x v="9"/>
    </i>
    <i>
      <x v="67"/>
    </i>
    <i>
      <x v="39"/>
    </i>
    <i>
      <x v="62"/>
    </i>
    <i>
      <x v="59"/>
    </i>
    <i>
      <x v="57"/>
    </i>
    <i>
      <x v="5"/>
    </i>
    <i>
      <x v="42"/>
    </i>
    <i>
      <x v="32"/>
    </i>
    <i>
      <x v="37"/>
    </i>
    <i>
      <x v="64"/>
    </i>
    <i>
      <x v="20"/>
    </i>
    <i>
      <x v="46"/>
    </i>
    <i>
      <x v="40"/>
    </i>
    <i>
      <x v="65"/>
    </i>
    <i>
      <x v="49"/>
    </i>
    <i>
      <x v="19"/>
    </i>
    <i>
      <x v="43"/>
    </i>
    <i>
      <x v="30"/>
    </i>
    <i>
      <x v="13"/>
    </i>
    <i>
      <x v="56"/>
    </i>
    <i>
      <x v="60"/>
    </i>
    <i>
      <x v="33"/>
    </i>
    <i>
      <x v="35"/>
    </i>
    <i>
      <x v="26"/>
    </i>
    <i>
      <x v="14"/>
    </i>
    <i>
      <x v="11"/>
    </i>
    <i>
      <x v="34"/>
    </i>
    <i>
      <x v="15"/>
    </i>
    <i>
      <x/>
    </i>
    <i>
      <x v="54"/>
    </i>
    <i>
      <x v="53"/>
    </i>
    <i>
      <x v="29"/>
    </i>
    <i>
      <x v="8"/>
    </i>
    <i>
      <x v="10"/>
    </i>
    <i>
      <x v="28"/>
    </i>
    <i>
      <x v="52"/>
    </i>
    <i>
      <x v="66"/>
    </i>
    <i>
      <x v="45"/>
    </i>
    <i>
      <x v="50"/>
    </i>
    <i>
      <x v="6"/>
    </i>
    <i>
      <x v="25"/>
    </i>
    <i>
      <x v="31"/>
    </i>
    <i>
      <x v="48"/>
    </i>
    <i>
      <x v="51"/>
    </i>
    <i>
      <x v="3"/>
    </i>
    <i>
      <x v="16"/>
    </i>
    <i>
      <x v="38"/>
    </i>
    <i>
      <x v="22"/>
    </i>
    <i>
      <x v="17"/>
    </i>
    <i>
      <x v="2"/>
    </i>
    <i>
      <x v="63"/>
    </i>
    <i>
      <x v="1"/>
    </i>
    <i>
      <x v="7"/>
    </i>
    <i>
      <x v="12"/>
    </i>
    <i>
      <x v="36"/>
    </i>
    <i>
      <x v="47"/>
    </i>
    <i>
      <x v="18"/>
    </i>
    <i>
      <x v="27"/>
    </i>
    <i>
      <x v="58"/>
    </i>
    <i t="grand">
      <x/>
    </i>
  </rowItems>
  <colItems count="1">
    <i/>
  </colItems>
  <dataFields count="1">
    <dataField name="Liczba kursów" fld="5" subtotal="count" baseField="1" baseItem="3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BC69ED17-8863-4D4B-AD34-ED35A358357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2" xr16:uid="{AF608EF5-9BA6-49AE-971B-3AFC0E828E3D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2" name="Poczatek" tableColumnId="2"/>
      <queryTableField id="3" name="Koniec" tableColumnId="3"/>
      <queryTableField id="8" dataBound="0" tableColumnId="8"/>
      <queryTableField id="4" name="Waga" tableColumnId="4"/>
      <queryTableField id="5" name="Odleglosc" tableColumnId="5"/>
      <queryTableField id="6" name="Cena" tableColumnId="6"/>
      <queryTableField id="7" dataBound="0" tableColumnId="7"/>
    </queryTableFields>
    <queryTableDeletedFields count="1">
      <deletedField name="Data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3" xr16:uid="{0EC3CC6E-FAF5-4E90-9795-1B801846E86B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C4EA2-DFC1-4A6C-A8BA-42700118D028}" name="kursy" displayName="kursy" ref="A1:G301" tableType="queryTable" totalsRowShown="0">
  <autoFilter ref="A1:G301" xr:uid="{02C725B5-1E84-454F-8236-4678DC51DBDE}"/>
  <tableColumns count="7">
    <tableColumn id="1" xr3:uid="{4E55B59E-53BB-42BB-A157-375F3EA9E17B}" uniqueName="1" name="Data" queryTableFieldId="1" dataDxfId="15"/>
    <tableColumn id="2" xr3:uid="{85847C2D-65E3-4A27-A4E1-9B36E54C8B07}" uniqueName="2" name="Poczatek" queryTableFieldId="2" dataDxfId="14"/>
    <tableColumn id="3" xr3:uid="{A620F029-7E9C-4A00-8E99-068CF48049C0}" uniqueName="3" name="Koniec" queryTableFieldId="3" dataDxfId="13"/>
    <tableColumn id="4" xr3:uid="{CA7B9905-398A-40DF-AA2F-12C21377F401}" uniqueName="4" name="Waga" queryTableFieldId="4"/>
    <tableColumn id="5" xr3:uid="{16C3536A-07F2-4730-8745-D3B4D16EAC52}" uniqueName="5" name="Odleglosc" queryTableFieldId="5"/>
    <tableColumn id="6" xr3:uid="{AA5C7199-1D08-49E9-B694-072BB39D3BC0}" uniqueName="6" name="Cena" queryTableFieldId="6" dataDxfId="11"/>
    <tableColumn id="7" xr3:uid="{50ADD341-6E19-421C-B481-B2710F963876}" uniqueName="7" name="Stawka" queryTableFieldId="7" dataDxfId="12">
      <calculatedColumnFormula>kursy[[#This Row],[Cena]]/kursy[[#This Row],[Odleglosc]]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B5673-2176-4569-8982-75342F726864}" name="kursy3" displayName="kursy3" ref="A1:G301" tableType="queryTable" totalsRowShown="0">
  <autoFilter ref="A1:G301" xr:uid="{DC6076F3-FD98-49A0-84BE-8FAF2DFF8BE3}"/>
  <tableColumns count="7">
    <tableColumn id="2" xr3:uid="{FACA66B7-525E-4E4C-9EB8-FFB7C4521F7E}" uniqueName="2" name="Poczatek" queryTableFieldId="2" dataDxfId="10"/>
    <tableColumn id="3" xr3:uid="{38317A29-6D0A-4845-B7E2-A51D2453F9C3}" uniqueName="3" name="Koniec" queryTableFieldId="3" dataDxfId="9"/>
    <tableColumn id="8" xr3:uid="{FC6507FF-7131-4409-8592-DE64EB0896F8}" uniqueName="8" name="Typ" queryTableFieldId="8" dataDxfId="6">
      <calculatedColumnFormula>_xlfn.CONCAT(kursy3[[#This Row],[Poczatek]]," -&gt; ",kursy3[[#This Row],[Koniec]])</calculatedColumnFormula>
    </tableColumn>
    <tableColumn id="4" xr3:uid="{AD4CCCD6-39BF-4304-A36E-243BEDCB81BF}" uniqueName="4" name="Waga" queryTableFieldId="4"/>
    <tableColumn id="5" xr3:uid="{8BCD3D95-81C3-46BD-B73C-C7A89A856687}" uniqueName="5" name="Odleglosc" queryTableFieldId="5"/>
    <tableColumn id="6" xr3:uid="{A95729B3-B4FE-47ED-A11A-01958AD73B23}" uniqueName="6" name="Cena" queryTableFieldId="6" dataDxfId="8"/>
    <tableColumn id="7" xr3:uid="{773D895F-CB57-42E1-A8D2-148226C18C18}" uniqueName="7" name="Stawka" queryTableFieldId="7" dataDxfId="7">
      <calculatedColumnFormula>kursy3[[#This Row],[Cena]]/kursy3[[#This Row],[Odleglosc]]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16CEA1-1000-42E4-B393-9DBB04B64ACB}" name="kursy4" displayName="kursy4" ref="A1:H301" tableType="queryTable" totalsRowShown="0">
  <autoFilter ref="A1:H301" xr:uid="{424B33AF-04DA-44F6-B8F4-2253E39CF865}"/>
  <tableColumns count="8">
    <tableColumn id="1" xr3:uid="{403A15F1-B11B-45E9-8E76-034B9DD58693}" uniqueName="1" name="Data" queryTableFieldId="1" dataDxfId="4"/>
    <tableColumn id="2" xr3:uid="{53F74AE3-4C8E-4721-84EF-1D15E32677F4}" uniqueName="2" name="Poczatek" queryTableFieldId="2" dataDxfId="3"/>
    <tableColumn id="3" xr3:uid="{10A0719A-2E0E-42E1-8A76-251FA8626129}" uniqueName="3" name="Koniec" queryTableFieldId="3" dataDxfId="2"/>
    <tableColumn id="4" xr3:uid="{375ED6C5-368A-48F7-A27E-ED39EE2F892C}" uniqueName="4" name="Waga" queryTableFieldId="4"/>
    <tableColumn id="5" xr3:uid="{BAB8FE7C-D3E9-4585-898D-7C2F760D57DB}" uniqueName="5" name="Odleglosc" queryTableFieldId="5"/>
    <tableColumn id="6" xr3:uid="{BF642C98-E6B0-4C77-AF87-4FA651472564}" uniqueName="6" name="Cena" queryTableFieldId="6" dataDxfId="1"/>
    <tableColumn id="7" xr3:uid="{74BA7BAD-9B7C-4409-8459-649C646E9029}" uniqueName="7" name="Stawka" queryTableFieldId="7" dataDxfId="0">
      <calculatedColumnFormula>kursy4[[#This Row],[Cena]]/kursy4[[#This Row],[Odleglosc]]</calculatedColumnFormula>
    </tableColumn>
    <tableColumn id="8" xr3:uid="{1F642A00-59A1-415B-8FC8-BF587427F13A}" uniqueName="8" name="Długość ciągu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A864-FB83-4675-B5F6-F9FAF134C36C}">
  <dimension ref="A1:L301"/>
  <sheetViews>
    <sheetView topLeftCell="A264" workbookViewId="0">
      <selection sqref="A1:G301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9.85546875" style="3" bestFit="1" customWidth="1"/>
    <col min="7" max="7" width="17.42578125" style="3" customWidth="1"/>
    <col min="10" max="10" width="10.85546875" bestFit="1" customWidth="1"/>
    <col min="11" max="11" width="14.7109375" customWidth="1"/>
    <col min="12" max="12" width="16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</row>
    <row r="2" spans="1:12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 s="3">
        <v>206</v>
      </c>
      <c r="G2" s="3">
        <f>kursy[[#This Row],[Cena]]/kursy[[#This Row],[Odleglosc]]</f>
        <v>1.2335329341317365</v>
      </c>
    </row>
    <row r="3" spans="1:12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 s="3">
        <v>280</v>
      </c>
      <c r="G3" s="3">
        <f>kursy[[#This Row],[Cena]]/kursy[[#This Row],[Odleglosc]]</f>
        <v>2.5</v>
      </c>
      <c r="I3" s="4" t="s">
        <v>75</v>
      </c>
      <c r="J3" s="5" t="s">
        <v>76</v>
      </c>
      <c r="K3" s="5" t="s">
        <v>78</v>
      </c>
      <c r="L3" s="5" t="s">
        <v>2</v>
      </c>
    </row>
    <row r="4" spans="1:12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 s="3">
        <v>624</v>
      </c>
      <c r="G4" s="3">
        <f>kursy[[#This Row],[Cena]]/kursy[[#This Row],[Odleglosc]]</f>
        <v>3.7365269461077846</v>
      </c>
      <c r="J4" s="6">
        <f>MAX(kursy[Stawka])</f>
        <v>4.260416666666667</v>
      </c>
      <c r="K4" s="5" t="str">
        <f ca="1">INDIRECT("B"&amp;($J$7+1))</f>
        <v>Tarnobrzeg</v>
      </c>
      <c r="L4" s="5" t="str">
        <f ca="1">INDIRECT("C"&amp;($J$7+1))</f>
        <v>Kielce</v>
      </c>
    </row>
    <row r="5" spans="1:12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 s="3">
        <v>390</v>
      </c>
      <c r="G5" s="3">
        <f>kursy[[#This Row],[Cena]]/kursy[[#This Row],[Odleglosc]]</f>
        <v>2.3353293413173652</v>
      </c>
    </row>
    <row r="6" spans="1:12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 s="3">
        <v>219</v>
      </c>
      <c r="G6" s="3">
        <f>kursy[[#This Row],[Cena]]/kursy[[#This Row],[Odleglosc]]</f>
        <v>1.8559322033898304</v>
      </c>
      <c r="I6" t="s">
        <v>79</v>
      </c>
      <c r="J6" t="s">
        <v>77</v>
      </c>
    </row>
    <row r="7" spans="1:12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 s="3">
        <v>160</v>
      </c>
      <c r="G7" s="3">
        <f>kursy[[#This Row],[Cena]]/kursy[[#This Row],[Odleglosc]]</f>
        <v>1.415929203539823</v>
      </c>
      <c r="J7">
        <f>MATCH(J4,kursy[Stawka],0)</f>
        <v>62</v>
      </c>
    </row>
    <row r="8" spans="1:12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 s="3">
        <v>168</v>
      </c>
      <c r="G8" s="3">
        <f>kursy[[#This Row],[Cena]]/kursy[[#This Row],[Odleglosc]]</f>
        <v>1.1914893617021276</v>
      </c>
    </row>
    <row r="9" spans="1:12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 s="3">
        <v>533</v>
      </c>
      <c r="G9" s="3">
        <f>kursy[[#This Row],[Cena]]/kursy[[#This Row],[Odleglosc]]</f>
        <v>2.977653631284916</v>
      </c>
      <c r="I9" s="4" t="s">
        <v>80</v>
      </c>
      <c r="J9" s="5" t="s">
        <v>81</v>
      </c>
    </row>
    <row r="10" spans="1:12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 s="3">
        <v>209</v>
      </c>
      <c r="G10" s="3">
        <f>kursy[[#This Row],[Cena]]/kursy[[#This Row],[Odleglosc]]</f>
        <v>1.2590361445783131</v>
      </c>
      <c r="J10" s="6">
        <f>SUMIF(kursy[Odleglosc],"&gt;400",kursy[Cena])</f>
        <v>21108</v>
      </c>
    </row>
    <row r="11" spans="1:12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 s="3">
        <v>696</v>
      </c>
      <c r="G11" s="3">
        <f>kursy[[#This Row],[Cena]]/kursy[[#This Row],[Odleglosc]]</f>
        <v>3.5510204081632653</v>
      </c>
    </row>
    <row r="12" spans="1:12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 s="3">
        <v>1113</v>
      </c>
      <c r="G12" s="3">
        <f>kursy[[#This Row],[Cena]]/kursy[[#This Row],[Odleglosc]]</f>
        <v>3.71</v>
      </c>
    </row>
    <row r="13" spans="1:12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 s="3">
        <v>494</v>
      </c>
      <c r="G13" s="3">
        <f>kursy[[#This Row],[Cena]]/kursy[[#This Row],[Odleglosc]]</f>
        <v>3.3378378378378377</v>
      </c>
    </row>
    <row r="14" spans="1:12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 s="3">
        <v>602</v>
      </c>
      <c r="G14" s="3">
        <f>kursy[[#This Row],[Cena]]/kursy[[#This Row],[Odleglosc]]</f>
        <v>2.2546816479400751</v>
      </c>
    </row>
    <row r="15" spans="1:12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 s="3">
        <v>422</v>
      </c>
      <c r="G15" s="3">
        <f>kursy[[#This Row],[Cena]]/kursy[[#This Row],[Odleglosc]]</f>
        <v>3.8363636363636364</v>
      </c>
    </row>
    <row r="16" spans="1:12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 s="3">
        <v>312</v>
      </c>
      <c r="G16" s="3">
        <f>kursy[[#This Row],[Cena]]/kursy[[#This Row],[Odleglosc]]</f>
        <v>1.8034682080924855</v>
      </c>
    </row>
    <row r="17" spans="1:7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 s="3">
        <v>421</v>
      </c>
      <c r="G17" s="3">
        <f>kursy[[#This Row],[Cena]]/kursy[[#This Row],[Odleglosc]]</f>
        <v>3.3149606299212597</v>
      </c>
    </row>
    <row r="18" spans="1:7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 s="3">
        <v>416</v>
      </c>
      <c r="G18" s="3">
        <f>kursy[[#This Row],[Cena]]/kursy[[#This Row],[Odleglosc]]</f>
        <v>3.5254237288135593</v>
      </c>
    </row>
    <row r="19" spans="1:7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 s="3">
        <v>291</v>
      </c>
      <c r="G19" s="3">
        <f>kursy[[#This Row],[Cena]]/kursy[[#This Row],[Odleglosc]]</f>
        <v>2.5304347826086957</v>
      </c>
    </row>
    <row r="20" spans="1:7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 s="3">
        <v>550</v>
      </c>
      <c r="G20" s="3">
        <f>kursy[[#This Row],[Cena]]/kursy[[#This Row],[Odleglosc]]</f>
        <v>3.3536585365853657</v>
      </c>
    </row>
    <row r="21" spans="1:7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 s="3">
        <v>373</v>
      </c>
      <c r="G21" s="3">
        <f>kursy[[#This Row],[Cena]]/kursy[[#This Row],[Odleglosc]]</f>
        <v>3.0826446280991737</v>
      </c>
    </row>
    <row r="22" spans="1:7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 s="3">
        <v>218</v>
      </c>
      <c r="G22" s="3">
        <f>kursy[[#This Row],[Cena]]/kursy[[#This Row],[Odleglosc]]</f>
        <v>1.7723577235772359</v>
      </c>
    </row>
    <row r="23" spans="1:7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 s="3">
        <v>655</v>
      </c>
      <c r="G23" s="3">
        <f>kursy[[#This Row],[Cena]]/kursy[[#This Row],[Odleglosc]]</f>
        <v>4.0184049079754605</v>
      </c>
    </row>
    <row r="24" spans="1:7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 s="3">
        <v>346</v>
      </c>
      <c r="G24" s="3">
        <f>kursy[[#This Row],[Cena]]/kursy[[#This Row],[Odleglosc]]</f>
        <v>2.6615384615384614</v>
      </c>
    </row>
    <row r="25" spans="1:7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 s="3">
        <v>68</v>
      </c>
      <c r="G25" s="3">
        <f>kursy[[#This Row],[Cena]]/kursy[[#This Row],[Odleglosc]]</f>
        <v>2.8333333333333335</v>
      </c>
    </row>
    <row r="26" spans="1:7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 s="3">
        <v>264</v>
      </c>
      <c r="G26" s="3">
        <f>kursy[[#This Row],[Cena]]/kursy[[#This Row],[Odleglosc]]</f>
        <v>2.2956521739130435</v>
      </c>
    </row>
    <row r="27" spans="1:7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 s="3">
        <v>424</v>
      </c>
      <c r="G27" s="3">
        <f>kursy[[#This Row],[Cena]]/kursy[[#This Row],[Odleglosc]]</f>
        <v>4.24</v>
      </c>
    </row>
    <row r="28" spans="1:7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 s="3">
        <v>390</v>
      </c>
      <c r="G28" s="3">
        <f>kursy[[#This Row],[Cena]]/kursy[[#This Row],[Odleglosc]]</f>
        <v>3.3050847457627119</v>
      </c>
    </row>
    <row r="29" spans="1:7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 s="3">
        <v>185</v>
      </c>
      <c r="G29" s="3">
        <f>kursy[[#This Row],[Cena]]/kursy[[#This Row],[Odleglosc]]</f>
        <v>1.4682539682539681</v>
      </c>
    </row>
    <row r="30" spans="1:7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 s="3">
        <v>167</v>
      </c>
      <c r="G30" s="3">
        <f>kursy[[#This Row],[Cena]]/kursy[[#This Row],[Odleglosc]]</f>
        <v>1.6372549019607843</v>
      </c>
    </row>
    <row r="31" spans="1:7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 s="3">
        <v>450</v>
      </c>
      <c r="G31" s="3">
        <f>kursy[[#This Row],[Cena]]/kursy[[#This Row],[Odleglosc]]</f>
        <v>3.6585365853658538</v>
      </c>
    </row>
    <row r="32" spans="1:7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 s="3">
        <v>346</v>
      </c>
      <c r="G32" s="3">
        <f>kursy[[#This Row],[Cena]]/kursy[[#This Row],[Odleglosc]]</f>
        <v>3.3592233009708736</v>
      </c>
    </row>
    <row r="33" spans="1:7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 s="3">
        <v>520</v>
      </c>
      <c r="G33" s="3">
        <f>kursy[[#This Row],[Cena]]/kursy[[#This Row],[Odleglosc]]</f>
        <v>1.9047619047619047</v>
      </c>
    </row>
    <row r="34" spans="1:7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 s="3">
        <v>518</v>
      </c>
      <c r="G34" s="3">
        <f>kursy[[#This Row],[Cena]]/kursy[[#This Row],[Odleglosc]]</f>
        <v>4.046875</v>
      </c>
    </row>
    <row r="35" spans="1:7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 s="3">
        <v>314</v>
      </c>
      <c r="G35" s="3">
        <f>kursy[[#This Row],[Cena]]/kursy[[#This Row],[Odleglosc]]</f>
        <v>2.0389610389610389</v>
      </c>
    </row>
    <row r="36" spans="1:7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 s="3">
        <v>406</v>
      </c>
      <c r="G36" s="3">
        <f>kursy[[#This Row],[Cena]]/kursy[[#This Row],[Odleglosc]]</f>
        <v>2.1368421052631579</v>
      </c>
    </row>
    <row r="37" spans="1:7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 s="3">
        <v>221</v>
      </c>
      <c r="G37" s="3">
        <f>kursy[[#This Row],[Cena]]/kursy[[#This Row],[Odleglosc]]</f>
        <v>1.6370370370370371</v>
      </c>
    </row>
    <row r="38" spans="1:7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 s="3">
        <v>376</v>
      </c>
      <c r="G38" s="3">
        <f>kursy[[#This Row],[Cena]]/kursy[[#This Row],[Odleglosc]]</f>
        <v>2.9375</v>
      </c>
    </row>
    <row r="39" spans="1:7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 s="3">
        <v>257</v>
      </c>
      <c r="G39" s="3">
        <f>kursy[[#This Row],[Cena]]/kursy[[#This Row],[Odleglosc]]</f>
        <v>2.0078125</v>
      </c>
    </row>
    <row r="40" spans="1:7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 s="3">
        <v>278</v>
      </c>
      <c r="G40" s="3">
        <f>kursy[[#This Row],[Cena]]/kursy[[#This Row],[Odleglosc]]</f>
        <v>1.7160493827160495</v>
      </c>
    </row>
    <row r="41" spans="1:7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 s="3">
        <v>1622</v>
      </c>
      <c r="G41" s="3">
        <f>kursy[[#This Row],[Cena]]/kursy[[#This Row],[Odleglosc]]</f>
        <v>2.9490909090909092</v>
      </c>
    </row>
    <row r="42" spans="1:7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 s="3">
        <v>379</v>
      </c>
      <c r="G42" s="3">
        <f>kursy[[#This Row],[Cena]]/kursy[[#This Row],[Odleglosc]]</f>
        <v>2.3540372670807455</v>
      </c>
    </row>
    <row r="43" spans="1:7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 s="3">
        <v>116</v>
      </c>
      <c r="G43" s="3">
        <f>kursy[[#This Row],[Cena]]/kursy[[#This Row],[Odleglosc]]</f>
        <v>1.0943396226415094</v>
      </c>
    </row>
    <row r="44" spans="1:7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 s="3">
        <v>376</v>
      </c>
      <c r="G44" s="3">
        <f>kursy[[#This Row],[Cena]]/kursy[[#This Row],[Odleglosc]]</f>
        <v>2.5931034482758619</v>
      </c>
    </row>
    <row r="45" spans="1:7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 s="3">
        <v>441</v>
      </c>
      <c r="G45" s="3">
        <f>kursy[[#This Row],[Cena]]/kursy[[#This Row],[Odleglosc]]</f>
        <v>3.0205479452054793</v>
      </c>
    </row>
    <row r="46" spans="1:7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 s="3">
        <v>392</v>
      </c>
      <c r="G46" s="3">
        <f>kursy[[#This Row],[Cena]]/kursy[[#This Row],[Odleglosc]]</f>
        <v>2.4968152866242037</v>
      </c>
    </row>
    <row r="47" spans="1:7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 s="3">
        <v>221</v>
      </c>
      <c r="G47" s="3">
        <f>kursy[[#This Row],[Cena]]/kursy[[#This Row],[Odleglosc]]</f>
        <v>1.9909909909909911</v>
      </c>
    </row>
    <row r="48" spans="1:7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 s="3">
        <v>263</v>
      </c>
      <c r="G48" s="3">
        <f>kursy[[#This Row],[Cena]]/kursy[[#This Row],[Odleglosc]]</f>
        <v>1.5380116959064327</v>
      </c>
    </row>
    <row r="49" spans="1:7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 s="3">
        <v>400</v>
      </c>
      <c r="G49" s="3">
        <f>kursy[[#This Row],[Cena]]/kursy[[#This Row],[Odleglosc]]</f>
        <v>1.7777777777777777</v>
      </c>
    </row>
    <row r="50" spans="1:7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 s="3">
        <v>252</v>
      </c>
      <c r="G50" s="3">
        <f>kursy[[#This Row],[Cena]]/kursy[[#This Row],[Odleglosc]]</f>
        <v>1.7622377622377623</v>
      </c>
    </row>
    <row r="51" spans="1:7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 s="3">
        <v>522</v>
      </c>
      <c r="G51" s="3">
        <f>kursy[[#This Row],[Cena]]/kursy[[#This Row],[Odleglosc]]</f>
        <v>3.7553956834532376</v>
      </c>
    </row>
    <row r="52" spans="1:7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 s="3">
        <v>446</v>
      </c>
      <c r="G52" s="3">
        <f>kursy[[#This Row],[Cena]]/kursy[[#This Row],[Odleglosc]]</f>
        <v>3.6859504132231407</v>
      </c>
    </row>
    <row r="53" spans="1:7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 s="3">
        <v>928</v>
      </c>
      <c r="G53" s="3">
        <f>kursy[[#This Row],[Cena]]/kursy[[#This Row],[Odleglosc]]</f>
        <v>4</v>
      </c>
    </row>
    <row r="54" spans="1:7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 s="3">
        <v>330</v>
      </c>
      <c r="G54" s="3">
        <f>kursy[[#This Row],[Cena]]/kursy[[#This Row],[Odleglosc]]</f>
        <v>2.2602739726027399</v>
      </c>
    </row>
    <row r="55" spans="1:7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 s="3">
        <v>374</v>
      </c>
      <c r="G55" s="3">
        <f>kursy[[#This Row],[Cena]]/kursy[[#This Row],[Odleglosc]]</f>
        <v>3.1694915254237288</v>
      </c>
    </row>
    <row r="56" spans="1:7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 s="3">
        <v>197</v>
      </c>
      <c r="G56" s="3">
        <f>kursy[[#This Row],[Cena]]/kursy[[#This Row],[Odleglosc]]</f>
        <v>2.0736842105263156</v>
      </c>
    </row>
    <row r="57" spans="1:7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 s="3">
        <v>418</v>
      </c>
      <c r="G57" s="3">
        <f>kursy[[#This Row],[Cena]]/kursy[[#This Row],[Odleglosc]]</f>
        <v>3.0735294117647061</v>
      </c>
    </row>
    <row r="58" spans="1:7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 s="3">
        <v>215</v>
      </c>
      <c r="G58" s="3">
        <f>kursy[[#This Row],[Cena]]/kursy[[#This Row],[Odleglosc]]</f>
        <v>1.7479674796747968</v>
      </c>
    </row>
    <row r="59" spans="1:7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 s="3">
        <v>924</v>
      </c>
      <c r="G59" s="3">
        <f>kursy[[#This Row],[Cena]]/kursy[[#This Row],[Odleglosc]]</f>
        <v>3.335740072202166</v>
      </c>
    </row>
    <row r="60" spans="1:7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 s="3">
        <v>247</v>
      </c>
      <c r="G60" s="3">
        <f>kursy[[#This Row],[Cena]]/kursy[[#This Row],[Odleglosc]]</f>
        <v>2.7142857142857144</v>
      </c>
    </row>
    <row r="61" spans="1:7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 s="3">
        <v>278</v>
      </c>
      <c r="G61" s="3">
        <f>kursy[[#This Row],[Cena]]/kursy[[#This Row],[Odleglosc]]</f>
        <v>1.8289473684210527</v>
      </c>
    </row>
    <row r="62" spans="1:7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 s="3">
        <v>365</v>
      </c>
      <c r="G62" s="3">
        <f>kursy[[#This Row],[Cena]]/kursy[[#This Row],[Odleglosc]]</f>
        <v>2.0621468926553672</v>
      </c>
    </row>
    <row r="63" spans="1:7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 s="3">
        <v>409</v>
      </c>
      <c r="G63" s="3">
        <f>kursy[[#This Row],[Cena]]/kursy[[#This Row],[Odleglosc]]</f>
        <v>4.260416666666667</v>
      </c>
    </row>
    <row r="64" spans="1:7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 s="3">
        <v>501</v>
      </c>
      <c r="G64" s="3">
        <f>kursy[[#This Row],[Cena]]/kursy[[#This Row],[Odleglosc]]</f>
        <v>3.5034965034965033</v>
      </c>
    </row>
    <row r="65" spans="1:7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 s="3">
        <v>227</v>
      </c>
      <c r="G65" s="3">
        <f>kursy[[#This Row],[Cena]]/kursy[[#This Row],[Odleglosc]]</f>
        <v>1.860655737704918</v>
      </c>
    </row>
    <row r="66" spans="1:7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 s="3">
        <v>158</v>
      </c>
      <c r="G66" s="3">
        <f>kursy[[#This Row],[Cena]]/kursy[[#This Row],[Odleglosc]]</f>
        <v>1.3504273504273505</v>
      </c>
    </row>
    <row r="67" spans="1:7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 s="3">
        <v>495</v>
      </c>
      <c r="G67" s="3">
        <f>kursy[[#This Row],[Cena]]/kursy[[#This Row],[Odleglosc]]</f>
        <v>3.8976377952755907</v>
      </c>
    </row>
    <row r="68" spans="1:7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 s="3">
        <v>443</v>
      </c>
      <c r="G68" s="3">
        <f>kursy[[#This Row],[Cena]]/kursy[[#This Row],[Odleglosc]]</f>
        <v>3.0136054421768708</v>
      </c>
    </row>
    <row r="69" spans="1:7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 s="3">
        <v>261</v>
      </c>
      <c r="G69" s="3">
        <f>kursy[[#This Row],[Cena]]/kursy[[#This Row],[Odleglosc]]</f>
        <v>1.6838709677419355</v>
      </c>
    </row>
    <row r="70" spans="1:7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 s="3">
        <v>242</v>
      </c>
      <c r="G70" s="3">
        <f>kursy[[#This Row],[Cena]]/kursy[[#This Row],[Odleglosc]]</f>
        <v>2.0862068965517242</v>
      </c>
    </row>
    <row r="71" spans="1:7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 s="3">
        <v>517</v>
      </c>
      <c r="G71" s="3">
        <f>kursy[[#This Row],[Cena]]/kursy[[#This Row],[Odleglosc]]</f>
        <v>4.2032520325203251</v>
      </c>
    </row>
    <row r="72" spans="1:7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 s="3">
        <v>205</v>
      </c>
      <c r="G72" s="3">
        <f>kursy[[#This Row],[Cena]]/kursy[[#This Row],[Odleglosc]]</f>
        <v>1.6015625</v>
      </c>
    </row>
    <row r="73" spans="1:7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 s="3">
        <v>145</v>
      </c>
      <c r="G73" s="3">
        <f>kursy[[#This Row],[Cena]]/kursy[[#This Row],[Odleglosc]]</f>
        <v>1.3809523809523809</v>
      </c>
    </row>
    <row r="74" spans="1:7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 s="3">
        <v>117</v>
      </c>
      <c r="G74" s="3">
        <f>kursy[[#This Row],[Cena]]/kursy[[#This Row],[Odleglosc]]</f>
        <v>1.073394495412844</v>
      </c>
    </row>
    <row r="75" spans="1:7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 s="3">
        <v>172</v>
      </c>
      <c r="G75" s="3">
        <f>kursy[[#This Row],[Cena]]/kursy[[#This Row],[Odleglosc]]</f>
        <v>1.4956521739130435</v>
      </c>
    </row>
    <row r="76" spans="1:7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 s="3">
        <v>377</v>
      </c>
      <c r="G76" s="3">
        <f>kursy[[#This Row],[Cena]]/kursy[[#This Row],[Odleglosc]]</f>
        <v>3.065040650406504</v>
      </c>
    </row>
    <row r="77" spans="1:7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 s="3">
        <v>258</v>
      </c>
      <c r="G77" s="3">
        <f>kursy[[#This Row],[Cena]]/kursy[[#This Row],[Odleglosc]]</f>
        <v>2.3669724770642202</v>
      </c>
    </row>
    <row r="78" spans="1:7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 s="3">
        <v>354</v>
      </c>
      <c r="G78" s="3">
        <f>kursy[[#This Row],[Cena]]/kursy[[#This Row],[Odleglosc]]</f>
        <v>2.2838709677419353</v>
      </c>
    </row>
    <row r="79" spans="1:7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 s="3">
        <v>254</v>
      </c>
      <c r="G79" s="3">
        <f>kursy[[#This Row],[Cena]]/kursy[[#This Row],[Odleglosc]]</f>
        <v>1.3956043956043955</v>
      </c>
    </row>
    <row r="80" spans="1:7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 s="3">
        <v>599</v>
      </c>
      <c r="G80" s="3">
        <f>kursy[[#This Row],[Cena]]/kursy[[#This Row],[Odleglosc]]</f>
        <v>3.9407894736842106</v>
      </c>
    </row>
    <row r="81" spans="1:7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 s="3">
        <v>481</v>
      </c>
      <c r="G81" s="3">
        <f>kursy[[#This Row],[Cena]]/kursy[[#This Row],[Odleglosc]]</f>
        <v>2.702247191011236</v>
      </c>
    </row>
    <row r="82" spans="1:7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 s="3">
        <v>507</v>
      </c>
      <c r="G82" s="3">
        <f>kursy[[#This Row],[Cena]]/kursy[[#This Row],[Odleglosc]]</f>
        <v>2.103734439834025</v>
      </c>
    </row>
    <row r="83" spans="1:7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 s="3">
        <v>536</v>
      </c>
      <c r="G83" s="3">
        <f>kursy[[#This Row],[Cena]]/kursy[[#This Row],[Odleglosc]]</f>
        <v>2.5402843601895735</v>
      </c>
    </row>
    <row r="84" spans="1:7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 s="3">
        <v>163</v>
      </c>
      <c r="G84" s="3">
        <f>kursy[[#This Row],[Cena]]/kursy[[#This Row],[Odleglosc]]</f>
        <v>1.3360655737704918</v>
      </c>
    </row>
    <row r="85" spans="1:7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 s="3">
        <v>349</v>
      </c>
      <c r="G85" s="3">
        <f>kursy[[#This Row],[Cena]]/kursy[[#This Row],[Odleglosc]]</f>
        <v>2.2371794871794872</v>
      </c>
    </row>
    <row r="86" spans="1:7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 s="3">
        <v>888</v>
      </c>
      <c r="G86" s="3">
        <f>kursy[[#This Row],[Cena]]/kursy[[#This Row],[Odleglosc]]</f>
        <v>2.1294964028776979</v>
      </c>
    </row>
    <row r="87" spans="1:7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 s="3">
        <v>301</v>
      </c>
      <c r="G87" s="3">
        <f>kursy[[#This Row],[Cena]]/kursy[[#This Row],[Odleglosc]]</f>
        <v>2.0758620689655172</v>
      </c>
    </row>
    <row r="88" spans="1:7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 s="3">
        <v>297</v>
      </c>
      <c r="G88" s="3">
        <f>kursy[[#This Row],[Cena]]/kursy[[#This Row],[Odleglosc]]</f>
        <v>2.1838235294117645</v>
      </c>
    </row>
    <row r="89" spans="1:7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 s="3">
        <v>660</v>
      </c>
      <c r="G89" s="3">
        <f>kursy[[#This Row],[Cena]]/kursy[[#This Row],[Odleglosc]]</f>
        <v>3.5869565217391304</v>
      </c>
    </row>
    <row r="90" spans="1:7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 s="3">
        <v>28</v>
      </c>
      <c r="G90" s="3">
        <f>kursy[[#This Row],[Cena]]/kursy[[#This Row],[Odleglosc]]</f>
        <v>1.6470588235294117</v>
      </c>
    </row>
    <row r="91" spans="1:7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 s="3">
        <v>569</v>
      </c>
      <c r="G91" s="3">
        <f>kursy[[#This Row],[Cena]]/kursy[[#This Row],[Odleglosc]]</f>
        <v>3.5123456790123457</v>
      </c>
    </row>
    <row r="92" spans="1:7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 s="3">
        <v>356</v>
      </c>
      <c r="G92" s="3">
        <f>kursy[[#This Row],[Cena]]/kursy[[#This Row],[Odleglosc]]</f>
        <v>2.3267973856209152</v>
      </c>
    </row>
    <row r="93" spans="1:7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 s="3">
        <v>1392</v>
      </c>
      <c r="G93" s="3">
        <f>kursy[[#This Row],[Cena]]/kursy[[#This Row],[Odleglosc]]</f>
        <v>3.5510204081632653</v>
      </c>
    </row>
    <row r="94" spans="1:7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 s="3">
        <v>323</v>
      </c>
      <c r="G94" s="3">
        <f>kursy[[#This Row],[Cena]]/kursy[[#This Row],[Odleglosc]]</f>
        <v>1.8563218390804597</v>
      </c>
    </row>
    <row r="95" spans="1:7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 s="3">
        <v>530</v>
      </c>
      <c r="G95" s="3">
        <f>kursy[[#This Row],[Cena]]/kursy[[#This Row],[Odleglosc]]</f>
        <v>3.6301369863013697</v>
      </c>
    </row>
    <row r="96" spans="1:7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 s="3">
        <v>569</v>
      </c>
      <c r="G96" s="3">
        <f>kursy[[#This Row],[Cena]]/kursy[[#This Row],[Odleglosc]]</f>
        <v>3.3869047619047619</v>
      </c>
    </row>
    <row r="97" spans="1:7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 s="3">
        <v>240</v>
      </c>
      <c r="G97" s="3">
        <f>kursy[[#This Row],[Cena]]/kursy[[#This Row],[Odleglosc]]</f>
        <v>1.5789473684210527</v>
      </c>
    </row>
    <row r="98" spans="1:7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 s="3">
        <v>754</v>
      </c>
      <c r="G98" s="3">
        <f>kursy[[#This Row],[Cena]]/kursy[[#This Row],[Odleglosc]]</f>
        <v>3.8274111675126905</v>
      </c>
    </row>
    <row r="99" spans="1:7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 s="3">
        <v>171</v>
      </c>
      <c r="G99" s="3">
        <f>kursy[[#This Row],[Cena]]/kursy[[#This Row],[Odleglosc]]</f>
        <v>1.6442307692307692</v>
      </c>
    </row>
    <row r="100" spans="1:7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 s="3">
        <v>190</v>
      </c>
      <c r="G100" s="3">
        <f>kursy[[#This Row],[Cena]]/kursy[[#This Row],[Odleglosc]]</f>
        <v>1.7117117117117118</v>
      </c>
    </row>
    <row r="101" spans="1:7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 s="3">
        <v>395</v>
      </c>
      <c r="G101" s="3">
        <f>kursy[[#This Row],[Cena]]/kursy[[#This Row],[Odleglosc]]</f>
        <v>3.5585585585585586</v>
      </c>
    </row>
    <row r="102" spans="1:7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 s="3">
        <v>223</v>
      </c>
      <c r="G102" s="3">
        <f>kursy[[#This Row],[Cena]]/kursy[[#This Row],[Odleglosc]]</f>
        <v>1.8130081300813008</v>
      </c>
    </row>
    <row r="103" spans="1:7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 s="3">
        <v>143</v>
      </c>
      <c r="G103" s="3">
        <f>kursy[[#This Row],[Cena]]/kursy[[#This Row],[Odleglosc]]</f>
        <v>1.3364485981308412</v>
      </c>
    </row>
    <row r="104" spans="1:7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 s="3">
        <v>312</v>
      </c>
      <c r="G104" s="3">
        <f>kursy[[#This Row],[Cena]]/kursy[[#This Row],[Odleglosc]]</f>
        <v>2.9158878504672896</v>
      </c>
    </row>
    <row r="105" spans="1:7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 s="3">
        <v>248</v>
      </c>
      <c r="G105" s="3">
        <f>kursy[[#This Row],[Cena]]/kursy[[#This Row],[Odleglosc]]</f>
        <v>1.3626373626373627</v>
      </c>
    </row>
    <row r="106" spans="1:7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 s="3">
        <v>200</v>
      </c>
      <c r="G106" s="3">
        <f>kursy[[#This Row],[Cena]]/kursy[[#This Row],[Odleglosc]]</f>
        <v>1.5503875968992249</v>
      </c>
    </row>
    <row r="107" spans="1:7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 s="3">
        <v>444</v>
      </c>
      <c r="G107" s="3">
        <f>kursy[[#This Row],[Cena]]/kursy[[#This Row],[Odleglosc]]</f>
        <v>3.1489361702127661</v>
      </c>
    </row>
    <row r="108" spans="1:7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 s="3">
        <v>479</v>
      </c>
      <c r="G108" s="3">
        <f>kursy[[#This Row],[Cena]]/kursy[[#This Row],[Odleglosc]]</f>
        <v>1.4298507462686567</v>
      </c>
    </row>
    <row r="109" spans="1:7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 s="3">
        <v>1087</v>
      </c>
      <c r="G109" s="3">
        <f>kursy[[#This Row],[Cena]]/kursy[[#This Row],[Odleglosc]]</f>
        <v>2.6512195121951221</v>
      </c>
    </row>
    <row r="110" spans="1:7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 s="3">
        <v>646</v>
      </c>
      <c r="G110" s="3">
        <f>kursy[[#This Row],[Cena]]/kursy[[#This Row],[Odleglosc]]</f>
        <v>3.7777777777777777</v>
      </c>
    </row>
    <row r="111" spans="1:7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 s="3">
        <v>175</v>
      </c>
      <c r="G111" s="3">
        <f>kursy[[#This Row],[Cena]]/kursy[[#This Row],[Odleglosc]]</f>
        <v>1.1437908496732025</v>
      </c>
    </row>
    <row r="112" spans="1:7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 s="3">
        <v>1406</v>
      </c>
      <c r="G112" s="3">
        <f>kursy[[#This Row],[Cena]]/kursy[[#This Row],[Odleglosc]]</f>
        <v>3.5959079283887467</v>
      </c>
    </row>
    <row r="113" spans="1:7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 s="3">
        <v>453</v>
      </c>
      <c r="G113" s="3">
        <f>kursy[[#This Row],[Cena]]/kursy[[#This Row],[Odleglosc]]</f>
        <v>1.51</v>
      </c>
    </row>
    <row r="114" spans="1:7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 s="3">
        <v>185</v>
      </c>
      <c r="G114" s="3">
        <f>kursy[[#This Row],[Cena]]/kursy[[#This Row],[Odleglosc]]</f>
        <v>1.25</v>
      </c>
    </row>
    <row r="115" spans="1:7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 s="3">
        <v>399</v>
      </c>
      <c r="G115" s="3">
        <f>kursy[[#This Row],[Cena]]/kursy[[#This Row],[Odleglosc]]</f>
        <v>3.8365384615384617</v>
      </c>
    </row>
    <row r="116" spans="1:7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 s="3">
        <v>1964</v>
      </c>
      <c r="G116" s="3">
        <f>kursy[[#This Row],[Cena]]/kursy[[#This Row],[Odleglosc]]</f>
        <v>3.5579710144927534</v>
      </c>
    </row>
    <row r="117" spans="1:7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 s="3">
        <v>347</v>
      </c>
      <c r="G117" s="3">
        <f>kursy[[#This Row],[Cena]]/kursy[[#This Row],[Odleglosc]]</f>
        <v>1.7093596059113301</v>
      </c>
    </row>
    <row r="118" spans="1:7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 s="3">
        <v>376</v>
      </c>
      <c r="G118" s="3">
        <f>kursy[[#This Row],[Cena]]/kursy[[#This Row],[Odleglosc]]</f>
        <v>3.650485436893204</v>
      </c>
    </row>
    <row r="119" spans="1:7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 s="3">
        <v>542</v>
      </c>
      <c r="G119" s="3">
        <f>kursy[[#This Row],[Cena]]/kursy[[#This Row],[Odleglosc]]</f>
        <v>3.4967741935483869</v>
      </c>
    </row>
    <row r="120" spans="1:7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 s="3">
        <v>577</v>
      </c>
      <c r="G120" s="3">
        <f>kursy[[#This Row],[Cena]]/kursy[[#This Row],[Odleglosc]]</f>
        <v>3.7467532467532467</v>
      </c>
    </row>
    <row r="121" spans="1:7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 s="3">
        <v>407</v>
      </c>
      <c r="G121" s="3">
        <f>kursy[[#This Row],[Cena]]/kursy[[#This Row],[Odleglosc]]</f>
        <v>3.7</v>
      </c>
    </row>
    <row r="122" spans="1:7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 s="3">
        <v>168</v>
      </c>
      <c r="G122" s="3">
        <f>kursy[[#This Row],[Cena]]/kursy[[#This Row],[Odleglosc]]</f>
        <v>1.1586206896551725</v>
      </c>
    </row>
    <row r="123" spans="1:7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 s="3">
        <v>288</v>
      </c>
      <c r="G123" s="3">
        <f>kursy[[#This Row],[Cena]]/kursy[[#This Row],[Odleglosc]]</f>
        <v>1.5401069518716577</v>
      </c>
    </row>
    <row r="124" spans="1:7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 s="3">
        <v>567</v>
      </c>
      <c r="G124" s="3">
        <f>kursy[[#This Row],[Cena]]/kursy[[#This Row],[Odleglosc]]</f>
        <v>3.9103448275862069</v>
      </c>
    </row>
    <row r="125" spans="1:7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 s="3">
        <v>135</v>
      </c>
      <c r="G125" s="3">
        <f>kursy[[#This Row],[Cena]]/kursy[[#This Row],[Odleglosc]]</f>
        <v>1.2162162162162162</v>
      </c>
    </row>
    <row r="126" spans="1:7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 s="3">
        <v>398</v>
      </c>
      <c r="G126" s="3">
        <f>kursy[[#This Row],[Cena]]/kursy[[#This Row],[Odleglosc]]</f>
        <v>3.3445378151260505</v>
      </c>
    </row>
    <row r="127" spans="1:7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 s="3">
        <v>490</v>
      </c>
      <c r="G127" s="3">
        <f>kursy[[#This Row],[Cena]]/kursy[[#This Row],[Odleglosc]]</f>
        <v>3.5766423357664232</v>
      </c>
    </row>
    <row r="128" spans="1:7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 s="3">
        <v>277</v>
      </c>
      <c r="G128" s="3">
        <f>kursy[[#This Row],[Cena]]/kursy[[#This Row],[Odleglosc]]</f>
        <v>2.4513274336283186</v>
      </c>
    </row>
    <row r="129" spans="1:7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 s="3">
        <v>499</v>
      </c>
      <c r="G129" s="3">
        <f>kursy[[#This Row],[Cena]]/kursy[[#This Row],[Odleglosc]]</f>
        <v>2.2995391705069124</v>
      </c>
    </row>
    <row r="130" spans="1:7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 s="3">
        <v>154</v>
      </c>
      <c r="G130" s="3">
        <f>kursy[[#This Row],[Cena]]/kursy[[#This Row],[Odleglosc]]</f>
        <v>1.6041666666666667</v>
      </c>
    </row>
    <row r="131" spans="1:7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 s="3">
        <v>653</v>
      </c>
      <c r="G131" s="3">
        <f>kursy[[#This Row],[Cena]]/kursy[[#This Row],[Odleglosc]]</f>
        <v>4.1329113924050631</v>
      </c>
    </row>
    <row r="132" spans="1:7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 s="3">
        <v>522</v>
      </c>
      <c r="G132" s="3">
        <f>kursy[[#This Row],[Cena]]/kursy[[#This Row],[Odleglosc]]</f>
        <v>3.2625000000000002</v>
      </c>
    </row>
    <row r="133" spans="1:7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 s="3">
        <v>524</v>
      </c>
      <c r="G133" s="3">
        <f>kursy[[#This Row],[Cena]]/kursy[[#This Row],[Odleglosc]]</f>
        <v>2.5560975609756098</v>
      </c>
    </row>
    <row r="134" spans="1:7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 s="3">
        <v>136</v>
      </c>
      <c r="G134" s="3">
        <f>kursy[[#This Row],[Cena]]/kursy[[#This Row],[Odleglosc]]</f>
        <v>0.97142857142857142</v>
      </c>
    </row>
    <row r="135" spans="1:7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 s="3">
        <v>382</v>
      </c>
      <c r="G135" s="3">
        <f>kursy[[#This Row],[Cena]]/kursy[[#This Row],[Odleglosc]]</f>
        <v>4.0210526315789474</v>
      </c>
    </row>
    <row r="136" spans="1:7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 s="3">
        <v>468</v>
      </c>
      <c r="G136" s="3">
        <f>kursy[[#This Row],[Cena]]/kursy[[#This Row],[Odleglosc]]</f>
        <v>2.4</v>
      </c>
    </row>
    <row r="137" spans="1:7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 s="3">
        <v>295</v>
      </c>
      <c r="G137" s="3">
        <f>kursy[[#This Row],[Cena]]/kursy[[#This Row],[Odleglosc]]</f>
        <v>2.3983739837398375</v>
      </c>
    </row>
    <row r="138" spans="1:7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 s="3">
        <v>558</v>
      </c>
      <c r="G138" s="3">
        <f>kursy[[#This Row],[Cena]]/kursy[[#This Row],[Odleglosc]]</f>
        <v>3.6953642384105962</v>
      </c>
    </row>
    <row r="139" spans="1:7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 s="3">
        <v>610</v>
      </c>
      <c r="G139" s="3">
        <f>kursy[[#This Row],[Cena]]/kursy[[#This Row],[Odleglosc]]</f>
        <v>3.7423312883435584</v>
      </c>
    </row>
    <row r="140" spans="1:7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 s="3">
        <v>256</v>
      </c>
      <c r="G140" s="3">
        <f>kursy[[#This Row],[Cena]]/kursy[[#This Row],[Odleglosc]]</f>
        <v>1.7777777777777777</v>
      </c>
    </row>
    <row r="141" spans="1:7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 s="3">
        <v>270</v>
      </c>
      <c r="G141" s="3">
        <f>kursy[[#This Row],[Cena]]/kursy[[#This Row],[Odleglosc]]</f>
        <v>1.9708029197080292</v>
      </c>
    </row>
    <row r="142" spans="1:7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 s="3">
        <v>245</v>
      </c>
      <c r="G142" s="3">
        <f>kursy[[#This Row],[Cena]]/kursy[[#This Row],[Odleglosc]]</f>
        <v>1.8992248062015504</v>
      </c>
    </row>
    <row r="143" spans="1:7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 s="3">
        <v>213</v>
      </c>
      <c r="G143" s="3">
        <f>kursy[[#This Row],[Cena]]/kursy[[#This Row],[Odleglosc]]</f>
        <v>1</v>
      </c>
    </row>
    <row r="144" spans="1:7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 s="3">
        <v>336</v>
      </c>
      <c r="G144" s="3">
        <f>kursy[[#This Row],[Cena]]/kursy[[#This Row],[Odleglosc]]</f>
        <v>2</v>
      </c>
    </row>
    <row r="145" spans="1:7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 s="3">
        <v>525</v>
      </c>
      <c r="G145" s="3">
        <f>kursy[[#This Row],[Cena]]/kursy[[#This Row],[Odleglosc]]</f>
        <v>3.0882352941176472</v>
      </c>
    </row>
    <row r="146" spans="1:7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 s="3">
        <v>546</v>
      </c>
      <c r="G146" s="3">
        <f>kursy[[#This Row],[Cena]]/kursy[[#This Row],[Odleglosc]]</f>
        <v>3.7655172413793103</v>
      </c>
    </row>
    <row r="147" spans="1:7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 s="3">
        <v>315</v>
      </c>
      <c r="G147" s="3">
        <f>kursy[[#This Row],[Cena]]/kursy[[#This Row],[Odleglosc]]</f>
        <v>2.1575342465753424</v>
      </c>
    </row>
    <row r="148" spans="1:7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 s="3">
        <v>288</v>
      </c>
      <c r="G148" s="3">
        <f>kursy[[#This Row],[Cena]]/kursy[[#This Row],[Odleglosc]]</f>
        <v>2.4</v>
      </c>
    </row>
    <row r="149" spans="1:7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 s="3">
        <v>215</v>
      </c>
      <c r="G149" s="3">
        <f>kursy[[#This Row],[Cena]]/kursy[[#This Row],[Odleglosc]]</f>
        <v>1.5925925925925926</v>
      </c>
    </row>
    <row r="150" spans="1:7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 s="3">
        <v>222</v>
      </c>
      <c r="G150" s="3">
        <f>kursy[[#This Row],[Cena]]/kursy[[#This Row],[Odleglosc]]</f>
        <v>1.8813559322033899</v>
      </c>
    </row>
    <row r="151" spans="1:7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 s="3">
        <v>108</v>
      </c>
      <c r="G151" s="3">
        <f>kursy[[#This Row],[Cena]]/kursy[[#This Row],[Odleglosc]]</f>
        <v>1.1020408163265305</v>
      </c>
    </row>
    <row r="152" spans="1:7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 s="3">
        <v>179</v>
      </c>
      <c r="G152" s="3">
        <f>kursy[[#This Row],[Cena]]/kursy[[#This Row],[Odleglosc]]</f>
        <v>1.2971014492753623</v>
      </c>
    </row>
    <row r="153" spans="1:7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 s="3">
        <v>141</v>
      </c>
      <c r="G153" s="3">
        <f>kursy[[#This Row],[Cena]]/kursy[[#This Row],[Odleglosc]]</f>
        <v>1.2155172413793103</v>
      </c>
    </row>
    <row r="154" spans="1:7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 s="3">
        <v>438</v>
      </c>
      <c r="G154" s="3">
        <f>kursy[[#This Row],[Cena]]/kursy[[#This Row],[Odleglosc]]</f>
        <v>3.65</v>
      </c>
    </row>
    <row r="155" spans="1:7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 s="3">
        <v>2887</v>
      </c>
      <c r="G155" s="3">
        <f>kursy[[#This Row],[Cena]]/kursy[[#This Row],[Odleglosc]]</f>
        <v>3.8803763440860215</v>
      </c>
    </row>
    <row r="156" spans="1:7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 s="3">
        <v>301</v>
      </c>
      <c r="G156" s="3">
        <f>kursy[[#This Row],[Cena]]/kursy[[#This Row],[Odleglosc]]</f>
        <v>2.6403508771929824</v>
      </c>
    </row>
    <row r="157" spans="1:7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 s="3">
        <v>614</v>
      </c>
      <c r="G157" s="3">
        <f>kursy[[#This Row],[Cena]]/kursy[[#This Row],[Odleglosc]]</f>
        <v>3.0098039215686274</v>
      </c>
    </row>
    <row r="158" spans="1:7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 s="3">
        <v>518</v>
      </c>
      <c r="G158" s="3">
        <f>kursy[[#This Row],[Cena]]/kursy[[#This Row],[Odleglosc]]</f>
        <v>2.5643564356435644</v>
      </c>
    </row>
    <row r="159" spans="1:7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 s="3">
        <v>454</v>
      </c>
      <c r="G159" s="3">
        <f>kursy[[#This Row],[Cena]]/kursy[[#This Row],[Odleglosc]]</f>
        <v>3.0675675675675675</v>
      </c>
    </row>
    <row r="160" spans="1:7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 s="3">
        <v>1446</v>
      </c>
      <c r="G160" s="3">
        <f>kursy[[#This Row],[Cena]]/kursy[[#This Row],[Odleglosc]]</f>
        <v>2.3940397350993377</v>
      </c>
    </row>
    <row r="161" spans="1:7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 s="3">
        <v>125</v>
      </c>
      <c r="G161" s="3">
        <f>kursy[[#This Row],[Cena]]/kursy[[#This Row],[Odleglosc]]</f>
        <v>1.0964912280701755</v>
      </c>
    </row>
    <row r="162" spans="1:7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 s="3">
        <v>396</v>
      </c>
      <c r="G162" s="3">
        <f>kursy[[#This Row],[Cena]]/kursy[[#This Row],[Odleglosc]]</f>
        <v>1.6569037656903767</v>
      </c>
    </row>
    <row r="163" spans="1:7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 s="3">
        <v>899</v>
      </c>
      <c r="G163" s="3">
        <f>kursy[[#This Row],[Cena]]/kursy[[#This Row],[Odleglosc]]</f>
        <v>2.0525114155251143</v>
      </c>
    </row>
    <row r="164" spans="1:7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 s="3">
        <v>317</v>
      </c>
      <c r="G164" s="3">
        <f>kursy[[#This Row],[Cena]]/kursy[[#This Row],[Odleglosc]]</f>
        <v>2.556451612903226</v>
      </c>
    </row>
    <row r="165" spans="1:7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 s="3">
        <v>308</v>
      </c>
      <c r="G165" s="3">
        <f>kursy[[#This Row],[Cena]]/kursy[[#This Row],[Odleglosc]]</f>
        <v>2.2481751824817517</v>
      </c>
    </row>
    <row r="166" spans="1:7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 s="3">
        <v>280</v>
      </c>
      <c r="G166" s="3">
        <f>kursy[[#This Row],[Cena]]/kursy[[#This Row],[Odleglosc]]</f>
        <v>2.2950819672131146</v>
      </c>
    </row>
    <row r="167" spans="1:7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 s="3">
        <v>297</v>
      </c>
      <c r="G167" s="3">
        <f>kursy[[#This Row],[Cena]]/kursy[[#This Row],[Odleglosc]]</f>
        <v>1.6971428571428571</v>
      </c>
    </row>
    <row r="168" spans="1:7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 s="3">
        <v>110</v>
      </c>
      <c r="G168" s="3">
        <f>kursy[[#This Row],[Cena]]/kursy[[#This Row],[Odleglosc]]</f>
        <v>0.97345132743362828</v>
      </c>
    </row>
    <row r="169" spans="1:7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 s="3">
        <v>292</v>
      </c>
      <c r="G169" s="3">
        <f>kursy[[#This Row],[Cena]]/kursy[[#This Row],[Odleglosc]]</f>
        <v>1.8024691358024691</v>
      </c>
    </row>
    <row r="170" spans="1:7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 s="3">
        <v>258</v>
      </c>
      <c r="G170" s="3">
        <f>kursy[[#This Row],[Cena]]/kursy[[#This Row],[Odleglosc]]</f>
        <v>2.4112149532710281</v>
      </c>
    </row>
    <row r="171" spans="1:7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 s="3">
        <v>171</v>
      </c>
      <c r="G171" s="3">
        <f>kursy[[#This Row],[Cena]]/kursy[[#This Row],[Odleglosc]]</f>
        <v>1.5981308411214954</v>
      </c>
    </row>
    <row r="172" spans="1:7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 s="3">
        <v>967</v>
      </c>
      <c r="G172" s="3">
        <f>kursy[[#This Row],[Cena]]/kursy[[#This Row],[Odleglosc]]</f>
        <v>3.8835341365461846</v>
      </c>
    </row>
    <row r="173" spans="1:7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 s="3">
        <v>699</v>
      </c>
      <c r="G173" s="3">
        <f>kursy[[#This Row],[Cena]]/kursy[[#This Row],[Odleglosc]]</f>
        <v>3.3444976076555024</v>
      </c>
    </row>
    <row r="174" spans="1:7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 s="3">
        <v>491</v>
      </c>
      <c r="G174" s="3">
        <f>kursy[[#This Row],[Cena]]/kursy[[#This Row],[Odleglosc]]</f>
        <v>4.0245901639344259</v>
      </c>
    </row>
    <row r="175" spans="1:7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 s="3">
        <v>292</v>
      </c>
      <c r="G175" s="3">
        <f>kursy[[#This Row],[Cena]]/kursy[[#This Row],[Odleglosc]]</f>
        <v>2.1313868613138687</v>
      </c>
    </row>
    <row r="176" spans="1:7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 s="3">
        <v>1891</v>
      </c>
      <c r="G176" s="3">
        <f>kursy[[#This Row],[Cena]]/kursy[[#This Row],[Odleglosc]]</f>
        <v>3.4889298892988929</v>
      </c>
    </row>
    <row r="177" spans="1:7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 s="3">
        <v>405</v>
      </c>
      <c r="G177" s="3">
        <f>kursy[[#This Row],[Cena]]/kursy[[#This Row],[Odleglosc]]</f>
        <v>2.9347826086956523</v>
      </c>
    </row>
    <row r="178" spans="1:7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 s="3">
        <v>115</v>
      </c>
      <c r="G178" s="3">
        <f>kursy[[#This Row],[Cena]]/kursy[[#This Row],[Odleglosc]]</f>
        <v>1.2105263157894737</v>
      </c>
    </row>
    <row r="179" spans="1:7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 s="3">
        <v>275</v>
      </c>
      <c r="G179" s="3">
        <f>kursy[[#This Row],[Cena]]/kursy[[#This Row],[Odleglosc]]</f>
        <v>1.71875</v>
      </c>
    </row>
    <row r="180" spans="1:7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 s="3">
        <v>147</v>
      </c>
      <c r="G180" s="3">
        <f>kursy[[#This Row],[Cena]]/kursy[[#This Row],[Odleglosc]]</f>
        <v>1.5806451612903225</v>
      </c>
    </row>
    <row r="181" spans="1:7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 s="3">
        <v>516</v>
      </c>
      <c r="G181" s="3">
        <f>kursy[[#This Row],[Cena]]/kursy[[#This Row],[Odleglosc]]</f>
        <v>3.4864864864864864</v>
      </c>
    </row>
    <row r="182" spans="1:7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 s="3">
        <v>398</v>
      </c>
      <c r="G182" s="3">
        <f>kursy[[#This Row],[Cena]]/kursy[[#This Row],[Odleglosc]]</f>
        <v>3.0615384615384613</v>
      </c>
    </row>
    <row r="183" spans="1:7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 s="3">
        <v>699</v>
      </c>
      <c r="G183" s="3">
        <f>kursy[[#This Row],[Cena]]/kursy[[#This Row],[Odleglosc]]</f>
        <v>2.6278195488721803</v>
      </c>
    </row>
    <row r="184" spans="1:7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 s="3">
        <v>256</v>
      </c>
      <c r="G184" s="3">
        <f>kursy[[#This Row],[Cena]]/kursy[[#This Row],[Odleglosc]]</f>
        <v>2.098360655737705</v>
      </c>
    </row>
    <row r="185" spans="1:7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 s="3">
        <v>195</v>
      </c>
      <c r="G185" s="3">
        <f>kursy[[#This Row],[Cena]]/kursy[[#This Row],[Odleglosc]]</f>
        <v>1.2913907284768211</v>
      </c>
    </row>
    <row r="186" spans="1:7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 s="3">
        <v>207</v>
      </c>
      <c r="G186" s="3">
        <f>kursy[[#This Row],[Cena]]/kursy[[#This Row],[Odleglosc]]</f>
        <v>1.7542372881355932</v>
      </c>
    </row>
    <row r="187" spans="1:7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 s="3">
        <v>585</v>
      </c>
      <c r="G187" s="3">
        <f>kursy[[#This Row],[Cena]]/kursy[[#This Row],[Odleglosc]]</f>
        <v>2.9249999999999998</v>
      </c>
    </row>
    <row r="188" spans="1:7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 s="3">
        <v>214</v>
      </c>
      <c r="G188" s="3">
        <f>kursy[[#This Row],[Cena]]/kursy[[#This Row],[Odleglosc]]</f>
        <v>1.4758620689655173</v>
      </c>
    </row>
    <row r="189" spans="1:7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 s="3">
        <v>417</v>
      </c>
      <c r="G189" s="3">
        <f>kursy[[#This Row],[Cena]]/kursy[[#This Row],[Odleglosc]]</f>
        <v>3.0217391304347827</v>
      </c>
    </row>
    <row r="190" spans="1:7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 s="3">
        <v>290</v>
      </c>
      <c r="G190" s="3">
        <f>kursy[[#This Row],[Cena]]/kursy[[#This Row],[Odleglosc]]</f>
        <v>1.8709677419354838</v>
      </c>
    </row>
    <row r="191" spans="1:7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 s="3">
        <v>162</v>
      </c>
      <c r="G191" s="3">
        <f>kursy[[#This Row],[Cena]]/kursy[[#This Row],[Odleglosc]]</f>
        <v>1.1172413793103448</v>
      </c>
    </row>
    <row r="192" spans="1:7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 s="3">
        <v>576</v>
      </c>
      <c r="G192" s="3">
        <f>kursy[[#This Row],[Cena]]/kursy[[#This Row],[Odleglosc]]</f>
        <v>3.3294797687861273</v>
      </c>
    </row>
    <row r="193" spans="1:7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 s="3">
        <v>552</v>
      </c>
      <c r="G193" s="3">
        <f>kursy[[#This Row],[Cena]]/kursy[[#This Row],[Odleglosc]]</f>
        <v>3.7297297297297298</v>
      </c>
    </row>
    <row r="194" spans="1:7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 s="3">
        <v>307</v>
      </c>
      <c r="G194" s="3">
        <f>kursy[[#This Row],[Cena]]/kursy[[#This Row],[Odleglosc]]</f>
        <v>2.456</v>
      </c>
    </row>
    <row r="195" spans="1:7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 s="3">
        <v>472</v>
      </c>
      <c r="G195" s="3">
        <f>kursy[[#This Row],[Cena]]/kursy[[#This Row],[Odleglosc]]</f>
        <v>3.806451612903226</v>
      </c>
    </row>
    <row r="196" spans="1:7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 s="3">
        <v>382</v>
      </c>
      <c r="G196" s="3">
        <f>kursy[[#This Row],[Cena]]/kursy[[#This Row],[Odleglosc]]</f>
        <v>2.2080924855491331</v>
      </c>
    </row>
    <row r="197" spans="1:7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 s="3">
        <v>375</v>
      </c>
      <c r="G197" s="3">
        <f>kursy[[#This Row],[Cena]]/kursy[[#This Row],[Odleglosc]]</f>
        <v>2.3734177215189876</v>
      </c>
    </row>
    <row r="198" spans="1:7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 s="3">
        <v>276</v>
      </c>
      <c r="G198" s="3">
        <f>kursy[[#This Row],[Cena]]/kursy[[#This Row],[Odleglosc]]</f>
        <v>1.6235294117647059</v>
      </c>
    </row>
    <row r="199" spans="1:7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 s="3">
        <v>332</v>
      </c>
      <c r="G199" s="3">
        <f>kursy[[#This Row],[Cena]]/kursy[[#This Row],[Odleglosc]]</f>
        <v>1.8444444444444446</v>
      </c>
    </row>
    <row r="200" spans="1:7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 s="3">
        <v>137</v>
      </c>
      <c r="G200" s="3">
        <f>kursy[[#This Row],[Cena]]/kursy[[#This Row],[Odleglosc]]</f>
        <v>1.2017543859649122</v>
      </c>
    </row>
    <row r="201" spans="1:7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 s="3">
        <v>279</v>
      </c>
      <c r="G201" s="3">
        <f>kursy[[#This Row],[Cena]]/kursy[[#This Row],[Odleglosc]]</f>
        <v>2.70873786407767</v>
      </c>
    </row>
    <row r="202" spans="1:7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 s="3">
        <v>501</v>
      </c>
      <c r="G202" s="3">
        <f>kursy[[#This Row],[Cena]]/kursy[[#This Row],[Odleglosc]]</f>
        <v>2.2567567567567566</v>
      </c>
    </row>
    <row r="203" spans="1:7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 s="3">
        <v>422</v>
      </c>
      <c r="G203" s="3">
        <f>kursy[[#This Row],[Cena]]/kursy[[#This Row],[Odleglosc]]</f>
        <v>2.9305555555555554</v>
      </c>
    </row>
    <row r="204" spans="1:7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 s="3">
        <v>556</v>
      </c>
      <c r="G204" s="3">
        <f>kursy[[#This Row],[Cena]]/kursy[[#This Row],[Odleglosc]]</f>
        <v>2.8958333333333335</v>
      </c>
    </row>
    <row r="205" spans="1:7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 s="3">
        <v>162</v>
      </c>
      <c r="G205" s="3">
        <f>kursy[[#This Row],[Cena]]/kursy[[#This Row],[Odleglosc]]</f>
        <v>1.1911764705882353</v>
      </c>
    </row>
    <row r="206" spans="1:7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 s="3">
        <v>319</v>
      </c>
      <c r="G206" s="3">
        <f>kursy[[#This Row],[Cena]]/kursy[[#This Row],[Odleglosc]]</f>
        <v>3.1584158415841586</v>
      </c>
    </row>
    <row r="207" spans="1:7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 s="3">
        <v>585</v>
      </c>
      <c r="G207" s="3">
        <f>kursy[[#This Row],[Cena]]/kursy[[#This Row],[Odleglosc]]</f>
        <v>3.6792452830188678</v>
      </c>
    </row>
    <row r="208" spans="1:7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 s="3">
        <v>288</v>
      </c>
      <c r="G208" s="3">
        <f>kursy[[#This Row],[Cena]]/kursy[[#This Row],[Odleglosc]]</f>
        <v>2.2325581395348837</v>
      </c>
    </row>
    <row r="209" spans="1:7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 s="3">
        <v>572</v>
      </c>
      <c r="G209" s="3">
        <f>kursy[[#This Row],[Cena]]/kursy[[#This Row],[Odleglosc]]</f>
        <v>3.5308641975308643</v>
      </c>
    </row>
    <row r="210" spans="1:7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 s="3">
        <v>224</v>
      </c>
      <c r="G210" s="3">
        <f>kursy[[#This Row],[Cena]]/kursy[[#This Row],[Odleglosc]]</f>
        <v>1.2727272727272727</v>
      </c>
    </row>
    <row r="211" spans="1:7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 s="3">
        <v>993</v>
      </c>
      <c r="G211" s="3">
        <f>kursy[[#This Row],[Cena]]/kursy[[#This Row],[Odleglosc]]</f>
        <v>2.8130311614730878</v>
      </c>
    </row>
    <row r="212" spans="1:7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 s="3">
        <v>1107</v>
      </c>
      <c r="G212" s="3">
        <f>kursy[[#This Row],[Cena]]/kursy[[#This Row],[Odleglosc]]</f>
        <v>2.1411992263056092</v>
      </c>
    </row>
    <row r="213" spans="1:7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 s="3">
        <v>1849</v>
      </c>
      <c r="G213" s="3">
        <f>kursy[[#This Row],[Cena]]/kursy[[#This Row],[Odleglosc]]</f>
        <v>3.8520833333333333</v>
      </c>
    </row>
    <row r="214" spans="1:7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 s="3">
        <v>275</v>
      </c>
      <c r="G214" s="3">
        <f>kursy[[#This Row],[Cena]]/kursy[[#This Row],[Odleglosc]]</f>
        <v>2.6442307692307692</v>
      </c>
    </row>
    <row r="215" spans="1:7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 s="3">
        <v>396</v>
      </c>
      <c r="G215" s="3">
        <f>kursy[[#This Row],[Cena]]/kursy[[#This Row],[Odleglosc]]</f>
        <v>3.7358490566037736</v>
      </c>
    </row>
    <row r="216" spans="1:7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 s="3">
        <v>551</v>
      </c>
      <c r="G216" s="3">
        <f>kursy[[#This Row],[Cena]]/kursy[[#This Row],[Odleglosc]]</f>
        <v>1.3538083538083538</v>
      </c>
    </row>
    <row r="217" spans="1:7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 s="3">
        <v>832</v>
      </c>
      <c r="G217" s="3">
        <f>kursy[[#This Row],[Cena]]/kursy[[#This Row],[Odleglosc]]</f>
        <v>3.6651982378854626</v>
      </c>
    </row>
    <row r="218" spans="1:7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 s="3">
        <v>653</v>
      </c>
      <c r="G218" s="3">
        <f>kursy[[#This Row],[Cena]]/kursy[[#This Row],[Odleglosc]]</f>
        <v>3.4919786096256686</v>
      </c>
    </row>
    <row r="219" spans="1:7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 s="3">
        <v>174</v>
      </c>
      <c r="G219" s="3">
        <f>kursy[[#This Row],[Cena]]/kursy[[#This Row],[Odleglosc]]</f>
        <v>1.5263157894736843</v>
      </c>
    </row>
    <row r="220" spans="1:7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 s="3">
        <v>513</v>
      </c>
      <c r="G220" s="3">
        <f>kursy[[#This Row],[Cena]]/kursy[[#This Row],[Odleglosc]]</f>
        <v>3.0903614457831323</v>
      </c>
    </row>
    <row r="221" spans="1:7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 s="3">
        <v>194</v>
      </c>
      <c r="G221" s="3">
        <f>kursy[[#This Row],[Cena]]/kursy[[#This Row],[Odleglosc]]</f>
        <v>1.9795918367346939</v>
      </c>
    </row>
    <row r="222" spans="1:7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 s="3">
        <v>134</v>
      </c>
      <c r="G222" s="3">
        <f>kursy[[#This Row],[Cena]]/kursy[[#This Row],[Odleglosc]]</f>
        <v>0.95714285714285718</v>
      </c>
    </row>
    <row r="223" spans="1:7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 s="3">
        <v>231</v>
      </c>
      <c r="G223" s="3">
        <f>kursy[[#This Row],[Cena]]/kursy[[#This Row],[Odleglosc]]</f>
        <v>1.8629032258064515</v>
      </c>
    </row>
    <row r="224" spans="1:7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 s="3">
        <v>356</v>
      </c>
      <c r="G224" s="3">
        <f>kursy[[#This Row],[Cena]]/kursy[[#This Row],[Odleglosc]]</f>
        <v>2.8479999999999999</v>
      </c>
    </row>
    <row r="225" spans="1:7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 s="3">
        <v>145</v>
      </c>
      <c r="G225" s="3">
        <f>kursy[[#This Row],[Cena]]/kursy[[#This Row],[Odleglosc]]</f>
        <v>1.2608695652173914</v>
      </c>
    </row>
    <row r="226" spans="1:7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 s="3">
        <v>218</v>
      </c>
      <c r="G226" s="3">
        <f>kursy[[#This Row],[Cena]]/kursy[[#This Row],[Odleglosc]]</f>
        <v>1.5683453237410072</v>
      </c>
    </row>
    <row r="227" spans="1:7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 s="3">
        <v>280</v>
      </c>
      <c r="G227" s="3">
        <f>kursy[[#This Row],[Cena]]/kursy[[#This Row],[Odleglosc]]</f>
        <v>2.3333333333333335</v>
      </c>
    </row>
    <row r="228" spans="1:7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 s="3">
        <v>252</v>
      </c>
      <c r="G228" s="3">
        <f>kursy[[#This Row],[Cena]]/kursy[[#This Row],[Odleglosc]]</f>
        <v>1.75</v>
      </c>
    </row>
    <row r="229" spans="1:7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 s="3">
        <v>501</v>
      </c>
      <c r="G229" s="3">
        <f>kursy[[#This Row],[Cena]]/kursy[[#This Row],[Odleglosc]]</f>
        <v>3.528169014084507</v>
      </c>
    </row>
    <row r="230" spans="1:7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 s="3">
        <v>289</v>
      </c>
      <c r="G230" s="3">
        <f>kursy[[#This Row],[Cena]]/kursy[[#This Row],[Odleglosc]]</f>
        <v>1.5966850828729282</v>
      </c>
    </row>
    <row r="231" spans="1:7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 s="3">
        <v>254</v>
      </c>
      <c r="G231" s="3">
        <f>kursy[[#This Row],[Cena]]/kursy[[#This Row],[Odleglosc]]</f>
        <v>2.3090909090909091</v>
      </c>
    </row>
    <row r="232" spans="1:7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 s="3">
        <v>213</v>
      </c>
      <c r="G232" s="3">
        <f>kursy[[#This Row],[Cena]]/kursy[[#This Row],[Odleglosc]]</f>
        <v>1.6640625</v>
      </c>
    </row>
    <row r="233" spans="1:7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 s="3">
        <v>248</v>
      </c>
      <c r="G233" s="3">
        <f>kursy[[#This Row],[Cena]]/kursy[[#This Row],[Odleglosc]]</f>
        <v>1.4090909090909092</v>
      </c>
    </row>
    <row r="234" spans="1:7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 s="3">
        <v>550</v>
      </c>
      <c r="G234" s="3">
        <f>kursy[[#This Row],[Cena]]/kursy[[#This Row],[Odleglosc]]</f>
        <v>3.3950617283950617</v>
      </c>
    </row>
    <row r="235" spans="1:7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 s="3">
        <v>182</v>
      </c>
      <c r="G235" s="3">
        <f>kursy[[#This Row],[Cena]]/kursy[[#This Row],[Odleglosc]]</f>
        <v>1.5826086956521739</v>
      </c>
    </row>
    <row r="236" spans="1:7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 s="3">
        <v>312</v>
      </c>
      <c r="G236" s="3">
        <f>kursy[[#This Row],[Cena]]/kursy[[#This Row],[Odleglosc]]</f>
        <v>2.6666666666666665</v>
      </c>
    </row>
    <row r="237" spans="1:7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 s="3">
        <v>255</v>
      </c>
      <c r="G237" s="3">
        <f>kursy[[#This Row],[Cena]]/kursy[[#This Row],[Odleglosc]]</f>
        <v>1.1643835616438356</v>
      </c>
    </row>
    <row r="238" spans="1:7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 s="3">
        <v>630</v>
      </c>
      <c r="G238" s="3">
        <f>kursy[[#This Row],[Cena]]/kursy[[#This Row],[Odleglosc]]</f>
        <v>3.8414634146341462</v>
      </c>
    </row>
    <row r="239" spans="1:7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 s="3">
        <v>240</v>
      </c>
      <c r="G239" s="3">
        <f>kursy[[#This Row],[Cena]]/kursy[[#This Row],[Odleglosc]]</f>
        <v>1.7021276595744681</v>
      </c>
    </row>
    <row r="240" spans="1:7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 s="3">
        <v>464</v>
      </c>
      <c r="G240" s="3">
        <f>kursy[[#This Row],[Cena]]/kursy[[#This Row],[Odleglosc]]</f>
        <v>3.1140939597315436</v>
      </c>
    </row>
    <row r="241" spans="1:7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 s="3">
        <v>577</v>
      </c>
      <c r="G241" s="3">
        <f>kursy[[#This Row],[Cena]]/kursy[[#This Row],[Odleglosc]]</f>
        <v>3.4759036144578315</v>
      </c>
    </row>
    <row r="242" spans="1:7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 s="3">
        <v>469</v>
      </c>
      <c r="G242" s="3">
        <f>kursy[[#This Row],[Cena]]/kursy[[#This Row],[Odleglosc]]</f>
        <v>3.4233576642335768</v>
      </c>
    </row>
    <row r="243" spans="1:7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 s="3">
        <v>528</v>
      </c>
      <c r="G243" s="3">
        <f>kursy[[#This Row],[Cena]]/kursy[[#This Row],[Odleglosc]]</f>
        <v>1.3894736842105264</v>
      </c>
    </row>
    <row r="244" spans="1:7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 s="3">
        <v>134</v>
      </c>
      <c r="G244" s="3">
        <f>kursy[[#This Row],[Cena]]/kursy[[#This Row],[Odleglosc]]</f>
        <v>1.2293577981651376</v>
      </c>
    </row>
    <row r="245" spans="1:7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 s="3">
        <v>345</v>
      </c>
      <c r="G245" s="3">
        <f>kursy[[#This Row],[Cena]]/kursy[[#This Row],[Odleglosc]]</f>
        <v>2.5555555555555554</v>
      </c>
    </row>
    <row r="246" spans="1:7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 s="3">
        <v>163</v>
      </c>
      <c r="G246" s="3">
        <f>kursy[[#This Row],[Cena]]/kursy[[#This Row],[Odleglosc]]</f>
        <v>1.8953488372093024</v>
      </c>
    </row>
    <row r="247" spans="1:7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 s="3">
        <v>54</v>
      </c>
      <c r="G247" s="3">
        <f>kursy[[#This Row],[Cena]]/kursy[[#This Row],[Odleglosc]]</f>
        <v>1.7419354838709677</v>
      </c>
    </row>
    <row r="248" spans="1:7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 s="3">
        <v>301</v>
      </c>
      <c r="G248" s="3">
        <f>kursy[[#This Row],[Cena]]/kursy[[#This Row],[Odleglosc]]</f>
        <v>1.9802631578947369</v>
      </c>
    </row>
    <row r="249" spans="1:7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 s="3">
        <v>275</v>
      </c>
      <c r="G249" s="3">
        <f>kursy[[#This Row],[Cena]]/kursy[[#This Row],[Odleglosc]]</f>
        <v>2.6442307692307692</v>
      </c>
    </row>
    <row r="250" spans="1:7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 s="3">
        <v>193</v>
      </c>
      <c r="G250" s="3">
        <f>kursy[[#This Row],[Cena]]/kursy[[#This Row],[Odleglosc]]</f>
        <v>1.128654970760234</v>
      </c>
    </row>
    <row r="251" spans="1:7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 s="3">
        <v>170</v>
      </c>
      <c r="G251" s="3">
        <f>kursy[[#This Row],[Cena]]/kursy[[#This Row],[Odleglosc]]</f>
        <v>1.36</v>
      </c>
    </row>
    <row r="252" spans="1:7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 s="3">
        <v>245</v>
      </c>
      <c r="G252" s="3">
        <f>kursy[[#This Row],[Cena]]/kursy[[#This Row],[Odleglosc]]</f>
        <v>1.8702290076335877</v>
      </c>
    </row>
    <row r="253" spans="1:7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 s="3">
        <v>115</v>
      </c>
      <c r="G253" s="3">
        <f>kursy[[#This Row],[Cena]]/kursy[[#This Row],[Odleglosc]]</f>
        <v>1.1386138613861385</v>
      </c>
    </row>
    <row r="254" spans="1:7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 s="3">
        <v>670</v>
      </c>
      <c r="G254" s="3">
        <f>kursy[[#This Row],[Cena]]/kursy[[#This Row],[Odleglosc]]</f>
        <v>3.175355450236967</v>
      </c>
    </row>
    <row r="255" spans="1:7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 s="3">
        <v>254</v>
      </c>
      <c r="G255" s="3">
        <f>kursy[[#This Row],[Cena]]/kursy[[#This Row],[Odleglosc]]</f>
        <v>2.134453781512605</v>
      </c>
    </row>
    <row r="256" spans="1:7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 s="3">
        <v>192</v>
      </c>
      <c r="G256" s="3">
        <f>kursy[[#This Row],[Cena]]/kursy[[#This Row],[Odleglosc]]</f>
        <v>1.2075471698113207</v>
      </c>
    </row>
    <row r="257" spans="1:7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 s="3">
        <v>390</v>
      </c>
      <c r="G257" s="3">
        <f>kursy[[#This Row],[Cena]]/kursy[[#This Row],[Odleglosc]]</f>
        <v>3.0708661417322833</v>
      </c>
    </row>
    <row r="258" spans="1:7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 s="3">
        <v>688</v>
      </c>
      <c r="G258" s="3">
        <f>kursy[[#This Row],[Cena]]/kursy[[#This Row],[Odleglosc]]</f>
        <v>2.4571428571428573</v>
      </c>
    </row>
    <row r="259" spans="1:7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 s="3">
        <v>547</v>
      </c>
      <c r="G259" s="3">
        <f>kursy[[#This Row],[Cena]]/kursy[[#This Row],[Odleglosc]]</f>
        <v>3.8794326241134751</v>
      </c>
    </row>
    <row r="260" spans="1:7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 s="3">
        <v>363</v>
      </c>
      <c r="G260" s="3">
        <f>kursy[[#This Row],[Cena]]/kursy[[#This Row],[Odleglosc]]</f>
        <v>2.9754098360655736</v>
      </c>
    </row>
    <row r="261" spans="1:7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 s="3">
        <v>240</v>
      </c>
      <c r="G261" s="3">
        <f>kursy[[#This Row],[Cena]]/kursy[[#This Row],[Odleglosc]]</f>
        <v>1.4906832298136645</v>
      </c>
    </row>
    <row r="262" spans="1:7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 s="3">
        <v>579</v>
      </c>
      <c r="G262" s="3">
        <f>kursy[[#This Row],[Cena]]/kursy[[#This Row],[Odleglosc]]</f>
        <v>2.5848214285714284</v>
      </c>
    </row>
    <row r="263" spans="1:7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 s="3">
        <v>574</v>
      </c>
      <c r="G263" s="3">
        <f>kursy[[#This Row],[Cena]]/kursy[[#This Row],[Odleglosc]]</f>
        <v>3.4578313253012047</v>
      </c>
    </row>
    <row r="264" spans="1:7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 s="3">
        <v>202</v>
      </c>
      <c r="G264" s="3">
        <f>kursy[[#This Row],[Cena]]/kursy[[#This Row],[Odleglosc]]</f>
        <v>1.8878504672897196</v>
      </c>
    </row>
    <row r="265" spans="1:7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 s="3">
        <v>325</v>
      </c>
      <c r="G265" s="3">
        <f>kursy[[#This Row],[Cena]]/kursy[[#This Row],[Odleglosc]]</f>
        <v>2.3897058823529411</v>
      </c>
    </row>
    <row r="266" spans="1:7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 s="3">
        <v>634</v>
      </c>
      <c r="G266" s="3">
        <f>kursy[[#This Row],[Cena]]/kursy[[#This Row],[Odleglosc]]</f>
        <v>3.5617977528089888</v>
      </c>
    </row>
    <row r="267" spans="1:7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 s="3">
        <v>408</v>
      </c>
      <c r="G267" s="3">
        <f>kursy[[#This Row],[Cena]]/kursy[[#This Row],[Odleglosc]]</f>
        <v>2.5185185185185186</v>
      </c>
    </row>
    <row r="268" spans="1:7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 s="3">
        <v>1098</v>
      </c>
      <c r="G268" s="3">
        <f>kursy[[#This Row],[Cena]]/kursy[[#This Row],[Odleglosc]]</f>
        <v>2.4785553047404063</v>
      </c>
    </row>
    <row r="269" spans="1:7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 s="3">
        <v>432</v>
      </c>
      <c r="G269" s="3">
        <f>kursy[[#This Row],[Cena]]/kursy[[#This Row],[Odleglosc]]</f>
        <v>2.9387755102040818</v>
      </c>
    </row>
    <row r="270" spans="1:7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 s="3">
        <v>1185</v>
      </c>
      <c r="G270" s="3">
        <f>kursy[[#This Row],[Cena]]/kursy[[#This Row],[Odleglosc]]</f>
        <v>2.3987854251012144</v>
      </c>
    </row>
    <row r="271" spans="1:7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 s="3">
        <v>181</v>
      </c>
      <c r="G271" s="3">
        <f>kursy[[#This Row],[Cena]]/kursy[[#This Row],[Odleglosc]]</f>
        <v>1.946236559139785</v>
      </c>
    </row>
    <row r="272" spans="1:7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 s="3">
        <v>366</v>
      </c>
      <c r="G272" s="3">
        <f>kursy[[#This Row],[Cena]]/kursy[[#This Row],[Odleglosc]]</f>
        <v>3.3577981651376145</v>
      </c>
    </row>
    <row r="273" spans="1:7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 s="3">
        <v>263</v>
      </c>
      <c r="G273" s="3">
        <f>kursy[[#This Row],[Cena]]/kursy[[#This Row],[Odleglosc]]</f>
        <v>2.3482142857142856</v>
      </c>
    </row>
    <row r="274" spans="1:7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 s="3">
        <v>196</v>
      </c>
      <c r="G274" s="3">
        <f>kursy[[#This Row],[Cena]]/kursy[[#This Row],[Odleglosc]]</f>
        <v>1.798165137614679</v>
      </c>
    </row>
    <row r="275" spans="1:7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 s="3">
        <v>150</v>
      </c>
      <c r="G275" s="3">
        <f>kursy[[#This Row],[Cena]]/kursy[[#This Row],[Odleglosc]]</f>
        <v>1.2096774193548387</v>
      </c>
    </row>
    <row r="276" spans="1:7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 s="3">
        <v>435</v>
      </c>
      <c r="G276" s="3">
        <f>kursy[[#This Row],[Cena]]/kursy[[#This Row],[Odleglosc]]</f>
        <v>4.1826923076923075</v>
      </c>
    </row>
    <row r="277" spans="1:7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 s="3">
        <v>717</v>
      </c>
      <c r="G277" s="3">
        <f>kursy[[#This Row],[Cena]]/kursy[[#This Row],[Odleglosc]]</f>
        <v>2.7898832684824901</v>
      </c>
    </row>
    <row r="278" spans="1:7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 s="3">
        <v>310</v>
      </c>
      <c r="G278" s="3">
        <f>kursy[[#This Row],[Cena]]/kursy[[#This Row],[Odleglosc]]</f>
        <v>2.7433628318584069</v>
      </c>
    </row>
    <row r="279" spans="1:7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 s="3">
        <v>1436</v>
      </c>
      <c r="G279" s="3">
        <f>kursy[[#This Row],[Cena]]/kursy[[#This Row],[Odleglosc]]</f>
        <v>3.511002444987775</v>
      </c>
    </row>
    <row r="280" spans="1:7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 s="3">
        <v>400</v>
      </c>
      <c r="G280" s="3">
        <f>kursy[[#This Row],[Cena]]/kursy[[#This Row],[Odleglosc]]</f>
        <v>3.6363636363636362</v>
      </c>
    </row>
    <row r="281" spans="1:7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 s="3">
        <v>163</v>
      </c>
      <c r="G281" s="3">
        <f>kursy[[#This Row],[Cena]]/kursy[[#This Row],[Odleglosc]]</f>
        <v>1.2348484848484849</v>
      </c>
    </row>
    <row r="282" spans="1:7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 s="3">
        <v>273</v>
      </c>
      <c r="G282" s="3">
        <f>kursy[[#This Row],[Cena]]/kursy[[#This Row],[Odleglosc]]</f>
        <v>1.6058823529411765</v>
      </c>
    </row>
    <row r="283" spans="1:7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 s="3">
        <v>279</v>
      </c>
      <c r="G283" s="3">
        <f>kursy[[#This Row],[Cena]]/kursy[[#This Row],[Odleglosc]]</f>
        <v>2.5363636363636362</v>
      </c>
    </row>
    <row r="284" spans="1:7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 s="3">
        <v>455</v>
      </c>
      <c r="G284" s="3">
        <f>kursy[[#This Row],[Cena]]/kursy[[#This Row],[Odleglosc]]</f>
        <v>3.2971014492753623</v>
      </c>
    </row>
    <row r="285" spans="1:7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 s="3">
        <v>370</v>
      </c>
      <c r="G285" s="3">
        <f>kursy[[#This Row],[Cena]]/kursy[[#This Row],[Odleglosc]]</f>
        <v>3.2456140350877192</v>
      </c>
    </row>
    <row r="286" spans="1:7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 s="3">
        <v>319</v>
      </c>
      <c r="G286" s="3">
        <f>kursy[[#This Row],[Cena]]/kursy[[#This Row],[Odleglosc]]</f>
        <v>2.2624113475177303</v>
      </c>
    </row>
    <row r="287" spans="1:7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 s="3">
        <v>396</v>
      </c>
      <c r="G287" s="3">
        <f>kursy[[#This Row],[Cena]]/kursy[[#This Row],[Odleglosc]]</f>
        <v>3.1428571428571428</v>
      </c>
    </row>
    <row r="288" spans="1:7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 s="3">
        <v>158</v>
      </c>
      <c r="G288" s="3">
        <f>kursy[[#This Row],[Cena]]/kursy[[#This Row],[Odleglosc]]</f>
        <v>1.2061068702290076</v>
      </c>
    </row>
    <row r="289" spans="1:7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 s="3">
        <v>280</v>
      </c>
      <c r="G289" s="3">
        <f>kursy[[#This Row],[Cena]]/kursy[[#This Row],[Odleglosc]]</f>
        <v>1.7948717948717949</v>
      </c>
    </row>
    <row r="290" spans="1:7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 s="3">
        <v>475</v>
      </c>
      <c r="G290" s="3">
        <f>kursy[[#This Row],[Cena]]/kursy[[#This Row],[Odleglosc]]</f>
        <v>3.4172661870503598</v>
      </c>
    </row>
    <row r="291" spans="1:7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 s="3">
        <v>193</v>
      </c>
      <c r="G291" s="3">
        <f>kursy[[#This Row],[Cena]]/kursy[[#This Row],[Odleglosc]]</f>
        <v>1.5950413223140496</v>
      </c>
    </row>
    <row r="292" spans="1:7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 s="3">
        <v>476</v>
      </c>
      <c r="G292" s="3">
        <f>kursy[[#This Row],[Cena]]/kursy[[#This Row],[Odleglosc]]</f>
        <v>2.9937106918238992</v>
      </c>
    </row>
    <row r="293" spans="1:7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 s="3">
        <v>338</v>
      </c>
      <c r="G293" s="3">
        <f>kursy[[#This Row],[Cena]]/kursy[[#This Row],[Odleglosc]]</f>
        <v>2.1124999999999998</v>
      </c>
    </row>
    <row r="294" spans="1:7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 s="3">
        <v>359</v>
      </c>
      <c r="G294" s="3">
        <f>kursy[[#This Row],[Cena]]/kursy[[#This Row],[Odleglosc]]</f>
        <v>2.2024539877300615</v>
      </c>
    </row>
    <row r="295" spans="1:7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 s="3">
        <v>760</v>
      </c>
      <c r="G295" s="3">
        <f>kursy[[#This Row],[Cena]]/kursy[[#This Row],[Odleglosc]]</f>
        <v>4.1758241758241761</v>
      </c>
    </row>
    <row r="296" spans="1:7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 s="3">
        <v>1198</v>
      </c>
      <c r="G296" s="3">
        <f>kursy[[#This Row],[Cena]]/kursy[[#This Row],[Odleglosc]]</f>
        <v>2.2144177449168208</v>
      </c>
    </row>
    <row r="297" spans="1:7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 s="3">
        <v>168</v>
      </c>
      <c r="G297" s="3">
        <f>kursy[[#This Row],[Cena]]/kursy[[#This Row],[Odleglosc]]</f>
        <v>1.1125827814569536</v>
      </c>
    </row>
    <row r="298" spans="1:7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 s="3">
        <v>323</v>
      </c>
      <c r="G298" s="3">
        <f>kursy[[#This Row],[Cena]]/kursy[[#This Row],[Odleglosc]]</f>
        <v>2.3576642335766422</v>
      </c>
    </row>
    <row r="299" spans="1:7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 s="3">
        <v>341</v>
      </c>
      <c r="G299" s="3">
        <f>kursy[[#This Row],[Cena]]/kursy[[#This Row],[Odleglosc]]</f>
        <v>2.2885906040268456</v>
      </c>
    </row>
    <row r="300" spans="1:7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 s="3">
        <v>491</v>
      </c>
      <c r="G300" s="3">
        <f>kursy[[#This Row],[Cena]]/kursy[[#This Row],[Odleglosc]]</f>
        <v>3.2302631578947367</v>
      </c>
    </row>
    <row r="301" spans="1:7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 s="3">
        <v>219</v>
      </c>
      <c r="G301" s="3">
        <f>kursy[[#This Row],[Cena]]/kursy[[#This Row],[Odleglosc]]</f>
        <v>1.7380952380952381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opLeftCell="A2" workbookViewId="0">
      <selection activeCell="A2" sqref="A2:G301"/>
    </sheetView>
  </sheetViews>
  <sheetFormatPr defaultRowHeight="15" x14ac:dyDescent="0.25"/>
  <cols>
    <col min="3" max="3" width="30.28515625" customWidth="1"/>
    <col min="6" max="6" width="13" customWidth="1"/>
  </cols>
  <sheetData>
    <row r="1" spans="1:7" x14ac:dyDescent="0.25">
      <c r="A1" t="s">
        <v>1</v>
      </c>
      <c r="B1" t="s">
        <v>2</v>
      </c>
      <c r="C1" t="s">
        <v>85</v>
      </c>
      <c r="D1" t="s">
        <v>3</v>
      </c>
      <c r="E1" t="s">
        <v>4</v>
      </c>
      <c r="F1" t="s">
        <v>5</v>
      </c>
      <c r="G1" t="s">
        <v>74</v>
      </c>
    </row>
    <row r="2" spans="1:7" x14ac:dyDescent="0.25">
      <c r="A2" s="2" t="s">
        <v>6</v>
      </c>
      <c r="B2" s="2" t="s">
        <v>7</v>
      </c>
      <c r="C2" s="2" t="str">
        <f>_xlfn.CONCAT(kursy3[[#This Row],[Poczatek]]," -&gt; ",kursy3[[#This Row],[Koniec]])</f>
        <v>Olsztyn -&gt; Torun</v>
      </c>
      <c r="D2">
        <v>3527</v>
      </c>
      <c r="E2">
        <v>167</v>
      </c>
      <c r="F2" s="3">
        <v>206</v>
      </c>
      <c r="G2" s="3">
        <f>kursy3[[#This Row],[Cena]]/kursy3[[#This Row],[Odleglosc]]</f>
        <v>1.2335329341317365</v>
      </c>
    </row>
    <row r="3" spans="1:7" x14ac:dyDescent="0.25">
      <c r="A3" s="2" t="s">
        <v>7</v>
      </c>
      <c r="B3" s="2" t="s">
        <v>8</v>
      </c>
      <c r="C3" s="2" t="str">
        <f>_xlfn.CONCAT(kursy3[[#This Row],[Poczatek]]," -&gt; ",kursy3[[#This Row],[Koniec]])</f>
        <v>Torun -&gt; Plock</v>
      </c>
      <c r="D3">
        <v>3666</v>
      </c>
      <c r="E3">
        <v>112</v>
      </c>
      <c r="F3" s="3">
        <v>280</v>
      </c>
      <c r="G3" s="3">
        <f>kursy3[[#This Row],[Cena]]/kursy3[[#This Row],[Odleglosc]]</f>
        <v>2.5</v>
      </c>
    </row>
    <row r="4" spans="1:7" x14ac:dyDescent="0.25">
      <c r="A4" s="2" t="s">
        <v>8</v>
      </c>
      <c r="B4" s="2" t="s">
        <v>9</v>
      </c>
      <c r="C4" s="2" t="str">
        <f>_xlfn.CONCAT(kursy3[[#This Row],[Poczatek]]," -&gt; ",kursy3[[#This Row],[Koniec]])</f>
        <v>Plock -&gt; Ostroleka</v>
      </c>
      <c r="D4">
        <v>4888</v>
      </c>
      <c r="E4">
        <v>167</v>
      </c>
      <c r="F4" s="3">
        <v>624</v>
      </c>
      <c r="G4" s="3">
        <f>kursy3[[#This Row],[Cena]]/kursy3[[#This Row],[Odleglosc]]</f>
        <v>3.7365269461077846</v>
      </c>
    </row>
    <row r="5" spans="1:7" x14ac:dyDescent="0.25">
      <c r="A5" s="2" t="s">
        <v>9</v>
      </c>
      <c r="B5" s="2" t="s">
        <v>10</v>
      </c>
      <c r="C5" s="2" t="str">
        <f>_xlfn.CONCAT(kursy3[[#This Row],[Poczatek]]," -&gt; ",kursy3[[#This Row],[Koniec]])</f>
        <v>Ostroleka -&gt; Suwalki</v>
      </c>
      <c r="D5">
        <v>1099</v>
      </c>
      <c r="E5">
        <v>167</v>
      </c>
      <c r="F5" s="3">
        <v>390</v>
      </c>
      <c r="G5" s="3">
        <f>kursy3[[#This Row],[Cena]]/kursy3[[#This Row],[Odleglosc]]</f>
        <v>2.3353293413173652</v>
      </c>
    </row>
    <row r="6" spans="1:7" x14ac:dyDescent="0.25">
      <c r="A6" s="2" t="s">
        <v>11</v>
      </c>
      <c r="B6" s="2" t="s">
        <v>12</v>
      </c>
      <c r="C6" s="2" t="str">
        <f>_xlfn.CONCAT(kursy3[[#This Row],[Poczatek]]," -&gt; ",kursy3[[#This Row],[Koniec]])</f>
        <v>Lomza -&gt; Ciechanow</v>
      </c>
      <c r="D6">
        <v>4881</v>
      </c>
      <c r="E6">
        <v>118</v>
      </c>
      <c r="F6" s="3">
        <v>219</v>
      </c>
      <c r="G6" s="3">
        <f>kursy3[[#This Row],[Cena]]/kursy3[[#This Row],[Odleglosc]]</f>
        <v>1.8559322033898304</v>
      </c>
    </row>
    <row r="7" spans="1:7" x14ac:dyDescent="0.25">
      <c r="A7" s="2" t="s">
        <v>12</v>
      </c>
      <c r="B7" s="2" t="s">
        <v>11</v>
      </c>
      <c r="C7" s="2" t="str">
        <f>_xlfn.CONCAT(kursy3[[#This Row],[Poczatek]]," -&gt; ",kursy3[[#This Row],[Koniec]])</f>
        <v>Ciechanow -&gt; Lomza</v>
      </c>
      <c r="D7">
        <v>5851</v>
      </c>
      <c r="E7">
        <v>113</v>
      </c>
      <c r="F7" s="3">
        <v>160</v>
      </c>
      <c r="G7" s="3">
        <f>kursy3[[#This Row],[Cena]]/kursy3[[#This Row],[Odleglosc]]</f>
        <v>1.415929203539823</v>
      </c>
    </row>
    <row r="8" spans="1:7" x14ac:dyDescent="0.25">
      <c r="A8" s="2" t="s">
        <v>11</v>
      </c>
      <c r="B8" s="2" t="s">
        <v>13</v>
      </c>
      <c r="C8" s="2" t="str">
        <f>_xlfn.CONCAT(kursy3[[#This Row],[Poczatek]]," -&gt; ",kursy3[[#This Row],[Koniec]])</f>
        <v>Lomza -&gt; Kuznica Bialostocka</v>
      </c>
      <c r="D8">
        <v>5963</v>
      </c>
      <c r="E8">
        <v>141</v>
      </c>
      <c r="F8" s="3">
        <v>168</v>
      </c>
      <c r="G8" s="3">
        <f>kursy3[[#This Row],[Cena]]/kursy3[[#This Row],[Odleglosc]]</f>
        <v>1.1914893617021276</v>
      </c>
    </row>
    <row r="9" spans="1:7" x14ac:dyDescent="0.25">
      <c r="A9" s="2" t="s">
        <v>13</v>
      </c>
      <c r="B9" s="2" t="s">
        <v>9</v>
      </c>
      <c r="C9" s="2" t="str">
        <f>_xlfn.CONCAT(kursy3[[#This Row],[Poczatek]]," -&gt; ",kursy3[[#This Row],[Koniec]])</f>
        <v>Kuznica Bialostocka -&gt; Ostroleka</v>
      </c>
      <c r="D9">
        <v>1364</v>
      </c>
      <c r="E9">
        <v>179</v>
      </c>
      <c r="F9" s="3">
        <v>533</v>
      </c>
      <c r="G9" s="3">
        <f>kursy3[[#This Row],[Cena]]/kursy3[[#This Row],[Odleglosc]]</f>
        <v>2.977653631284916</v>
      </c>
    </row>
    <row r="10" spans="1:7" x14ac:dyDescent="0.25">
      <c r="A10" s="2" t="s">
        <v>9</v>
      </c>
      <c r="B10" s="2" t="s">
        <v>10</v>
      </c>
      <c r="C10" s="2" t="str">
        <f>_xlfn.CONCAT(kursy3[[#This Row],[Poczatek]]," -&gt; ",kursy3[[#This Row],[Koniec]])</f>
        <v>Ostroleka -&gt; Suwalki</v>
      </c>
      <c r="D10">
        <v>1245</v>
      </c>
      <c r="E10">
        <v>166</v>
      </c>
      <c r="F10" s="3">
        <v>209</v>
      </c>
      <c r="G10" s="3">
        <f>kursy3[[#This Row],[Cena]]/kursy3[[#This Row],[Odleglosc]]</f>
        <v>1.2590361445783131</v>
      </c>
    </row>
    <row r="11" spans="1:7" x14ac:dyDescent="0.25">
      <c r="A11" s="2" t="s">
        <v>14</v>
      </c>
      <c r="B11" s="2" t="s">
        <v>15</v>
      </c>
      <c r="C11" s="2" t="str">
        <f>_xlfn.CONCAT(kursy3[[#This Row],[Poczatek]]," -&gt; ",kursy3[[#This Row],[Koniec]])</f>
        <v>Poznan -&gt; Gubin</v>
      </c>
      <c r="D11">
        <v>3771</v>
      </c>
      <c r="E11">
        <v>196</v>
      </c>
      <c r="F11" s="3">
        <v>696</v>
      </c>
      <c r="G11" s="3">
        <f>kursy3[[#This Row],[Cena]]/kursy3[[#This Row],[Odleglosc]]</f>
        <v>3.5510204081632653</v>
      </c>
    </row>
    <row r="12" spans="1:7" x14ac:dyDescent="0.25">
      <c r="A12" s="2" t="s">
        <v>16</v>
      </c>
      <c r="B12" s="2" t="s">
        <v>17</v>
      </c>
      <c r="C12" s="2" t="str">
        <f>_xlfn.CONCAT(kursy3[[#This Row],[Poczatek]]," -&gt; ",kursy3[[#This Row],[Koniec]])</f>
        <v>Skierniewice -&gt; Tarnow</v>
      </c>
      <c r="D12">
        <v>4522</v>
      </c>
      <c r="E12">
        <v>300</v>
      </c>
      <c r="F12" s="3">
        <v>1113</v>
      </c>
      <c r="G12" s="3">
        <f>kursy3[[#This Row],[Cena]]/kursy3[[#This Row],[Odleglosc]]</f>
        <v>3.71</v>
      </c>
    </row>
    <row r="13" spans="1:7" x14ac:dyDescent="0.25">
      <c r="A13" s="2" t="s">
        <v>17</v>
      </c>
      <c r="B13" s="2" t="s">
        <v>18</v>
      </c>
      <c r="C13" s="2" t="str">
        <f>_xlfn.CONCAT(kursy3[[#This Row],[Poczatek]]," -&gt; ",kursy3[[#This Row],[Koniec]])</f>
        <v>Tarnow -&gt; Katowice</v>
      </c>
      <c r="D13">
        <v>4588</v>
      </c>
      <c r="E13">
        <v>148</v>
      </c>
      <c r="F13" s="3">
        <v>494</v>
      </c>
      <c r="G13" s="3">
        <f>kursy3[[#This Row],[Cena]]/kursy3[[#This Row],[Odleglosc]]</f>
        <v>3.3378378378378377</v>
      </c>
    </row>
    <row r="14" spans="1:7" x14ac:dyDescent="0.25">
      <c r="A14" s="2" t="s">
        <v>19</v>
      </c>
      <c r="B14" s="2" t="s">
        <v>20</v>
      </c>
      <c r="C14" s="2" t="str">
        <f>_xlfn.CONCAT(kursy3[[#This Row],[Poczatek]]," -&gt; ",kursy3[[#This Row],[Koniec]])</f>
        <v>Radom -&gt; Konin</v>
      </c>
      <c r="D14">
        <v>1952</v>
      </c>
      <c r="E14">
        <v>267</v>
      </c>
      <c r="F14" s="3">
        <v>602</v>
      </c>
      <c r="G14" s="3">
        <f>kursy3[[#This Row],[Cena]]/kursy3[[#This Row],[Odleglosc]]</f>
        <v>2.2546816479400751</v>
      </c>
    </row>
    <row r="15" spans="1:7" x14ac:dyDescent="0.25">
      <c r="A15" s="2" t="s">
        <v>20</v>
      </c>
      <c r="B15" s="2" t="s">
        <v>7</v>
      </c>
      <c r="C15" s="2" t="str">
        <f>_xlfn.CONCAT(kursy3[[#This Row],[Poczatek]]," -&gt; ",kursy3[[#This Row],[Koniec]])</f>
        <v>Konin -&gt; Torun</v>
      </c>
      <c r="D15">
        <v>3318</v>
      </c>
      <c r="E15">
        <v>110</v>
      </c>
      <c r="F15" s="3">
        <v>422</v>
      </c>
      <c r="G15" s="3">
        <f>kursy3[[#This Row],[Cena]]/kursy3[[#This Row],[Odleglosc]]</f>
        <v>3.8363636363636364</v>
      </c>
    </row>
    <row r="16" spans="1:7" x14ac:dyDescent="0.25">
      <c r="A16" s="2" t="s">
        <v>13</v>
      </c>
      <c r="B16" s="2" t="s">
        <v>9</v>
      </c>
      <c r="C16" s="2" t="str">
        <f>_xlfn.CONCAT(kursy3[[#This Row],[Poczatek]]," -&gt; ",kursy3[[#This Row],[Koniec]])</f>
        <v>Kuznica Bialostocka -&gt; Ostroleka</v>
      </c>
      <c r="D16">
        <v>3106</v>
      </c>
      <c r="E16">
        <v>173</v>
      </c>
      <c r="F16" s="3">
        <v>312</v>
      </c>
      <c r="G16" s="3">
        <f>kursy3[[#This Row],[Cena]]/kursy3[[#This Row],[Odleglosc]]</f>
        <v>1.8034682080924855</v>
      </c>
    </row>
    <row r="17" spans="1:7" x14ac:dyDescent="0.25">
      <c r="A17" s="2" t="s">
        <v>9</v>
      </c>
      <c r="B17" s="2" t="s">
        <v>6</v>
      </c>
      <c r="C17" s="2" t="str">
        <f>_xlfn.CONCAT(kursy3[[#This Row],[Poczatek]]," -&gt; ",kursy3[[#This Row],[Koniec]])</f>
        <v>Ostroleka -&gt; Olsztyn</v>
      </c>
      <c r="D17">
        <v>5593</v>
      </c>
      <c r="E17">
        <v>127</v>
      </c>
      <c r="F17" s="3">
        <v>421</v>
      </c>
      <c r="G17" s="3">
        <f>kursy3[[#This Row],[Cena]]/kursy3[[#This Row],[Odleglosc]]</f>
        <v>3.3149606299212597</v>
      </c>
    </row>
    <row r="18" spans="1:7" x14ac:dyDescent="0.25">
      <c r="A18" s="2" t="s">
        <v>6</v>
      </c>
      <c r="B18" s="2" t="s">
        <v>12</v>
      </c>
      <c r="C18" s="2" t="str">
        <f>_xlfn.CONCAT(kursy3[[#This Row],[Poczatek]]," -&gt; ",kursy3[[#This Row],[Koniec]])</f>
        <v>Olsztyn -&gt; Ciechanow</v>
      </c>
      <c r="D18">
        <v>5983</v>
      </c>
      <c r="E18">
        <v>118</v>
      </c>
      <c r="F18" s="3">
        <v>416</v>
      </c>
      <c r="G18" s="3">
        <f>kursy3[[#This Row],[Cena]]/kursy3[[#This Row],[Odleglosc]]</f>
        <v>3.5254237288135593</v>
      </c>
    </row>
    <row r="19" spans="1:7" x14ac:dyDescent="0.25">
      <c r="A19" s="2" t="s">
        <v>12</v>
      </c>
      <c r="B19" s="2" t="s">
        <v>6</v>
      </c>
      <c r="C19" s="2" t="str">
        <f>_xlfn.CONCAT(kursy3[[#This Row],[Poczatek]]," -&gt; ",kursy3[[#This Row],[Koniec]])</f>
        <v>Ciechanow -&gt; Olsztyn</v>
      </c>
      <c r="D19">
        <v>5496</v>
      </c>
      <c r="E19">
        <v>115</v>
      </c>
      <c r="F19" s="3">
        <v>291</v>
      </c>
      <c r="G19" s="3">
        <f>kursy3[[#This Row],[Cena]]/kursy3[[#This Row],[Odleglosc]]</f>
        <v>2.5304347826086957</v>
      </c>
    </row>
    <row r="20" spans="1:7" x14ac:dyDescent="0.25">
      <c r="A20" s="2" t="s">
        <v>6</v>
      </c>
      <c r="B20" s="2" t="s">
        <v>11</v>
      </c>
      <c r="C20" s="2" t="str">
        <f>_xlfn.CONCAT(kursy3[[#This Row],[Poczatek]]," -&gt; ",kursy3[[#This Row],[Koniec]])</f>
        <v>Olsztyn -&gt; Lomza</v>
      </c>
      <c r="D20">
        <v>4572</v>
      </c>
      <c r="E20">
        <v>164</v>
      </c>
      <c r="F20" s="3">
        <v>550</v>
      </c>
      <c r="G20" s="3">
        <f>kursy3[[#This Row],[Cena]]/kursy3[[#This Row],[Odleglosc]]</f>
        <v>3.3536585365853657</v>
      </c>
    </row>
    <row r="21" spans="1:7" x14ac:dyDescent="0.25">
      <c r="A21" s="2" t="s">
        <v>11</v>
      </c>
      <c r="B21" s="2" t="s">
        <v>12</v>
      </c>
      <c r="C21" s="2" t="str">
        <f>_xlfn.CONCAT(kursy3[[#This Row],[Poczatek]]," -&gt; ",kursy3[[#This Row],[Koniec]])</f>
        <v>Lomza -&gt; Ciechanow</v>
      </c>
      <c r="D21">
        <v>4529</v>
      </c>
      <c r="E21">
        <v>121</v>
      </c>
      <c r="F21" s="3">
        <v>373</v>
      </c>
      <c r="G21" s="3">
        <f>kursy3[[#This Row],[Cena]]/kursy3[[#This Row],[Odleglosc]]</f>
        <v>3.0826446280991737</v>
      </c>
    </row>
    <row r="22" spans="1:7" x14ac:dyDescent="0.25">
      <c r="A22" s="2" t="s">
        <v>12</v>
      </c>
      <c r="B22" s="2" t="s">
        <v>6</v>
      </c>
      <c r="C22" s="2" t="str">
        <f>_xlfn.CONCAT(kursy3[[#This Row],[Poczatek]]," -&gt; ",kursy3[[#This Row],[Koniec]])</f>
        <v>Ciechanow -&gt; Olsztyn</v>
      </c>
      <c r="D22">
        <v>4981</v>
      </c>
      <c r="E22">
        <v>123</v>
      </c>
      <c r="F22" s="3">
        <v>218</v>
      </c>
      <c r="G22" s="3">
        <f>kursy3[[#This Row],[Cena]]/kursy3[[#This Row],[Odleglosc]]</f>
        <v>1.7723577235772359</v>
      </c>
    </row>
    <row r="23" spans="1:7" x14ac:dyDescent="0.25">
      <c r="A23" s="2" t="s">
        <v>6</v>
      </c>
      <c r="B23" s="2" t="s">
        <v>7</v>
      </c>
      <c r="C23" s="2" t="str">
        <f>_xlfn.CONCAT(kursy3[[#This Row],[Poczatek]]," -&gt; ",kursy3[[#This Row],[Koniec]])</f>
        <v>Olsztyn -&gt; Torun</v>
      </c>
      <c r="D23">
        <v>3808</v>
      </c>
      <c r="E23">
        <v>163</v>
      </c>
      <c r="F23" s="3">
        <v>655</v>
      </c>
      <c r="G23" s="3">
        <f>kursy3[[#This Row],[Cena]]/kursy3[[#This Row],[Odleglosc]]</f>
        <v>4.0184049079754605</v>
      </c>
    </row>
    <row r="24" spans="1:7" x14ac:dyDescent="0.25">
      <c r="A24" s="2" t="s">
        <v>7</v>
      </c>
      <c r="B24" s="2" t="s">
        <v>21</v>
      </c>
      <c r="C24" s="2" t="str">
        <f>_xlfn.CONCAT(kursy3[[#This Row],[Poczatek]]," -&gt; ",kursy3[[#This Row],[Koniec]])</f>
        <v>Torun -&gt; Pila</v>
      </c>
      <c r="D24">
        <v>1359</v>
      </c>
      <c r="E24">
        <v>130</v>
      </c>
      <c r="F24" s="3">
        <v>346</v>
      </c>
      <c r="G24" s="3">
        <f>kursy3[[#This Row],[Cena]]/kursy3[[#This Row],[Odleglosc]]</f>
        <v>2.6615384615384614</v>
      </c>
    </row>
    <row r="25" spans="1:7" x14ac:dyDescent="0.25">
      <c r="A25" s="2" t="s">
        <v>22</v>
      </c>
      <c r="B25" s="2" t="s">
        <v>23</v>
      </c>
      <c r="C25" s="2" t="str">
        <f>_xlfn.CONCAT(kursy3[[#This Row],[Poczatek]]," -&gt; ",kursy3[[#This Row],[Koniec]])</f>
        <v>Kolbaskowo -&gt; Szczecin</v>
      </c>
      <c r="D25">
        <v>2320</v>
      </c>
      <c r="E25">
        <v>24</v>
      </c>
      <c r="F25" s="3">
        <v>68</v>
      </c>
      <c r="G25" s="3">
        <f>kursy3[[#This Row],[Cena]]/kursy3[[#This Row],[Odleglosc]]</f>
        <v>2.8333333333333335</v>
      </c>
    </row>
    <row r="26" spans="1:7" x14ac:dyDescent="0.25">
      <c r="A26" s="2" t="s">
        <v>23</v>
      </c>
      <c r="B26" s="2" t="s">
        <v>24</v>
      </c>
      <c r="C26" s="2" t="str">
        <f>_xlfn.CONCAT(kursy3[[#This Row],[Poczatek]]," -&gt; ",kursy3[[#This Row],[Koniec]])</f>
        <v>Szczecin -&gt; Swinoujscie</v>
      </c>
      <c r="D26">
        <v>2607</v>
      </c>
      <c r="E26">
        <v>115</v>
      </c>
      <c r="F26" s="3">
        <v>264</v>
      </c>
      <c r="G26" s="3">
        <f>kursy3[[#This Row],[Cena]]/kursy3[[#This Row],[Odleglosc]]</f>
        <v>2.2956521739130435</v>
      </c>
    </row>
    <row r="27" spans="1:7" x14ac:dyDescent="0.25">
      <c r="A27" s="2" t="s">
        <v>24</v>
      </c>
      <c r="B27" s="2" t="s">
        <v>23</v>
      </c>
      <c r="C27" s="2" t="str">
        <f>_xlfn.CONCAT(kursy3[[#This Row],[Poczatek]]," -&gt; ",kursy3[[#This Row],[Koniec]])</f>
        <v>Swinoujscie -&gt; Szczecin</v>
      </c>
      <c r="D27">
        <v>3657</v>
      </c>
      <c r="E27">
        <v>100</v>
      </c>
      <c r="F27" s="3">
        <v>424</v>
      </c>
      <c r="G27" s="3">
        <f>kursy3[[#This Row],[Cena]]/kursy3[[#This Row],[Odleglosc]]</f>
        <v>4.24</v>
      </c>
    </row>
    <row r="28" spans="1:7" x14ac:dyDescent="0.25">
      <c r="A28" s="2" t="s">
        <v>23</v>
      </c>
      <c r="B28" s="2" t="s">
        <v>25</v>
      </c>
      <c r="C28" s="2" t="str">
        <f>_xlfn.CONCAT(kursy3[[#This Row],[Poczatek]]," -&gt; ",kursy3[[#This Row],[Koniec]])</f>
        <v>Szczecin -&gt; Kostrzyn</v>
      </c>
      <c r="D28">
        <v>5671</v>
      </c>
      <c r="E28">
        <v>118</v>
      </c>
      <c r="F28" s="3">
        <v>390</v>
      </c>
      <c r="G28" s="3">
        <f>kursy3[[#This Row],[Cena]]/kursy3[[#This Row],[Odleglosc]]</f>
        <v>3.3050847457627119</v>
      </c>
    </row>
    <row r="29" spans="1:7" x14ac:dyDescent="0.25">
      <c r="A29" s="2" t="s">
        <v>25</v>
      </c>
      <c r="B29" s="2" t="s">
        <v>22</v>
      </c>
      <c r="C29" s="2" t="str">
        <f>_xlfn.CONCAT(kursy3[[#This Row],[Poczatek]]," -&gt; ",kursy3[[#This Row],[Koniec]])</f>
        <v>Kostrzyn -&gt; Kolbaskowo</v>
      </c>
      <c r="D29">
        <v>4871</v>
      </c>
      <c r="E29">
        <v>126</v>
      </c>
      <c r="F29" s="3">
        <v>185</v>
      </c>
      <c r="G29" s="3">
        <f>kursy3[[#This Row],[Cena]]/kursy3[[#This Row],[Odleglosc]]</f>
        <v>1.4682539682539681</v>
      </c>
    </row>
    <row r="30" spans="1:7" x14ac:dyDescent="0.25">
      <c r="A30" s="2" t="s">
        <v>22</v>
      </c>
      <c r="B30" s="2" t="s">
        <v>26</v>
      </c>
      <c r="C30" s="2" t="str">
        <f>_xlfn.CONCAT(kursy3[[#This Row],[Poczatek]]," -&gt; ",kursy3[[#This Row],[Koniec]])</f>
        <v>Kolbaskowo -&gt; Gorzow Wielkopolski</v>
      </c>
      <c r="D30">
        <v>1686</v>
      </c>
      <c r="E30">
        <v>102</v>
      </c>
      <c r="F30" s="3">
        <v>167</v>
      </c>
      <c r="G30" s="3">
        <f>kursy3[[#This Row],[Cena]]/kursy3[[#This Row],[Odleglosc]]</f>
        <v>1.6372549019607843</v>
      </c>
    </row>
    <row r="31" spans="1:7" x14ac:dyDescent="0.25">
      <c r="A31" s="2" t="s">
        <v>26</v>
      </c>
      <c r="B31" s="2" t="s">
        <v>21</v>
      </c>
      <c r="C31" s="2" t="str">
        <f>_xlfn.CONCAT(kursy3[[#This Row],[Poczatek]]," -&gt; ",kursy3[[#This Row],[Koniec]])</f>
        <v>Gorzow Wielkopolski -&gt; Pila</v>
      </c>
      <c r="D31">
        <v>5628</v>
      </c>
      <c r="E31">
        <v>123</v>
      </c>
      <c r="F31" s="3">
        <v>450</v>
      </c>
      <c r="G31" s="3">
        <f>kursy3[[#This Row],[Cena]]/kursy3[[#This Row],[Odleglosc]]</f>
        <v>3.6585365853658538</v>
      </c>
    </row>
    <row r="32" spans="1:7" x14ac:dyDescent="0.25">
      <c r="A32" s="2" t="s">
        <v>21</v>
      </c>
      <c r="B32" s="2" t="s">
        <v>14</v>
      </c>
      <c r="C32" s="2" t="str">
        <f>_xlfn.CONCAT(kursy3[[#This Row],[Poczatek]]," -&gt; ",kursy3[[#This Row],[Koniec]])</f>
        <v>Pila -&gt; Poznan</v>
      </c>
      <c r="D32">
        <v>3295</v>
      </c>
      <c r="E32">
        <v>103</v>
      </c>
      <c r="F32" s="3">
        <v>346</v>
      </c>
      <c r="G32" s="3">
        <f>kursy3[[#This Row],[Cena]]/kursy3[[#This Row],[Odleglosc]]</f>
        <v>3.3592233009708736</v>
      </c>
    </row>
    <row r="33" spans="1:7" x14ac:dyDescent="0.25">
      <c r="A33" s="2" t="s">
        <v>27</v>
      </c>
      <c r="B33" s="2" t="s">
        <v>28</v>
      </c>
      <c r="C33" s="2" t="str">
        <f>_xlfn.CONCAT(kursy3[[#This Row],[Poczatek]]," -&gt; ",kursy3[[#This Row],[Koniec]])</f>
        <v>Jakuszyce -&gt; Kalisz</v>
      </c>
      <c r="D33">
        <v>5291</v>
      </c>
      <c r="E33">
        <v>273</v>
      </c>
      <c r="F33" s="3">
        <v>520</v>
      </c>
      <c r="G33" s="3">
        <f>kursy3[[#This Row],[Cena]]/kursy3[[#This Row],[Odleglosc]]</f>
        <v>1.9047619047619047</v>
      </c>
    </row>
    <row r="34" spans="1:7" x14ac:dyDescent="0.25">
      <c r="A34" s="2" t="s">
        <v>28</v>
      </c>
      <c r="B34" s="2" t="s">
        <v>29</v>
      </c>
      <c r="C34" s="2" t="str">
        <f>_xlfn.CONCAT(kursy3[[#This Row],[Poczatek]]," -&gt; ",kursy3[[#This Row],[Koniec]])</f>
        <v>Kalisz -&gt; Piotrkow Trybunalski</v>
      </c>
      <c r="D34">
        <v>5838</v>
      </c>
      <c r="E34">
        <v>128</v>
      </c>
      <c r="F34" s="3">
        <v>518</v>
      </c>
      <c r="G34" s="3">
        <f>kursy3[[#This Row],[Cena]]/kursy3[[#This Row],[Odleglosc]]</f>
        <v>4.046875</v>
      </c>
    </row>
    <row r="35" spans="1:7" x14ac:dyDescent="0.25">
      <c r="A35" s="2" t="s">
        <v>29</v>
      </c>
      <c r="B35" s="2" t="s">
        <v>20</v>
      </c>
      <c r="C35" s="2" t="str">
        <f>_xlfn.CONCAT(kursy3[[#This Row],[Poczatek]]," -&gt; ",kursy3[[#This Row],[Koniec]])</f>
        <v>Piotrkow Trybunalski -&gt; Konin</v>
      </c>
      <c r="D35">
        <v>3319</v>
      </c>
      <c r="E35">
        <v>154</v>
      </c>
      <c r="F35" s="3">
        <v>314</v>
      </c>
      <c r="G35" s="3">
        <f>kursy3[[#This Row],[Cena]]/kursy3[[#This Row],[Odleglosc]]</f>
        <v>2.0389610389610389</v>
      </c>
    </row>
    <row r="36" spans="1:7" x14ac:dyDescent="0.25">
      <c r="A36" s="2" t="s">
        <v>30</v>
      </c>
      <c r="B36" s="2" t="s">
        <v>7</v>
      </c>
      <c r="C36" s="2" t="str">
        <f>_xlfn.CONCAT(kursy3[[#This Row],[Poczatek]]," -&gt; ",kursy3[[#This Row],[Koniec]])</f>
        <v>Gdansk -&gt; Torun</v>
      </c>
      <c r="D36">
        <v>2152</v>
      </c>
      <c r="E36">
        <v>190</v>
      </c>
      <c r="F36" s="3">
        <v>406</v>
      </c>
      <c r="G36" s="3">
        <f>kursy3[[#This Row],[Cena]]/kursy3[[#This Row],[Odleglosc]]</f>
        <v>2.1368421052631579</v>
      </c>
    </row>
    <row r="37" spans="1:7" x14ac:dyDescent="0.25">
      <c r="A37" s="2" t="s">
        <v>7</v>
      </c>
      <c r="B37" s="2" t="s">
        <v>21</v>
      </c>
      <c r="C37" s="2" t="str">
        <f>_xlfn.CONCAT(kursy3[[#This Row],[Poczatek]]," -&gt; ",kursy3[[#This Row],[Koniec]])</f>
        <v>Torun -&gt; Pila</v>
      </c>
      <c r="D37">
        <v>3810</v>
      </c>
      <c r="E37">
        <v>135</v>
      </c>
      <c r="F37" s="3">
        <v>221</v>
      </c>
      <c r="G37" s="3">
        <f>kursy3[[#This Row],[Cena]]/kursy3[[#This Row],[Odleglosc]]</f>
        <v>1.6370370370370371</v>
      </c>
    </row>
    <row r="38" spans="1:7" x14ac:dyDescent="0.25">
      <c r="A38" s="2" t="s">
        <v>21</v>
      </c>
      <c r="B38" s="2" t="s">
        <v>31</v>
      </c>
      <c r="C38" s="2" t="str">
        <f>_xlfn.CONCAT(kursy3[[#This Row],[Poczatek]]," -&gt; ",kursy3[[#This Row],[Koniec]])</f>
        <v>Pila -&gt; Koszalin</v>
      </c>
      <c r="D38">
        <v>5713</v>
      </c>
      <c r="E38">
        <v>128</v>
      </c>
      <c r="F38" s="3">
        <v>376</v>
      </c>
      <c r="G38" s="3">
        <f>kursy3[[#This Row],[Cena]]/kursy3[[#This Row],[Odleglosc]]</f>
        <v>2.9375</v>
      </c>
    </row>
    <row r="39" spans="1:7" x14ac:dyDescent="0.25">
      <c r="A39" s="2" t="s">
        <v>31</v>
      </c>
      <c r="B39" s="2" t="s">
        <v>21</v>
      </c>
      <c r="C39" s="2" t="str">
        <f>_xlfn.CONCAT(kursy3[[#This Row],[Poczatek]]," -&gt; ",kursy3[[#This Row],[Koniec]])</f>
        <v>Koszalin -&gt; Pila</v>
      </c>
      <c r="D39">
        <v>4163</v>
      </c>
      <c r="E39">
        <v>128</v>
      </c>
      <c r="F39" s="3">
        <v>257</v>
      </c>
      <c r="G39" s="3">
        <f>kursy3[[#This Row],[Cena]]/kursy3[[#This Row],[Odleglosc]]</f>
        <v>2.0078125</v>
      </c>
    </row>
    <row r="40" spans="1:7" x14ac:dyDescent="0.25">
      <c r="A40" s="2" t="s">
        <v>21</v>
      </c>
      <c r="B40" s="2" t="s">
        <v>32</v>
      </c>
      <c r="C40" s="2" t="str">
        <f>_xlfn.CONCAT(kursy3[[#This Row],[Poczatek]]," -&gt; ",kursy3[[#This Row],[Koniec]])</f>
        <v>Pila -&gt; Czestochowa</v>
      </c>
      <c r="D40">
        <v>3216</v>
      </c>
      <c r="E40">
        <v>162</v>
      </c>
      <c r="F40" s="3">
        <v>278</v>
      </c>
      <c r="G40" s="3">
        <f>kursy3[[#This Row],[Cena]]/kursy3[[#This Row],[Odleglosc]]</f>
        <v>1.7160493827160495</v>
      </c>
    </row>
    <row r="41" spans="1:7" x14ac:dyDescent="0.25">
      <c r="A41" s="2" t="s">
        <v>11</v>
      </c>
      <c r="B41" s="2" t="s">
        <v>33</v>
      </c>
      <c r="C41" s="2" t="str">
        <f>_xlfn.CONCAT(kursy3[[#This Row],[Poczatek]]," -&gt; ",kursy3[[#This Row],[Koniec]])</f>
        <v>Lomza -&gt; Chyzne</v>
      </c>
      <c r="D41">
        <v>5060</v>
      </c>
      <c r="E41">
        <v>550</v>
      </c>
      <c r="F41" s="3">
        <v>1622</v>
      </c>
      <c r="G41" s="3">
        <f>kursy3[[#This Row],[Cena]]/kursy3[[#This Row],[Odleglosc]]</f>
        <v>2.9490909090909092</v>
      </c>
    </row>
    <row r="42" spans="1:7" x14ac:dyDescent="0.25">
      <c r="A42" s="2" t="s">
        <v>31</v>
      </c>
      <c r="B42" s="2" t="s">
        <v>24</v>
      </c>
      <c r="C42" s="2" t="str">
        <f>_xlfn.CONCAT(kursy3[[#This Row],[Poczatek]]," -&gt; ",kursy3[[#This Row],[Koniec]])</f>
        <v>Koszalin -&gt; Swinoujscie</v>
      </c>
      <c r="D42">
        <v>2446</v>
      </c>
      <c r="E42">
        <v>161</v>
      </c>
      <c r="F42" s="3">
        <v>379</v>
      </c>
      <c r="G42" s="3">
        <f>kursy3[[#This Row],[Cena]]/kursy3[[#This Row],[Odleglosc]]</f>
        <v>2.3540372670807455</v>
      </c>
    </row>
    <row r="43" spans="1:7" x14ac:dyDescent="0.25">
      <c r="A43" s="2" t="s">
        <v>24</v>
      </c>
      <c r="B43" s="2" t="s">
        <v>23</v>
      </c>
      <c r="C43" s="2" t="str">
        <f>_xlfn.CONCAT(kursy3[[#This Row],[Poczatek]]," -&gt; ",kursy3[[#This Row],[Koniec]])</f>
        <v>Swinoujscie -&gt; Szczecin</v>
      </c>
      <c r="D43">
        <v>3305</v>
      </c>
      <c r="E43">
        <v>106</v>
      </c>
      <c r="F43" s="3">
        <v>116</v>
      </c>
      <c r="G43" s="3">
        <f>kursy3[[#This Row],[Cena]]/kursy3[[#This Row],[Odleglosc]]</f>
        <v>1.0943396226415094</v>
      </c>
    </row>
    <row r="44" spans="1:7" x14ac:dyDescent="0.25">
      <c r="A44" s="2" t="s">
        <v>21</v>
      </c>
      <c r="B44" s="2" t="s">
        <v>7</v>
      </c>
      <c r="C44" s="2" t="str">
        <f>_xlfn.CONCAT(kursy3[[#This Row],[Poczatek]]," -&gt; ",kursy3[[#This Row],[Koniec]])</f>
        <v>Pila -&gt; Torun</v>
      </c>
      <c r="D44">
        <v>1743</v>
      </c>
      <c r="E44">
        <v>145</v>
      </c>
      <c r="F44" s="3">
        <v>376</v>
      </c>
      <c r="G44" s="3">
        <f>kursy3[[#This Row],[Cena]]/kursy3[[#This Row],[Odleglosc]]</f>
        <v>2.5931034482758619</v>
      </c>
    </row>
    <row r="45" spans="1:7" x14ac:dyDescent="0.25">
      <c r="A45" s="2" t="s">
        <v>17</v>
      </c>
      <c r="B45" s="2" t="s">
        <v>34</v>
      </c>
      <c r="C45" s="2" t="str">
        <f>_xlfn.CONCAT(kursy3[[#This Row],[Poczatek]]," -&gt; ",kursy3[[#This Row],[Koniec]])</f>
        <v>Tarnow -&gt; Krosno</v>
      </c>
      <c r="D45">
        <v>4053</v>
      </c>
      <c r="E45">
        <v>146</v>
      </c>
      <c r="F45" s="3">
        <v>441</v>
      </c>
      <c r="G45" s="3">
        <f>kursy3[[#This Row],[Cena]]/kursy3[[#This Row],[Odleglosc]]</f>
        <v>3.0205479452054793</v>
      </c>
    </row>
    <row r="46" spans="1:7" x14ac:dyDescent="0.25">
      <c r="A46" s="2" t="s">
        <v>18</v>
      </c>
      <c r="B46" s="2" t="s">
        <v>29</v>
      </c>
      <c r="C46" s="2" t="str">
        <f>_xlfn.CONCAT(kursy3[[#This Row],[Poczatek]]," -&gt; ",kursy3[[#This Row],[Koniec]])</f>
        <v>Katowice -&gt; Piotrkow Trybunalski</v>
      </c>
      <c r="D46">
        <v>4905</v>
      </c>
      <c r="E46">
        <v>157</v>
      </c>
      <c r="F46" s="3">
        <v>392</v>
      </c>
      <c r="G46" s="3">
        <f>kursy3[[#This Row],[Cena]]/kursy3[[#This Row],[Odleglosc]]</f>
        <v>2.4968152866242037</v>
      </c>
    </row>
    <row r="47" spans="1:7" x14ac:dyDescent="0.25">
      <c r="A47" s="2" t="s">
        <v>8</v>
      </c>
      <c r="B47" s="2" t="s">
        <v>7</v>
      </c>
      <c r="C47" s="2" t="str">
        <f>_xlfn.CONCAT(kursy3[[#This Row],[Poczatek]]," -&gt; ",kursy3[[#This Row],[Koniec]])</f>
        <v>Plock -&gt; Torun</v>
      </c>
      <c r="D47">
        <v>1624</v>
      </c>
      <c r="E47">
        <v>111</v>
      </c>
      <c r="F47" s="3">
        <v>221</v>
      </c>
      <c r="G47" s="3">
        <f>kursy3[[#This Row],[Cena]]/kursy3[[#This Row],[Odleglosc]]</f>
        <v>1.9909909909909911</v>
      </c>
    </row>
    <row r="48" spans="1:7" x14ac:dyDescent="0.25">
      <c r="A48" s="2" t="s">
        <v>35</v>
      </c>
      <c r="B48" s="2" t="s">
        <v>27</v>
      </c>
      <c r="C48" s="2" t="str">
        <f>_xlfn.CONCAT(kursy3[[#This Row],[Poczatek]]," -&gt; ",kursy3[[#This Row],[Koniec]])</f>
        <v>Kudowa-Slone -&gt; Jakuszyce</v>
      </c>
      <c r="D48">
        <v>5326</v>
      </c>
      <c r="E48">
        <v>171</v>
      </c>
      <c r="F48" s="3">
        <v>263</v>
      </c>
      <c r="G48" s="3">
        <f>kursy3[[#This Row],[Cena]]/kursy3[[#This Row],[Odleglosc]]</f>
        <v>1.5380116959064327</v>
      </c>
    </row>
    <row r="49" spans="1:7" x14ac:dyDescent="0.25">
      <c r="A49" s="2" t="s">
        <v>36</v>
      </c>
      <c r="B49" s="2" t="s">
        <v>12</v>
      </c>
      <c r="C49" s="2" t="str">
        <f>_xlfn.CONCAT(kursy3[[#This Row],[Poczatek]]," -&gt; ",kursy3[[#This Row],[Koniec]])</f>
        <v>Elblag -&gt; Ciechanow</v>
      </c>
      <c r="D49">
        <v>4398</v>
      </c>
      <c r="E49">
        <v>225</v>
      </c>
      <c r="F49" s="3">
        <v>400</v>
      </c>
      <c r="G49" s="3">
        <f>kursy3[[#This Row],[Cena]]/kursy3[[#This Row],[Odleglosc]]</f>
        <v>1.7777777777777777</v>
      </c>
    </row>
    <row r="50" spans="1:7" x14ac:dyDescent="0.25">
      <c r="A50" s="2" t="s">
        <v>35</v>
      </c>
      <c r="B50" s="2" t="s">
        <v>37</v>
      </c>
      <c r="C50" s="2" t="str">
        <f>_xlfn.CONCAT(kursy3[[#This Row],[Poczatek]]," -&gt; ",kursy3[[#This Row],[Koniec]])</f>
        <v>Kudowa-Slone -&gt; Opole</v>
      </c>
      <c r="D50">
        <v>4494</v>
      </c>
      <c r="E50">
        <v>143</v>
      </c>
      <c r="F50" s="3">
        <v>252</v>
      </c>
      <c r="G50" s="3">
        <f>kursy3[[#This Row],[Cena]]/kursy3[[#This Row],[Odleglosc]]</f>
        <v>1.7622377622377623</v>
      </c>
    </row>
    <row r="51" spans="1:7" x14ac:dyDescent="0.25">
      <c r="A51" s="2" t="s">
        <v>37</v>
      </c>
      <c r="B51" s="2" t="s">
        <v>38</v>
      </c>
      <c r="C51" s="2" t="str">
        <f>_xlfn.CONCAT(kursy3[[#This Row],[Poczatek]]," -&gt; ",kursy3[[#This Row],[Koniec]])</f>
        <v>Opole -&gt; Bielsko-Biala</v>
      </c>
      <c r="D51">
        <v>2136</v>
      </c>
      <c r="E51">
        <v>139</v>
      </c>
      <c r="F51" s="3">
        <v>522</v>
      </c>
      <c r="G51" s="3">
        <f>kursy3[[#This Row],[Cena]]/kursy3[[#This Row],[Odleglosc]]</f>
        <v>3.7553956834532376</v>
      </c>
    </row>
    <row r="52" spans="1:7" x14ac:dyDescent="0.25">
      <c r="A52" s="2" t="s">
        <v>38</v>
      </c>
      <c r="B52" s="2" t="s">
        <v>39</v>
      </c>
      <c r="C52" s="2" t="str">
        <f>_xlfn.CONCAT(kursy3[[#This Row],[Poczatek]]," -&gt; ",kursy3[[#This Row],[Koniec]])</f>
        <v>Bielsko-Biala -&gt; Zakopane</v>
      </c>
      <c r="D52">
        <v>4481</v>
      </c>
      <c r="E52">
        <v>121</v>
      </c>
      <c r="F52" s="3">
        <v>446</v>
      </c>
      <c r="G52" s="3">
        <f>kursy3[[#This Row],[Cena]]/kursy3[[#This Row],[Odleglosc]]</f>
        <v>3.6859504132231407</v>
      </c>
    </row>
    <row r="53" spans="1:7" x14ac:dyDescent="0.25">
      <c r="A53" s="2" t="s">
        <v>29</v>
      </c>
      <c r="B53" s="2" t="s">
        <v>14</v>
      </c>
      <c r="C53" s="2" t="str">
        <f>_xlfn.CONCAT(kursy3[[#This Row],[Poczatek]]," -&gt; ",kursy3[[#This Row],[Koniec]])</f>
        <v>Piotrkow Trybunalski -&gt; Poznan</v>
      </c>
      <c r="D53">
        <v>1749</v>
      </c>
      <c r="E53">
        <v>232</v>
      </c>
      <c r="F53" s="3">
        <v>928</v>
      </c>
      <c r="G53" s="3">
        <f>kursy3[[#This Row],[Cena]]/kursy3[[#This Row],[Odleglosc]]</f>
        <v>4</v>
      </c>
    </row>
    <row r="54" spans="1:7" x14ac:dyDescent="0.25">
      <c r="A54" s="2" t="s">
        <v>29</v>
      </c>
      <c r="B54" s="2" t="s">
        <v>20</v>
      </c>
      <c r="C54" s="2" t="str">
        <f>_xlfn.CONCAT(kursy3[[#This Row],[Poczatek]]," -&gt; ",kursy3[[#This Row],[Koniec]])</f>
        <v>Piotrkow Trybunalski -&gt; Konin</v>
      </c>
      <c r="D54">
        <v>1203</v>
      </c>
      <c r="E54">
        <v>146</v>
      </c>
      <c r="F54" s="3">
        <v>330</v>
      </c>
      <c r="G54" s="3">
        <f>kursy3[[#This Row],[Cena]]/kursy3[[#This Row],[Odleglosc]]</f>
        <v>2.2602739726027399</v>
      </c>
    </row>
    <row r="55" spans="1:7" x14ac:dyDescent="0.25">
      <c r="A55" s="2" t="s">
        <v>20</v>
      </c>
      <c r="B55" s="2" t="s">
        <v>40</v>
      </c>
      <c r="C55" s="2" t="str">
        <f>_xlfn.CONCAT(kursy3[[#This Row],[Poczatek]]," -&gt; ",kursy3[[#This Row],[Koniec]])</f>
        <v>Konin -&gt; Bydgoszcz</v>
      </c>
      <c r="D55">
        <v>4505</v>
      </c>
      <c r="E55">
        <v>118</v>
      </c>
      <c r="F55" s="3">
        <v>374</v>
      </c>
      <c r="G55" s="3">
        <f>kursy3[[#This Row],[Cena]]/kursy3[[#This Row],[Odleglosc]]</f>
        <v>3.1694915254237288</v>
      </c>
    </row>
    <row r="56" spans="1:7" x14ac:dyDescent="0.25">
      <c r="A56" s="2" t="s">
        <v>40</v>
      </c>
      <c r="B56" s="2" t="s">
        <v>41</v>
      </c>
      <c r="C56" s="2" t="str">
        <f>_xlfn.CONCAT(kursy3[[#This Row],[Poczatek]]," -&gt; ",kursy3[[#This Row],[Koniec]])</f>
        <v>Bydgoszcz -&gt; Wloclawek</v>
      </c>
      <c r="D56">
        <v>1454</v>
      </c>
      <c r="E56">
        <v>95</v>
      </c>
      <c r="F56" s="3">
        <v>197</v>
      </c>
      <c r="G56" s="3">
        <f>kursy3[[#This Row],[Cena]]/kursy3[[#This Row],[Odleglosc]]</f>
        <v>2.0736842105263156</v>
      </c>
    </row>
    <row r="57" spans="1:7" x14ac:dyDescent="0.25">
      <c r="A57" s="2" t="s">
        <v>41</v>
      </c>
      <c r="B57" s="2" t="s">
        <v>16</v>
      </c>
      <c r="C57" s="2" t="str">
        <f>_xlfn.CONCAT(kursy3[[#This Row],[Poczatek]]," -&gt; ",kursy3[[#This Row],[Koniec]])</f>
        <v>Wloclawek -&gt; Skierniewice</v>
      </c>
      <c r="D57">
        <v>2835</v>
      </c>
      <c r="E57">
        <v>136</v>
      </c>
      <c r="F57" s="3">
        <v>418</v>
      </c>
      <c r="G57" s="3">
        <f>kursy3[[#This Row],[Cena]]/kursy3[[#This Row],[Odleglosc]]</f>
        <v>3.0735294117647061</v>
      </c>
    </row>
    <row r="58" spans="1:7" x14ac:dyDescent="0.25">
      <c r="A58" s="2" t="s">
        <v>16</v>
      </c>
      <c r="B58" s="2" t="s">
        <v>42</v>
      </c>
      <c r="C58" s="2" t="str">
        <f>_xlfn.CONCAT(kursy3[[#This Row],[Poczatek]]," -&gt; ",kursy3[[#This Row],[Koniec]])</f>
        <v>Skierniewice -&gt; Sieradz</v>
      </c>
      <c r="D58">
        <v>2338</v>
      </c>
      <c r="E58">
        <v>123</v>
      </c>
      <c r="F58" s="3">
        <v>215</v>
      </c>
      <c r="G58" s="3">
        <f>kursy3[[#This Row],[Cena]]/kursy3[[#This Row],[Odleglosc]]</f>
        <v>1.7479674796747968</v>
      </c>
    </row>
    <row r="59" spans="1:7" x14ac:dyDescent="0.25">
      <c r="A59" s="2" t="s">
        <v>26</v>
      </c>
      <c r="B59" s="2" t="s">
        <v>43</v>
      </c>
      <c r="C59" s="2" t="str">
        <f>_xlfn.CONCAT(kursy3[[#This Row],[Poczatek]]," -&gt; ",kursy3[[#This Row],[Koniec]])</f>
        <v>Gorzow Wielkopolski -&gt; Walbrzych</v>
      </c>
      <c r="D59">
        <v>4154</v>
      </c>
      <c r="E59">
        <v>277</v>
      </c>
      <c r="F59" s="3">
        <v>924</v>
      </c>
      <c r="G59" s="3">
        <f>kursy3[[#This Row],[Cena]]/kursy3[[#This Row],[Odleglosc]]</f>
        <v>3.335740072202166</v>
      </c>
    </row>
    <row r="60" spans="1:7" x14ac:dyDescent="0.25">
      <c r="A60" s="2" t="s">
        <v>15</v>
      </c>
      <c r="B60" s="2" t="s">
        <v>25</v>
      </c>
      <c r="C60" s="2" t="str">
        <f>_xlfn.CONCAT(kursy3[[#This Row],[Poczatek]]," -&gt; ",kursy3[[#This Row],[Koniec]])</f>
        <v>Gubin -&gt; Kostrzyn</v>
      </c>
      <c r="D60">
        <v>1767</v>
      </c>
      <c r="E60">
        <v>91</v>
      </c>
      <c r="F60" s="3">
        <v>247</v>
      </c>
      <c r="G60" s="3">
        <f>kursy3[[#This Row],[Cena]]/kursy3[[#This Row],[Odleglosc]]</f>
        <v>2.7142857142857144</v>
      </c>
    </row>
    <row r="61" spans="1:7" x14ac:dyDescent="0.25">
      <c r="A61" s="2" t="s">
        <v>44</v>
      </c>
      <c r="B61" s="2" t="s">
        <v>45</v>
      </c>
      <c r="C61" s="2" t="str">
        <f>_xlfn.CONCAT(kursy3[[#This Row],[Poczatek]]," -&gt; ",kursy3[[#This Row],[Koniec]])</f>
        <v>Zamosc -&gt; Medyka</v>
      </c>
      <c r="D61">
        <v>2929</v>
      </c>
      <c r="E61">
        <v>152</v>
      </c>
      <c r="F61" s="3">
        <v>278</v>
      </c>
      <c r="G61" s="3">
        <f>kursy3[[#This Row],[Cena]]/kursy3[[#This Row],[Odleglosc]]</f>
        <v>1.8289473684210527</v>
      </c>
    </row>
    <row r="62" spans="1:7" x14ac:dyDescent="0.25">
      <c r="A62" s="2" t="s">
        <v>45</v>
      </c>
      <c r="B62" s="2" t="s">
        <v>46</v>
      </c>
      <c r="C62" s="2" t="str">
        <f>_xlfn.CONCAT(kursy3[[#This Row],[Poczatek]]," -&gt; ",kursy3[[#This Row],[Koniec]])</f>
        <v>Medyka -&gt; Tarnobrzeg</v>
      </c>
      <c r="D62">
        <v>2151</v>
      </c>
      <c r="E62">
        <v>177</v>
      </c>
      <c r="F62" s="3">
        <v>365</v>
      </c>
      <c r="G62" s="3">
        <f>kursy3[[#This Row],[Cena]]/kursy3[[#This Row],[Odleglosc]]</f>
        <v>2.0621468926553672</v>
      </c>
    </row>
    <row r="63" spans="1:7" x14ac:dyDescent="0.25">
      <c r="A63" s="2" t="s">
        <v>46</v>
      </c>
      <c r="B63" s="2" t="s">
        <v>47</v>
      </c>
      <c r="C63" s="2" t="str">
        <f>_xlfn.CONCAT(kursy3[[#This Row],[Poczatek]]," -&gt; ",kursy3[[#This Row],[Koniec]])</f>
        <v>Tarnobrzeg -&gt; Kielce</v>
      </c>
      <c r="D63">
        <v>2431</v>
      </c>
      <c r="E63">
        <v>96</v>
      </c>
      <c r="F63" s="3">
        <v>409</v>
      </c>
      <c r="G63" s="3">
        <f>kursy3[[#This Row],[Cena]]/kursy3[[#This Row],[Odleglosc]]</f>
        <v>4.260416666666667</v>
      </c>
    </row>
    <row r="64" spans="1:7" x14ac:dyDescent="0.25">
      <c r="A64" s="2" t="s">
        <v>34</v>
      </c>
      <c r="B64" s="2" t="s">
        <v>46</v>
      </c>
      <c r="C64" s="2" t="str">
        <f>_xlfn.CONCAT(kursy3[[#This Row],[Poczatek]]," -&gt; ",kursy3[[#This Row],[Koniec]])</f>
        <v>Krosno -&gt; Tarnobrzeg</v>
      </c>
      <c r="D64">
        <v>1168</v>
      </c>
      <c r="E64">
        <v>143</v>
      </c>
      <c r="F64" s="3">
        <v>501</v>
      </c>
      <c r="G64" s="3">
        <f>kursy3[[#This Row],[Cena]]/kursy3[[#This Row],[Odleglosc]]</f>
        <v>3.5034965034965033</v>
      </c>
    </row>
    <row r="65" spans="1:7" x14ac:dyDescent="0.25">
      <c r="A65" s="2" t="s">
        <v>46</v>
      </c>
      <c r="B65" s="2" t="s">
        <v>19</v>
      </c>
      <c r="C65" s="2" t="str">
        <f>_xlfn.CONCAT(kursy3[[#This Row],[Poczatek]]," -&gt; ",kursy3[[#This Row],[Koniec]])</f>
        <v>Tarnobrzeg -&gt; Radom</v>
      </c>
      <c r="D65">
        <v>4251</v>
      </c>
      <c r="E65">
        <v>122</v>
      </c>
      <c r="F65" s="3">
        <v>227</v>
      </c>
      <c r="G65" s="3">
        <f>kursy3[[#This Row],[Cena]]/kursy3[[#This Row],[Odleglosc]]</f>
        <v>1.860655737704918</v>
      </c>
    </row>
    <row r="66" spans="1:7" x14ac:dyDescent="0.25">
      <c r="A66" s="2" t="s">
        <v>19</v>
      </c>
      <c r="B66" s="2" t="s">
        <v>16</v>
      </c>
      <c r="C66" s="2" t="str">
        <f>_xlfn.CONCAT(kursy3[[#This Row],[Poczatek]]," -&gt; ",kursy3[[#This Row],[Koniec]])</f>
        <v>Radom -&gt; Skierniewice</v>
      </c>
      <c r="D66">
        <v>4347</v>
      </c>
      <c r="E66">
        <v>117</v>
      </c>
      <c r="F66" s="3">
        <v>158</v>
      </c>
      <c r="G66" s="3">
        <f>kursy3[[#This Row],[Cena]]/kursy3[[#This Row],[Odleglosc]]</f>
        <v>1.3504273504273505</v>
      </c>
    </row>
    <row r="67" spans="1:7" x14ac:dyDescent="0.25">
      <c r="A67" s="2" t="s">
        <v>16</v>
      </c>
      <c r="B67" s="2" t="s">
        <v>41</v>
      </c>
      <c r="C67" s="2" t="str">
        <f>_xlfn.CONCAT(kursy3[[#This Row],[Poczatek]]," -&gt; ",kursy3[[#This Row],[Koniec]])</f>
        <v>Skierniewice -&gt; Wloclawek</v>
      </c>
      <c r="D67">
        <v>5287</v>
      </c>
      <c r="E67">
        <v>127</v>
      </c>
      <c r="F67" s="3">
        <v>495</v>
      </c>
      <c r="G67" s="3">
        <f>kursy3[[#This Row],[Cena]]/kursy3[[#This Row],[Odleglosc]]</f>
        <v>3.8976377952755907</v>
      </c>
    </row>
    <row r="68" spans="1:7" x14ac:dyDescent="0.25">
      <c r="A68" s="2" t="s">
        <v>17</v>
      </c>
      <c r="B68" s="2" t="s">
        <v>18</v>
      </c>
      <c r="C68" s="2" t="str">
        <f>_xlfn.CONCAT(kursy3[[#This Row],[Poczatek]]," -&gt; ",kursy3[[#This Row],[Koniec]])</f>
        <v>Tarnow -&gt; Katowice</v>
      </c>
      <c r="D68">
        <v>5177</v>
      </c>
      <c r="E68">
        <v>147</v>
      </c>
      <c r="F68" s="3">
        <v>443</v>
      </c>
      <c r="G68" s="3">
        <f>kursy3[[#This Row],[Cena]]/kursy3[[#This Row],[Odleglosc]]</f>
        <v>3.0136054421768708</v>
      </c>
    </row>
    <row r="69" spans="1:7" x14ac:dyDescent="0.25">
      <c r="A69" s="2" t="s">
        <v>15</v>
      </c>
      <c r="B69" s="2" t="s">
        <v>26</v>
      </c>
      <c r="C69" s="2" t="str">
        <f>_xlfn.CONCAT(kursy3[[#This Row],[Poczatek]]," -&gt; ",kursy3[[#This Row],[Koniec]])</f>
        <v>Gubin -&gt; Gorzow Wielkopolski</v>
      </c>
      <c r="D69">
        <v>3858</v>
      </c>
      <c r="E69">
        <v>155</v>
      </c>
      <c r="F69" s="3">
        <v>261</v>
      </c>
      <c r="G69" s="3">
        <f>kursy3[[#This Row],[Cena]]/kursy3[[#This Row],[Odleglosc]]</f>
        <v>1.6838709677419355</v>
      </c>
    </row>
    <row r="70" spans="1:7" x14ac:dyDescent="0.25">
      <c r="A70" s="2" t="s">
        <v>26</v>
      </c>
      <c r="B70" s="2" t="s">
        <v>48</v>
      </c>
      <c r="C70" s="2" t="str">
        <f>_xlfn.CONCAT(kursy3[[#This Row],[Poczatek]]," -&gt; ",kursy3[[#This Row],[Koniec]])</f>
        <v>Gorzow Wielkopolski -&gt; Zielona Gora</v>
      </c>
      <c r="D70">
        <v>4637</v>
      </c>
      <c r="E70">
        <v>116</v>
      </c>
      <c r="F70" s="3">
        <v>242</v>
      </c>
      <c r="G70" s="3">
        <f>kursy3[[#This Row],[Cena]]/kursy3[[#This Row],[Odleglosc]]</f>
        <v>2.0862068965517242</v>
      </c>
    </row>
    <row r="71" spans="1:7" x14ac:dyDescent="0.25">
      <c r="A71" s="2" t="s">
        <v>48</v>
      </c>
      <c r="B71" s="2" t="s">
        <v>14</v>
      </c>
      <c r="C71" s="2" t="str">
        <f>_xlfn.CONCAT(kursy3[[#This Row],[Poczatek]]," -&gt; ",kursy3[[#This Row],[Koniec]])</f>
        <v>Zielona Gora -&gt; Poznan</v>
      </c>
      <c r="D71">
        <v>5212</v>
      </c>
      <c r="E71">
        <v>123</v>
      </c>
      <c r="F71" s="3">
        <v>517</v>
      </c>
      <c r="G71" s="3">
        <f>kursy3[[#This Row],[Cena]]/kursy3[[#This Row],[Odleglosc]]</f>
        <v>4.2032520325203251</v>
      </c>
    </row>
    <row r="72" spans="1:7" x14ac:dyDescent="0.25">
      <c r="A72" s="2" t="s">
        <v>14</v>
      </c>
      <c r="B72" s="2" t="s">
        <v>40</v>
      </c>
      <c r="C72" s="2" t="str">
        <f>_xlfn.CONCAT(kursy3[[#This Row],[Poczatek]]," -&gt; ",kursy3[[#This Row],[Koniec]])</f>
        <v>Poznan -&gt; Bydgoszcz</v>
      </c>
      <c r="D72">
        <v>1099</v>
      </c>
      <c r="E72">
        <v>128</v>
      </c>
      <c r="F72" s="3">
        <v>205</v>
      </c>
      <c r="G72" s="3">
        <f>kursy3[[#This Row],[Cena]]/kursy3[[#This Row],[Odleglosc]]</f>
        <v>1.6015625</v>
      </c>
    </row>
    <row r="73" spans="1:7" x14ac:dyDescent="0.25">
      <c r="A73" s="2" t="s">
        <v>40</v>
      </c>
      <c r="B73" s="2" t="s">
        <v>41</v>
      </c>
      <c r="C73" s="2" t="str">
        <f>_xlfn.CONCAT(kursy3[[#This Row],[Poczatek]]," -&gt; ",kursy3[[#This Row],[Koniec]])</f>
        <v>Bydgoszcz -&gt; Wloclawek</v>
      </c>
      <c r="D73">
        <v>4422</v>
      </c>
      <c r="E73">
        <v>105</v>
      </c>
      <c r="F73" s="3">
        <v>145</v>
      </c>
      <c r="G73" s="3">
        <f>kursy3[[#This Row],[Cena]]/kursy3[[#This Row],[Odleglosc]]</f>
        <v>1.3809523809523809</v>
      </c>
    </row>
    <row r="74" spans="1:7" x14ac:dyDescent="0.25">
      <c r="A74" s="2" t="s">
        <v>33</v>
      </c>
      <c r="B74" s="2" t="s">
        <v>38</v>
      </c>
      <c r="C74" s="2" t="str">
        <f>_xlfn.CONCAT(kursy3[[#This Row],[Poczatek]]," -&gt; ",kursy3[[#This Row],[Koniec]])</f>
        <v>Chyzne -&gt; Bielsko-Biala</v>
      </c>
      <c r="D74">
        <v>2742</v>
      </c>
      <c r="E74">
        <v>109</v>
      </c>
      <c r="F74" s="3">
        <v>117</v>
      </c>
      <c r="G74" s="3">
        <f>kursy3[[#This Row],[Cena]]/kursy3[[#This Row],[Odleglosc]]</f>
        <v>1.073394495412844</v>
      </c>
    </row>
    <row r="75" spans="1:7" x14ac:dyDescent="0.25">
      <c r="A75" s="2" t="s">
        <v>38</v>
      </c>
      <c r="B75" s="2" t="s">
        <v>33</v>
      </c>
      <c r="C75" s="2" t="str">
        <f>_xlfn.CONCAT(kursy3[[#This Row],[Poczatek]]," -&gt; ",kursy3[[#This Row],[Koniec]])</f>
        <v>Bielsko-Biala -&gt; Chyzne</v>
      </c>
      <c r="D75">
        <v>2100</v>
      </c>
      <c r="E75">
        <v>115</v>
      </c>
      <c r="F75" s="3">
        <v>172</v>
      </c>
      <c r="G75" s="3">
        <f>kursy3[[#This Row],[Cena]]/kursy3[[#This Row],[Odleglosc]]</f>
        <v>1.4956521739130435</v>
      </c>
    </row>
    <row r="76" spans="1:7" x14ac:dyDescent="0.25">
      <c r="A76" s="2" t="s">
        <v>33</v>
      </c>
      <c r="B76" s="2" t="s">
        <v>38</v>
      </c>
      <c r="C76" s="2" t="str">
        <f>_xlfn.CONCAT(kursy3[[#This Row],[Poczatek]]," -&gt; ",kursy3[[#This Row],[Koniec]])</f>
        <v>Chyzne -&gt; Bielsko-Biala</v>
      </c>
      <c r="D76">
        <v>5626</v>
      </c>
      <c r="E76">
        <v>123</v>
      </c>
      <c r="F76" s="3">
        <v>377</v>
      </c>
      <c r="G76" s="3">
        <f>kursy3[[#This Row],[Cena]]/kursy3[[#This Row],[Odleglosc]]</f>
        <v>3.065040650406504</v>
      </c>
    </row>
    <row r="77" spans="1:7" x14ac:dyDescent="0.25">
      <c r="A77" s="2" t="s">
        <v>38</v>
      </c>
      <c r="B77" s="2" t="s">
        <v>33</v>
      </c>
      <c r="C77" s="2" t="str">
        <f>_xlfn.CONCAT(kursy3[[#This Row],[Poczatek]]," -&gt; ",kursy3[[#This Row],[Koniec]])</f>
        <v>Bielsko-Biala -&gt; Chyzne</v>
      </c>
      <c r="D77">
        <v>1629</v>
      </c>
      <c r="E77">
        <v>109</v>
      </c>
      <c r="F77" s="3">
        <v>258</v>
      </c>
      <c r="G77" s="3">
        <f>kursy3[[#This Row],[Cena]]/kursy3[[#This Row],[Odleglosc]]</f>
        <v>2.3669724770642202</v>
      </c>
    </row>
    <row r="78" spans="1:7" x14ac:dyDescent="0.25">
      <c r="A78" s="2" t="s">
        <v>33</v>
      </c>
      <c r="B78" s="2" t="s">
        <v>49</v>
      </c>
      <c r="C78" s="2" t="str">
        <f>_xlfn.CONCAT(kursy3[[#This Row],[Poczatek]]," -&gt; ",kursy3[[#This Row],[Koniec]])</f>
        <v>Chyzne -&gt; Cieszyn</v>
      </c>
      <c r="D78">
        <v>4787</v>
      </c>
      <c r="E78">
        <v>155</v>
      </c>
      <c r="F78" s="3">
        <v>354</v>
      </c>
      <c r="G78" s="3">
        <f>kursy3[[#This Row],[Cena]]/kursy3[[#This Row],[Odleglosc]]</f>
        <v>2.2838709677419353</v>
      </c>
    </row>
    <row r="79" spans="1:7" x14ac:dyDescent="0.25">
      <c r="A79" s="2" t="s">
        <v>50</v>
      </c>
      <c r="B79" s="2" t="s">
        <v>45</v>
      </c>
      <c r="C79" s="2" t="str">
        <f>_xlfn.CONCAT(kursy3[[#This Row],[Poczatek]]," -&gt; ",kursy3[[#This Row],[Koniec]])</f>
        <v>Barwinek -&gt; Medyka</v>
      </c>
      <c r="D79">
        <v>4678</v>
      </c>
      <c r="E79">
        <v>182</v>
      </c>
      <c r="F79" s="3">
        <v>254</v>
      </c>
      <c r="G79" s="3">
        <f>kursy3[[#This Row],[Cena]]/kursy3[[#This Row],[Odleglosc]]</f>
        <v>1.3956043956043955</v>
      </c>
    </row>
    <row r="80" spans="1:7" x14ac:dyDescent="0.25">
      <c r="A80" s="2" t="s">
        <v>45</v>
      </c>
      <c r="B80" s="2" t="s">
        <v>44</v>
      </c>
      <c r="C80" s="2" t="str">
        <f>_xlfn.CONCAT(kursy3[[#This Row],[Poczatek]]," -&gt; ",kursy3[[#This Row],[Koniec]])</f>
        <v>Medyka -&gt; Zamosc</v>
      </c>
      <c r="D80">
        <v>5869</v>
      </c>
      <c r="E80">
        <v>152</v>
      </c>
      <c r="F80" s="3">
        <v>599</v>
      </c>
      <c r="G80" s="3">
        <f>kursy3[[#This Row],[Cena]]/kursy3[[#This Row],[Odleglosc]]</f>
        <v>3.9407894736842106</v>
      </c>
    </row>
    <row r="81" spans="1:7" x14ac:dyDescent="0.25">
      <c r="A81" s="2" t="s">
        <v>51</v>
      </c>
      <c r="B81" s="2" t="s">
        <v>44</v>
      </c>
      <c r="C81" s="2" t="str">
        <f>_xlfn.CONCAT(kursy3[[#This Row],[Poczatek]]," -&gt; ",kursy3[[#This Row],[Koniec]])</f>
        <v>Rzeszow -&gt; Zamosc</v>
      </c>
      <c r="D81">
        <v>2678</v>
      </c>
      <c r="E81">
        <v>178</v>
      </c>
      <c r="F81" s="3">
        <v>481</v>
      </c>
      <c r="G81" s="3">
        <f>kursy3[[#This Row],[Cena]]/kursy3[[#This Row],[Odleglosc]]</f>
        <v>2.702247191011236</v>
      </c>
    </row>
    <row r="82" spans="1:7" x14ac:dyDescent="0.25">
      <c r="A82" s="2" t="s">
        <v>20</v>
      </c>
      <c r="B82" s="2" t="s">
        <v>43</v>
      </c>
      <c r="C82" s="2" t="str">
        <f>_xlfn.CONCAT(kursy3[[#This Row],[Poczatek]]," -&gt; ",kursy3[[#This Row],[Koniec]])</f>
        <v>Konin -&gt; Walbrzych</v>
      </c>
      <c r="D82">
        <v>3193</v>
      </c>
      <c r="E82">
        <v>241</v>
      </c>
      <c r="F82" s="3">
        <v>507</v>
      </c>
      <c r="G82" s="3">
        <f>kursy3[[#This Row],[Cena]]/kursy3[[#This Row],[Odleglosc]]</f>
        <v>2.103734439834025</v>
      </c>
    </row>
    <row r="83" spans="1:7" x14ac:dyDescent="0.25">
      <c r="A83" s="2" t="s">
        <v>27</v>
      </c>
      <c r="B83" s="2" t="s">
        <v>25</v>
      </c>
      <c r="C83" s="2" t="str">
        <f>_xlfn.CONCAT(kursy3[[#This Row],[Poczatek]]," -&gt; ",kursy3[[#This Row],[Koniec]])</f>
        <v>Jakuszyce -&gt; Kostrzyn</v>
      </c>
      <c r="D83">
        <v>1011</v>
      </c>
      <c r="E83">
        <v>211</v>
      </c>
      <c r="F83" s="3">
        <v>536</v>
      </c>
      <c r="G83" s="3">
        <f>kursy3[[#This Row],[Cena]]/kursy3[[#This Row],[Odleglosc]]</f>
        <v>2.5402843601895735</v>
      </c>
    </row>
    <row r="84" spans="1:7" x14ac:dyDescent="0.25">
      <c r="A84" s="2" t="s">
        <v>25</v>
      </c>
      <c r="B84" s="2" t="s">
        <v>23</v>
      </c>
      <c r="C84" s="2" t="str">
        <f>_xlfn.CONCAT(kursy3[[#This Row],[Poczatek]]," -&gt; ",kursy3[[#This Row],[Koniec]])</f>
        <v>Kostrzyn -&gt; Szczecin</v>
      </c>
      <c r="D84">
        <v>3398</v>
      </c>
      <c r="E84">
        <v>122</v>
      </c>
      <c r="F84" s="3">
        <v>163</v>
      </c>
      <c r="G84" s="3">
        <f>kursy3[[#This Row],[Cena]]/kursy3[[#This Row],[Odleglosc]]</f>
        <v>1.3360655737704918</v>
      </c>
    </row>
    <row r="85" spans="1:7" x14ac:dyDescent="0.25">
      <c r="A85" s="2" t="s">
        <v>52</v>
      </c>
      <c r="B85" s="2" t="s">
        <v>53</v>
      </c>
      <c r="C85" s="2" t="str">
        <f>_xlfn.CONCAT(kursy3[[#This Row],[Poczatek]]," -&gt; ",kursy3[[#This Row],[Koniec]])</f>
        <v>Zgorzelec -&gt; Wroclaw</v>
      </c>
      <c r="D85">
        <v>5416</v>
      </c>
      <c r="E85">
        <v>156</v>
      </c>
      <c r="F85" s="3">
        <v>349</v>
      </c>
      <c r="G85" s="3">
        <f>kursy3[[#This Row],[Cena]]/kursy3[[#This Row],[Odleglosc]]</f>
        <v>2.2371794871794872</v>
      </c>
    </row>
    <row r="86" spans="1:7" x14ac:dyDescent="0.25">
      <c r="A86" s="2" t="s">
        <v>9</v>
      </c>
      <c r="B86" s="2" t="s">
        <v>54</v>
      </c>
      <c r="C86" s="2" t="str">
        <f>_xlfn.CONCAT(kursy3[[#This Row],[Poczatek]]," -&gt; ",kursy3[[#This Row],[Koniec]])</f>
        <v>Ostroleka -&gt; Krakow</v>
      </c>
      <c r="D86">
        <v>3914</v>
      </c>
      <c r="E86">
        <v>417</v>
      </c>
      <c r="F86" s="3">
        <v>888</v>
      </c>
      <c r="G86" s="3">
        <f>kursy3[[#This Row],[Cena]]/kursy3[[#This Row],[Odleglosc]]</f>
        <v>2.1294964028776979</v>
      </c>
    </row>
    <row r="87" spans="1:7" x14ac:dyDescent="0.25">
      <c r="A87" s="2" t="s">
        <v>54</v>
      </c>
      <c r="B87" s="2" t="s">
        <v>47</v>
      </c>
      <c r="C87" s="2" t="str">
        <f>_xlfn.CONCAT(kursy3[[#This Row],[Poczatek]]," -&gt; ",kursy3[[#This Row],[Koniec]])</f>
        <v>Krakow -&gt; Kielce</v>
      </c>
      <c r="D87">
        <v>5805</v>
      </c>
      <c r="E87">
        <v>145</v>
      </c>
      <c r="F87" s="3">
        <v>301</v>
      </c>
      <c r="G87" s="3">
        <f>kursy3[[#This Row],[Cena]]/kursy3[[#This Row],[Odleglosc]]</f>
        <v>2.0758620689655172</v>
      </c>
    </row>
    <row r="88" spans="1:7" x14ac:dyDescent="0.25">
      <c r="A88" s="2" t="s">
        <v>47</v>
      </c>
      <c r="B88" s="2" t="s">
        <v>54</v>
      </c>
      <c r="C88" s="2" t="str">
        <f>_xlfn.CONCAT(kursy3[[#This Row],[Poczatek]]," -&gt; ",kursy3[[#This Row],[Koniec]])</f>
        <v>Kielce -&gt; Krakow</v>
      </c>
      <c r="D88">
        <v>4033</v>
      </c>
      <c r="E88">
        <v>136</v>
      </c>
      <c r="F88" s="3">
        <v>297</v>
      </c>
      <c r="G88" s="3">
        <f>kursy3[[#This Row],[Cena]]/kursy3[[#This Row],[Odleglosc]]</f>
        <v>2.1838235294117645</v>
      </c>
    </row>
    <row r="89" spans="1:7" x14ac:dyDescent="0.25">
      <c r="A89" s="2" t="s">
        <v>44</v>
      </c>
      <c r="B89" s="2" t="s">
        <v>55</v>
      </c>
      <c r="C89" s="2" t="str">
        <f>_xlfn.CONCAT(kursy3[[#This Row],[Poczatek]]," -&gt; ",kursy3[[#This Row],[Koniec]])</f>
        <v>Zamosc -&gt; Biala Podlaska</v>
      </c>
      <c r="D89">
        <v>1021</v>
      </c>
      <c r="E89">
        <v>184</v>
      </c>
      <c r="F89" s="3">
        <v>660</v>
      </c>
      <c r="G89" s="3">
        <f>kursy3[[#This Row],[Cena]]/kursy3[[#This Row],[Odleglosc]]</f>
        <v>3.5869565217391304</v>
      </c>
    </row>
    <row r="90" spans="1:7" x14ac:dyDescent="0.25">
      <c r="A90" s="2" t="s">
        <v>56</v>
      </c>
      <c r="B90" s="2" t="s">
        <v>45</v>
      </c>
      <c r="C90" s="2" t="str">
        <f>_xlfn.CONCAT(kursy3[[#This Row],[Poczatek]]," -&gt; ",kursy3[[#This Row],[Koniec]])</f>
        <v>Przemysl -&gt; Medyka</v>
      </c>
      <c r="D90">
        <v>5162</v>
      </c>
      <c r="E90">
        <v>17</v>
      </c>
      <c r="F90" s="3">
        <v>28</v>
      </c>
      <c r="G90" s="3">
        <f>kursy3[[#This Row],[Cena]]/kursy3[[#This Row],[Odleglosc]]</f>
        <v>1.6470588235294117</v>
      </c>
    </row>
    <row r="91" spans="1:7" x14ac:dyDescent="0.25">
      <c r="A91" s="2" t="s">
        <v>45</v>
      </c>
      <c r="B91" s="2" t="s">
        <v>44</v>
      </c>
      <c r="C91" s="2" t="str">
        <f>_xlfn.CONCAT(kursy3[[#This Row],[Poczatek]]," -&gt; ",kursy3[[#This Row],[Koniec]])</f>
        <v>Medyka -&gt; Zamosc</v>
      </c>
      <c r="D91">
        <v>2050</v>
      </c>
      <c r="E91">
        <v>162</v>
      </c>
      <c r="F91" s="3">
        <v>569</v>
      </c>
      <c r="G91" s="3">
        <f>kursy3[[#This Row],[Cena]]/kursy3[[#This Row],[Odleglosc]]</f>
        <v>3.5123456790123457</v>
      </c>
    </row>
    <row r="92" spans="1:7" x14ac:dyDescent="0.25">
      <c r="A92" s="2" t="s">
        <v>43</v>
      </c>
      <c r="B92" s="2" t="s">
        <v>37</v>
      </c>
      <c r="C92" s="2" t="str">
        <f>_xlfn.CONCAT(kursy3[[#This Row],[Poczatek]]," -&gt; ",kursy3[[#This Row],[Koniec]])</f>
        <v>Walbrzych -&gt; Opole</v>
      </c>
      <c r="D92">
        <v>5312</v>
      </c>
      <c r="E92">
        <v>153</v>
      </c>
      <c r="F92" s="3">
        <v>356</v>
      </c>
      <c r="G92" s="3">
        <f>kursy3[[#This Row],[Cena]]/kursy3[[#This Row],[Odleglosc]]</f>
        <v>2.3267973856209152</v>
      </c>
    </row>
    <row r="93" spans="1:7" x14ac:dyDescent="0.25">
      <c r="A93" s="2" t="s">
        <v>23</v>
      </c>
      <c r="B93" s="2" t="s">
        <v>42</v>
      </c>
      <c r="C93" s="2" t="str">
        <f>_xlfn.CONCAT(kursy3[[#This Row],[Poczatek]]," -&gt; ",kursy3[[#This Row],[Koniec]])</f>
        <v>Szczecin -&gt; Sieradz</v>
      </c>
      <c r="D93">
        <v>2443</v>
      </c>
      <c r="E93">
        <v>392</v>
      </c>
      <c r="F93" s="3">
        <v>1392</v>
      </c>
      <c r="G93" s="3">
        <f>kursy3[[#This Row],[Cena]]/kursy3[[#This Row],[Odleglosc]]</f>
        <v>3.5510204081632653</v>
      </c>
    </row>
    <row r="94" spans="1:7" x14ac:dyDescent="0.25">
      <c r="A94" s="2" t="s">
        <v>56</v>
      </c>
      <c r="B94" s="2" t="s">
        <v>50</v>
      </c>
      <c r="C94" s="2" t="str">
        <f>_xlfn.CONCAT(kursy3[[#This Row],[Poczatek]]," -&gt; ",kursy3[[#This Row],[Koniec]])</f>
        <v>Przemysl -&gt; Barwinek</v>
      </c>
      <c r="D94">
        <v>1161</v>
      </c>
      <c r="E94">
        <v>174</v>
      </c>
      <c r="F94" s="3">
        <v>323</v>
      </c>
      <c r="G94" s="3">
        <f>kursy3[[#This Row],[Cena]]/kursy3[[#This Row],[Odleglosc]]</f>
        <v>1.8563218390804597</v>
      </c>
    </row>
    <row r="95" spans="1:7" x14ac:dyDescent="0.25">
      <c r="A95" s="2" t="s">
        <v>50</v>
      </c>
      <c r="B95" s="2" t="s">
        <v>17</v>
      </c>
      <c r="C95" s="2" t="str">
        <f>_xlfn.CONCAT(kursy3[[#This Row],[Poczatek]]," -&gt; ",kursy3[[#This Row],[Koniec]])</f>
        <v>Barwinek -&gt; Tarnow</v>
      </c>
      <c r="D95">
        <v>3435</v>
      </c>
      <c r="E95">
        <v>146</v>
      </c>
      <c r="F95" s="3">
        <v>530</v>
      </c>
      <c r="G95" s="3">
        <f>kursy3[[#This Row],[Cena]]/kursy3[[#This Row],[Odleglosc]]</f>
        <v>3.6301369863013697</v>
      </c>
    </row>
    <row r="96" spans="1:7" x14ac:dyDescent="0.25">
      <c r="A96" s="2" t="s">
        <v>57</v>
      </c>
      <c r="B96" s="2" t="s">
        <v>32</v>
      </c>
      <c r="C96" s="2" t="str">
        <f>_xlfn.CONCAT(kursy3[[#This Row],[Poczatek]]," -&gt; ",kursy3[[#This Row],[Koniec]])</f>
        <v>Chalupki -&gt; Czestochowa</v>
      </c>
      <c r="D96">
        <v>3358</v>
      </c>
      <c r="E96">
        <v>168</v>
      </c>
      <c r="F96" s="3">
        <v>569</v>
      </c>
      <c r="G96" s="3">
        <f>kursy3[[#This Row],[Cena]]/kursy3[[#This Row],[Odleglosc]]</f>
        <v>3.3869047619047619</v>
      </c>
    </row>
    <row r="97" spans="1:7" x14ac:dyDescent="0.25">
      <c r="A97" s="2" t="s">
        <v>52</v>
      </c>
      <c r="B97" s="2" t="s">
        <v>58</v>
      </c>
      <c r="C97" s="2" t="str">
        <f>_xlfn.CONCAT(kursy3[[#This Row],[Poczatek]]," -&gt; ",kursy3[[#This Row],[Koniec]])</f>
        <v>Zgorzelec -&gt; Swiecko</v>
      </c>
      <c r="D97">
        <v>2719</v>
      </c>
      <c r="E97">
        <v>152</v>
      </c>
      <c r="F97" s="3">
        <v>240</v>
      </c>
      <c r="G97" s="3">
        <f>kursy3[[#This Row],[Cena]]/kursy3[[#This Row],[Odleglosc]]</f>
        <v>1.5789473684210527</v>
      </c>
    </row>
    <row r="98" spans="1:7" x14ac:dyDescent="0.25">
      <c r="A98" s="2" t="s">
        <v>58</v>
      </c>
      <c r="B98" s="2" t="s">
        <v>23</v>
      </c>
      <c r="C98" s="2" t="str">
        <f>_xlfn.CONCAT(kursy3[[#This Row],[Poczatek]]," -&gt; ",kursy3[[#This Row],[Koniec]])</f>
        <v>Swiecko -&gt; Szczecin</v>
      </c>
      <c r="D98">
        <v>1793</v>
      </c>
      <c r="E98">
        <v>197</v>
      </c>
      <c r="F98" s="3">
        <v>754</v>
      </c>
      <c r="G98" s="3">
        <f>kursy3[[#This Row],[Cena]]/kursy3[[#This Row],[Odleglosc]]</f>
        <v>3.8274111675126905</v>
      </c>
    </row>
    <row r="99" spans="1:7" x14ac:dyDescent="0.25">
      <c r="A99" s="2" t="s">
        <v>19</v>
      </c>
      <c r="B99" s="2" t="s">
        <v>29</v>
      </c>
      <c r="C99" s="2" t="str">
        <f>_xlfn.CONCAT(kursy3[[#This Row],[Poczatek]]," -&gt; ",kursy3[[#This Row],[Koniec]])</f>
        <v>Radom -&gt; Piotrkow Trybunalski</v>
      </c>
      <c r="D99">
        <v>1858</v>
      </c>
      <c r="E99">
        <v>104</v>
      </c>
      <c r="F99" s="3">
        <v>171</v>
      </c>
      <c r="G99" s="3">
        <f>kursy3[[#This Row],[Cena]]/kursy3[[#This Row],[Odleglosc]]</f>
        <v>1.6442307692307692</v>
      </c>
    </row>
    <row r="100" spans="1:7" x14ac:dyDescent="0.25">
      <c r="A100" s="2" t="s">
        <v>29</v>
      </c>
      <c r="B100" s="2" t="s">
        <v>19</v>
      </c>
      <c r="C100" s="2" t="str">
        <f>_xlfn.CONCAT(kursy3[[#This Row],[Poczatek]]," -&gt; ",kursy3[[#This Row],[Koniec]])</f>
        <v>Piotrkow Trybunalski -&gt; Radom</v>
      </c>
      <c r="D100">
        <v>4651</v>
      </c>
      <c r="E100">
        <v>111</v>
      </c>
      <c r="F100" s="3">
        <v>190</v>
      </c>
      <c r="G100" s="3">
        <f>kursy3[[#This Row],[Cena]]/kursy3[[#This Row],[Odleglosc]]</f>
        <v>1.7117117117117118</v>
      </c>
    </row>
    <row r="101" spans="1:7" x14ac:dyDescent="0.25">
      <c r="A101" s="2" t="s">
        <v>19</v>
      </c>
      <c r="B101" s="2" t="s">
        <v>29</v>
      </c>
      <c r="C101" s="2" t="str">
        <f>_xlfn.CONCAT(kursy3[[#This Row],[Poczatek]]," -&gt; ",kursy3[[#This Row],[Koniec]])</f>
        <v>Radom -&gt; Piotrkow Trybunalski</v>
      </c>
      <c r="D101">
        <v>2929</v>
      </c>
      <c r="E101">
        <v>111</v>
      </c>
      <c r="F101" s="3">
        <v>395</v>
      </c>
      <c r="G101" s="3">
        <f>kursy3[[#This Row],[Cena]]/kursy3[[#This Row],[Odleglosc]]</f>
        <v>3.5585585585585586</v>
      </c>
    </row>
    <row r="102" spans="1:7" x14ac:dyDescent="0.25">
      <c r="A102" s="2" t="s">
        <v>29</v>
      </c>
      <c r="B102" s="2" t="s">
        <v>28</v>
      </c>
      <c r="C102" s="2" t="str">
        <f>_xlfn.CONCAT(kursy3[[#This Row],[Poczatek]]," -&gt; ",kursy3[[#This Row],[Koniec]])</f>
        <v>Piotrkow Trybunalski -&gt; Kalisz</v>
      </c>
      <c r="D102">
        <v>2608</v>
      </c>
      <c r="E102">
        <v>123</v>
      </c>
      <c r="F102" s="3">
        <v>223</v>
      </c>
      <c r="G102" s="3">
        <f>kursy3[[#This Row],[Cena]]/kursy3[[#This Row],[Odleglosc]]</f>
        <v>1.8130081300813008</v>
      </c>
    </row>
    <row r="103" spans="1:7" x14ac:dyDescent="0.25">
      <c r="A103" s="2" t="s">
        <v>28</v>
      </c>
      <c r="B103" s="2" t="s">
        <v>14</v>
      </c>
      <c r="C103" s="2" t="str">
        <f>_xlfn.CONCAT(kursy3[[#This Row],[Poczatek]]," -&gt; ",kursy3[[#This Row],[Koniec]])</f>
        <v>Kalisz -&gt; Poznan</v>
      </c>
      <c r="D103">
        <v>3094</v>
      </c>
      <c r="E103">
        <v>107</v>
      </c>
      <c r="F103" s="3">
        <v>143</v>
      </c>
      <c r="G103" s="3">
        <f>kursy3[[#This Row],[Cena]]/kursy3[[#This Row],[Odleglosc]]</f>
        <v>1.3364485981308412</v>
      </c>
    </row>
    <row r="104" spans="1:7" x14ac:dyDescent="0.25">
      <c r="A104" s="2" t="s">
        <v>19</v>
      </c>
      <c r="B104" s="2" t="s">
        <v>59</v>
      </c>
      <c r="C104" s="2" t="str">
        <f>_xlfn.CONCAT(kursy3[[#This Row],[Poczatek]]," -&gt; ",kursy3[[#This Row],[Koniec]])</f>
        <v>Radom -&gt; Warszawa</v>
      </c>
      <c r="D104">
        <v>5288</v>
      </c>
      <c r="E104">
        <v>107</v>
      </c>
      <c r="F104" s="3">
        <v>312</v>
      </c>
      <c r="G104" s="3">
        <f>kursy3[[#This Row],[Cena]]/kursy3[[#This Row],[Odleglosc]]</f>
        <v>2.9158878504672896</v>
      </c>
    </row>
    <row r="105" spans="1:7" x14ac:dyDescent="0.25">
      <c r="A105" s="2" t="s">
        <v>43</v>
      </c>
      <c r="B105" s="2" t="s">
        <v>28</v>
      </c>
      <c r="C105" s="2" t="str">
        <f>_xlfn.CONCAT(kursy3[[#This Row],[Poczatek]]," -&gt; ",kursy3[[#This Row],[Koniec]])</f>
        <v>Walbrzych -&gt; Kalisz</v>
      </c>
      <c r="D105">
        <v>4888</v>
      </c>
      <c r="E105">
        <v>182</v>
      </c>
      <c r="F105" s="3">
        <v>248</v>
      </c>
      <c r="G105" s="3">
        <f>kursy3[[#This Row],[Cena]]/kursy3[[#This Row],[Odleglosc]]</f>
        <v>1.3626373626373627</v>
      </c>
    </row>
    <row r="106" spans="1:7" x14ac:dyDescent="0.25">
      <c r="A106" s="2" t="s">
        <v>28</v>
      </c>
      <c r="B106" s="2" t="s">
        <v>60</v>
      </c>
      <c r="C106" s="2" t="str">
        <f>_xlfn.CONCAT(kursy3[[#This Row],[Poczatek]]," -&gt; ",kursy3[[#This Row],[Koniec]])</f>
        <v>Kalisz -&gt; Lodz</v>
      </c>
      <c r="D106">
        <v>5475</v>
      </c>
      <c r="E106">
        <v>129</v>
      </c>
      <c r="F106" s="3">
        <v>200</v>
      </c>
      <c r="G106" s="3">
        <f>kursy3[[#This Row],[Cena]]/kursy3[[#This Row],[Odleglosc]]</f>
        <v>1.5503875968992249</v>
      </c>
    </row>
    <row r="107" spans="1:7" x14ac:dyDescent="0.25">
      <c r="A107" s="2" t="s">
        <v>60</v>
      </c>
      <c r="B107" s="2" t="s">
        <v>47</v>
      </c>
      <c r="C107" s="2" t="str">
        <f>_xlfn.CONCAT(kursy3[[#This Row],[Poczatek]]," -&gt; ",kursy3[[#This Row],[Koniec]])</f>
        <v>Lodz -&gt; Kielce</v>
      </c>
      <c r="D107">
        <v>4863</v>
      </c>
      <c r="E107">
        <v>141</v>
      </c>
      <c r="F107" s="3">
        <v>444</v>
      </c>
      <c r="G107" s="3">
        <f>kursy3[[#This Row],[Cena]]/kursy3[[#This Row],[Odleglosc]]</f>
        <v>3.1489361702127661</v>
      </c>
    </row>
    <row r="108" spans="1:7" x14ac:dyDescent="0.25">
      <c r="A108" s="2" t="s">
        <v>29</v>
      </c>
      <c r="B108" s="2" t="s">
        <v>56</v>
      </c>
      <c r="C108" s="2" t="str">
        <f>_xlfn.CONCAT(kursy3[[#This Row],[Poczatek]]," -&gt; ",kursy3[[#This Row],[Koniec]])</f>
        <v>Piotrkow Trybunalski -&gt; Przemysl</v>
      </c>
      <c r="D108">
        <v>5933</v>
      </c>
      <c r="E108">
        <v>335</v>
      </c>
      <c r="F108" s="3">
        <v>479</v>
      </c>
      <c r="G108" s="3">
        <f>kursy3[[#This Row],[Cena]]/kursy3[[#This Row],[Odleglosc]]</f>
        <v>1.4298507462686567</v>
      </c>
    </row>
    <row r="109" spans="1:7" x14ac:dyDescent="0.25">
      <c r="A109" s="2" t="s">
        <v>59</v>
      </c>
      <c r="B109" s="2" t="s">
        <v>61</v>
      </c>
      <c r="C109" s="2" t="str">
        <f>_xlfn.CONCAT(kursy3[[#This Row],[Poczatek]]," -&gt; ",kursy3[[#This Row],[Koniec]])</f>
        <v>Warszawa -&gt; Legnica</v>
      </c>
      <c r="D109">
        <v>1730</v>
      </c>
      <c r="E109">
        <v>410</v>
      </c>
      <c r="F109" s="3">
        <v>1087</v>
      </c>
      <c r="G109" s="3">
        <f>kursy3[[#This Row],[Cena]]/kursy3[[#This Row],[Odleglosc]]</f>
        <v>2.6512195121951221</v>
      </c>
    </row>
    <row r="110" spans="1:7" x14ac:dyDescent="0.25">
      <c r="A110" s="2" t="s">
        <v>61</v>
      </c>
      <c r="B110" s="2" t="s">
        <v>15</v>
      </c>
      <c r="C110" s="2" t="str">
        <f>_xlfn.CONCAT(kursy3[[#This Row],[Poczatek]]," -&gt; ",kursy3[[#This Row],[Koniec]])</f>
        <v>Legnica -&gt; Gubin</v>
      </c>
      <c r="D110">
        <v>3178</v>
      </c>
      <c r="E110">
        <v>171</v>
      </c>
      <c r="F110" s="3">
        <v>646</v>
      </c>
      <c r="G110" s="3">
        <f>kursy3[[#This Row],[Cena]]/kursy3[[#This Row],[Odleglosc]]</f>
        <v>3.7777777777777777</v>
      </c>
    </row>
    <row r="111" spans="1:7" x14ac:dyDescent="0.25">
      <c r="A111" s="2" t="s">
        <v>29</v>
      </c>
      <c r="B111" s="2" t="s">
        <v>41</v>
      </c>
      <c r="C111" s="2" t="str">
        <f>_xlfn.CONCAT(kursy3[[#This Row],[Poczatek]]," -&gt; ",kursy3[[#This Row],[Koniec]])</f>
        <v>Piotrkow Trybunalski -&gt; Wloclawek</v>
      </c>
      <c r="D111">
        <v>3983</v>
      </c>
      <c r="E111">
        <v>153</v>
      </c>
      <c r="F111" s="3">
        <v>175</v>
      </c>
      <c r="G111" s="3">
        <f>kursy3[[#This Row],[Cena]]/kursy3[[#This Row],[Odleglosc]]</f>
        <v>1.1437908496732025</v>
      </c>
    </row>
    <row r="112" spans="1:7" x14ac:dyDescent="0.25">
      <c r="A112" s="2" t="s">
        <v>36</v>
      </c>
      <c r="B112" s="2" t="s">
        <v>13</v>
      </c>
      <c r="C112" s="2" t="str">
        <f>_xlfn.CONCAT(kursy3[[#This Row],[Poczatek]]," -&gt; ",kursy3[[#This Row],[Koniec]])</f>
        <v>Elblag -&gt; Kuznica Bialostocka</v>
      </c>
      <c r="D112">
        <v>3007</v>
      </c>
      <c r="E112">
        <v>391</v>
      </c>
      <c r="F112" s="3">
        <v>1406</v>
      </c>
      <c r="G112" s="3">
        <f>kursy3[[#This Row],[Cena]]/kursy3[[#This Row],[Odleglosc]]</f>
        <v>3.5959079283887467</v>
      </c>
    </row>
    <row r="113" spans="1:7" x14ac:dyDescent="0.25">
      <c r="A113" s="2" t="s">
        <v>59</v>
      </c>
      <c r="B113" s="2" t="s">
        <v>18</v>
      </c>
      <c r="C113" s="2" t="str">
        <f>_xlfn.CONCAT(kursy3[[#This Row],[Poczatek]]," -&gt; ",kursy3[[#This Row],[Koniec]])</f>
        <v>Warszawa -&gt; Katowice</v>
      </c>
      <c r="D113">
        <v>5832</v>
      </c>
      <c r="E113">
        <v>300</v>
      </c>
      <c r="F113" s="3">
        <v>453</v>
      </c>
      <c r="G113" s="3">
        <f>kursy3[[#This Row],[Cena]]/kursy3[[#This Row],[Odleglosc]]</f>
        <v>1.51</v>
      </c>
    </row>
    <row r="114" spans="1:7" x14ac:dyDescent="0.25">
      <c r="A114" s="2" t="s">
        <v>35</v>
      </c>
      <c r="B114" s="2" t="s">
        <v>37</v>
      </c>
      <c r="C114" s="2" t="str">
        <f>_xlfn.CONCAT(kursy3[[#This Row],[Poczatek]]," -&gt; ",kursy3[[#This Row],[Koniec]])</f>
        <v>Kudowa-Slone -&gt; Opole</v>
      </c>
      <c r="D114">
        <v>3012</v>
      </c>
      <c r="E114">
        <v>148</v>
      </c>
      <c r="F114" s="3">
        <v>185</v>
      </c>
      <c r="G114" s="3">
        <f>kursy3[[#This Row],[Cena]]/kursy3[[#This Row],[Odleglosc]]</f>
        <v>1.25</v>
      </c>
    </row>
    <row r="115" spans="1:7" x14ac:dyDescent="0.25">
      <c r="A115" s="2" t="s">
        <v>37</v>
      </c>
      <c r="B115" s="2" t="s">
        <v>57</v>
      </c>
      <c r="C115" s="2" t="str">
        <f>_xlfn.CONCAT(kursy3[[#This Row],[Poczatek]]," -&gt; ",kursy3[[#This Row],[Koniec]])</f>
        <v>Opole -&gt; Chalupki</v>
      </c>
      <c r="D115">
        <v>4508</v>
      </c>
      <c r="E115">
        <v>104</v>
      </c>
      <c r="F115" s="3">
        <v>399</v>
      </c>
      <c r="G115" s="3">
        <f>kursy3[[#This Row],[Cena]]/kursy3[[#This Row],[Odleglosc]]</f>
        <v>3.8365384615384617</v>
      </c>
    </row>
    <row r="116" spans="1:7" x14ac:dyDescent="0.25">
      <c r="A116" s="2" t="s">
        <v>9</v>
      </c>
      <c r="B116" s="2" t="s">
        <v>58</v>
      </c>
      <c r="C116" s="2" t="str">
        <f>_xlfn.CONCAT(kursy3[[#This Row],[Poczatek]]," -&gt; ",kursy3[[#This Row],[Koniec]])</f>
        <v>Ostroleka -&gt; Swiecko</v>
      </c>
      <c r="D116">
        <v>1777</v>
      </c>
      <c r="E116">
        <v>552</v>
      </c>
      <c r="F116" s="3">
        <v>1964</v>
      </c>
      <c r="G116" s="3">
        <f>kursy3[[#This Row],[Cena]]/kursy3[[#This Row],[Odleglosc]]</f>
        <v>3.5579710144927534</v>
      </c>
    </row>
    <row r="117" spans="1:7" x14ac:dyDescent="0.25">
      <c r="A117" s="2" t="s">
        <v>58</v>
      </c>
      <c r="B117" s="2" t="s">
        <v>61</v>
      </c>
      <c r="C117" s="2" t="str">
        <f>_xlfn.CONCAT(kursy3[[#This Row],[Poczatek]]," -&gt; ",kursy3[[#This Row],[Koniec]])</f>
        <v>Swiecko -&gt; Legnica</v>
      </c>
      <c r="D117">
        <v>4788</v>
      </c>
      <c r="E117">
        <v>203</v>
      </c>
      <c r="F117" s="3">
        <v>347</v>
      </c>
      <c r="G117" s="3">
        <f>kursy3[[#This Row],[Cena]]/kursy3[[#This Row],[Odleglosc]]</f>
        <v>1.7093596059113301</v>
      </c>
    </row>
    <row r="118" spans="1:7" x14ac:dyDescent="0.25">
      <c r="A118" s="2" t="s">
        <v>61</v>
      </c>
      <c r="B118" s="2" t="s">
        <v>62</v>
      </c>
      <c r="C118" s="2" t="str">
        <f>_xlfn.CONCAT(kursy3[[#This Row],[Poczatek]]," -&gt; ",kursy3[[#This Row],[Koniec]])</f>
        <v>Legnica -&gt; Leszno</v>
      </c>
      <c r="D118">
        <v>3035</v>
      </c>
      <c r="E118">
        <v>103</v>
      </c>
      <c r="F118" s="3">
        <v>376</v>
      </c>
      <c r="G118" s="3">
        <f>kursy3[[#This Row],[Cena]]/kursy3[[#This Row],[Odleglosc]]</f>
        <v>3.650485436893204</v>
      </c>
    </row>
    <row r="119" spans="1:7" x14ac:dyDescent="0.25">
      <c r="A119" s="2" t="s">
        <v>62</v>
      </c>
      <c r="B119" s="2" t="s">
        <v>63</v>
      </c>
      <c r="C119" s="2" t="str">
        <f>_xlfn.CONCAT(kursy3[[#This Row],[Poczatek]]," -&gt; ",kursy3[[#This Row],[Koniec]])</f>
        <v>Leszno -&gt; Jelenia Gora</v>
      </c>
      <c r="D119">
        <v>3380</v>
      </c>
      <c r="E119">
        <v>155</v>
      </c>
      <c r="F119" s="3">
        <v>542</v>
      </c>
      <c r="G119" s="3">
        <f>kursy3[[#This Row],[Cena]]/kursy3[[#This Row],[Odleglosc]]</f>
        <v>3.4967741935483869</v>
      </c>
    </row>
    <row r="120" spans="1:7" x14ac:dyDescent="0.25">
      <c r="A120" s="2" t="s">
        <v>63</v>
      </c>
      <c r="B120" s="2" t="s">
        <v>64</v>
      </c>
      <c r="C120" s="2" t="str">
        <f>_xlfn.CONCAT(kursy3[[#This Row],[Poczatek]]," -&gt; ",kursy3[[#This Row],[Koniec]])</f>
        <v>Jelenia Gora -&gt; Olszyna</v>
      </c>
      <c r="D120">
        <v>5014</v>
      </c>
      <c r="E120">
        <v>154</v>
      </c>
      <c r="F120" s="3">
        <v>577</v>
      </c>
      <c r="G120" s="3">
        <f>kursy3[[#This Row],[Cena]]/kursy3[[#This Row],[Odleglosc]]</f>
        <v>3.7467532467532467</v>
      </c>
    </row>
    <row r="121" spans="1:7" x14ac:dyDescent="0.25">
      <c r="A121" s="2" t="s">
        <v>64</v>
      </c>
      <c r="B121" s="2" t="s">
        <v>58</v>
      </c>
      <c r="C121" s="2" t="str">
        <f>_xlfn.CONCAT(kursy3[[#This Row],[Poczatek]]," -&gt; ",kursy3[[#This Row],[Koniec]])</f>
        <v>Olszyna -&gt; Swiecko</v>
      </c>
      <c r="D121">
        <v>1852</v>
      </c>
      <c r="E121">
        <v>110</v>
      </c>
      <c r="F121" s="3">
        <v>407</v>
      </c>
      <c r="G121" s="3">
        <f>kursy3[[#This Row],[Cena]]/kursy3[[#This Row],[Odleglosc]]</f>
        <v>3.7</v>
      </c>
    </row>
    <row r="122" spans="1:7" x14ac:dyDescent="0.25">
      <c r="A122" s="2" t="s">
        <v>65</v>
      </c>
      <c r="B122" s="2" t="s">
        <v>11</v>
      </c>
      <c r="C122" s="2" t="str">
        <f>_xlfn.CONCAT(kursy3[[#This Row],[Poczatek]]," -&gt; ",kursy3[[#This Row],[Koniec]])</f>
        <v>Siedlce -&gt; Lomza</v>
      </c>
      <c r="D122">
        <v>5493</v>
      </c>
      <c r="E122">
        <v>145</v>
      </c>
      <c r="F122" s="3">
        <v>168</v>
      </c>
      <c r="G122" s="3">
        <f>kursy3[[#This Row],[Cena]]/kursy3[[#This Row],[Odleglosc]]</f>
        <v>1.1586206896551725</v>
      </c>
    </row>
    <row r="123" spans="1:7" x14ac:dyDescent="0.25">
      <c r="A123" s="2" t="s">
        <v>51</v>
      </c>
      <c r="B123" s="2" t="s">
        <v>44</v>
      </c>
      <c r="C123" s="2" t="str">
        <f>_xlfn.CONCAT(kursy3[[#This Row],[Poczatek]]," -&gt; ",kursy3[[#This Row],[Koniec]])</f>
        <v>Rzeszow -&gt; Zamosc</v>
      </c>
      <c r="D123">
        <v>5560</v>
      </c>
      <c r="E123">
        <v>187</v>
      </c>
      <c r="F123" s="3">
        <v>288</v>
      </c>
      <c r="G123" s="3">
        <f>kursy3[[#This Row],[Cena]]/kursy3[[#This Row],[Odleglosc]]</f>
        <v>1.5401069518716577</v>
      </c>
    </row>
    <row r="124" spans="1:7" x14ac:dyDescent="0.25">
      <c r="A124" s="2" t="s">
        <v>66</v>
      </c>
      <c r="B124" s="2" t="s">
        <v>67</v>
      </c>
      <c r="C124" s="2" t="str">
        <f>_xlfn.CONCAT(kursy3[[#This Row],[Poczatek]]," -&gt; ",kursy3[[#This Row],[Koniec]])</f>
        <v>Hrebenne -&gt; Lublin</v>
      </c>
      <c r="D124">
        <v>2571</v>
      </c>
      <c r="E124">
        <v>145</v>
      </c>
      <c r="F124" s="3">
        <v>567</v>
      </c>
      <c r="G124" s="3">
        <f>kursy3[[#This Row],[Cena]]/kursy3[[#This Row],[Odleglosc]]</f>
        <v>3.9103448275862069</v>
      </c>
    </row>
    <row r="125" spans="1:7" x14ac:dyDescent="0.25">
      <c r="A125" s="2" t="s">
        <v>67</v>
      </c>
      <c r="B125" s="2" t="s">
        <v>19</v>
      </c>
      <c r="C125" s="2" t="str">
        <f>_xlfn.CONCAT(kursy3[[#This Row],[Poczatek]]," -&gt; ",kursy3[[#This Row],[Koniec]])</f>
        <v>Lublin -&gt; Radom</v>
      </c>
      <c r="D125">
        <v>3348</v>
      </c>
      <c r="E125">
        <v>111</v>
      </c>
      <c r="F125" s="3">
        <v>135</v>
      </c>
      <c r="G125" s="3">
        <f>kursy3[[#This Row],[Cena]]/kursy3[[#This Row],[Odleglosc]]</f>
        <v>1.2162162162162162</v>
      </c>
    </row>
    <row r="126" spans="1:7" x14ac:dyDescent="0.25">
      <c r="A126" s="2" t="s">
        <v>19</v>
      </c>
      <c r="B126" s="2" t="s">
        <v>46</v>
      </c>
      <c r="C126" s="2" t="str">
        <f>_xlfn.CONCAT(kursy3[[#This Row],[Poczatek]]," -&gt; ",kursy3[[#This Row],[Koniec]])</f>
        <v>Radom -&gt; Tarnobrzeg</v>
      </c>
      <c r="D126">
        <v>2906</v>
      </c>
      <c r="E126">
        <v>119</v>
      </c>
      <c r="F126" s="3">
        <v>398</v>
      </c>
      <c r="G126" s="3">
        <f>kursy3[[#This Row],[Cena]]/kursy3[[#This Row],[Odleglosc]]</f>
        <v>3.3445378151260505</v>
      </c>
    </row>
    <row r="127" spans="1:7" x14ac:dyDescent="0.25">
      <c r="A127" s="2" t="s">
        <v>46</v>
      </c>
      <c r="B127" s="2" t="s">
        <v>54</v>
      </c>
      <c r="C127" s="2" t="str">
        <f>_xlfn.CONCAT(kursy3[[#This Row],[Poczatek]]," -&gt; ",kursy3[[#This Row],[Koniec]])</f>
        <v>Tarnobrzeg -&gt; Krakow</v>
      </c>
      <c r="D127">
        <v>5660</v>
      </c>
      <c r="E127">
        <v>137</v>
      </c>
      <c r="F127" s="3">
        <v>490</v>
      </c>
      <c r="G127" s="3">
        <f>kursy3[[#This Row],[Cena]]/kursy3[[#This Row],[Odleglosc]]</f>
        <v>3.5766423357664232</v>
      </c>
    </row>
    <row r="128" spans="1:7" x14ac:dyDescent="0.25">
      <c r="A128" s="2" t="s">
        <v>19</v>
      </c>
      <c r="B128" s="2" t="s">
        <v>29</v>
      </c>
      <c r="C128" s="2" t="str">
        <f>_xlfn.CONCAT(kursy3[[#This Row],[Poczatek]]," -&gt; ",kursy3[[#This Row],[Koniec]])</f>
        <v>Radom -&gt; Piotrkow Trybunalski</v>
      </c>
      <c r="D128">
        <v>2575</v>
      </c>
      <c r="E128">
        <v>113</v>
      </c>
      <c r="F128" s="3">
        <v>277</v>
      </c>
      <c r="G128" s="3">
        <f>kursy3[[#This Row],[Cena]]/kursy3[[#This Row],[Odleglosc]]</f>
        <v>2.4513274336283186</v>
      </c>
    </row>
    <row r="129" spans="1:7" x14ac:dyDescent="0.25">
      <c r="A129" s="2" t="s">
        <v>55</v>
      </c>
      <c r="B129" s="2" t="s">
        <v>46</v>
      </c>
      <c r="C129" s="2" t="str">
        <f>_xlfn.CONCAT(kursy3[[#This Row],[Poczatek]]," -&gt; ",kursy3[[#This Row],[Koniec]])</f>
        <v>Biala Podlaska -&gt; Tarnobrzeg</v>
      </c>
      <c r="D129">
        <v>1676</v>
      </c>
      <c r="E129">
        <v>217</v>
      </c>
      <c r="F129" s="3">
        <v>499</v>
      </c>
      <c r="G129" s="3">
        <f>kursy3[[#This Row],[Cena]]/kursy3[[#This Row],[Odleglosc]]</f>
        <v>2.2995391705069124</v>
      </c>
    </row>
    <row r="130" spans="1:7" x14ac:dyDescent="0.25">
      <c r="A130" s="2" t="s">
        <v>46</v>
      </c>
      <c r="B130" s="2" t="s">
        <v>47</v>
      </c>
      <c r="C130" s="2" t="str">
        <f>_xlfn.CONCAT(kursy3[[#This Row],[Poczatek]]," -&gt; ",kursy3[[#This Row],[Koniec]])</f>
        <v>Tarnobrzeg -&gt; Kielce</v>
      </c>
      <c r="D130">
        <v>1536</v>
      </c>
      <c r="E130">
        <v>96</v>
      </c>
      <c r="F130" s="3">
        <v>154</v>
      </c>
      <c r="G130" s="3">
        <f>kursy3[[#This Row],[Cena]]/kursy3[[#This Row],[Odleglosc]]</f>
        <v>1.6041666666666667</v>
      </c>
    </row>
    <row r="131" spans="1:7" x14ac:dyDescent="0.25">
      <c r="A131" s="2" t="s">
        <v>47</v>
      </c>
      <c r="B131" s="2" t="s">
        <v>42</v>
      </c>
      <c r="C131" s="2" t="str">
        <f>_xlfn.CONCAT(kursy3[[#This Row],[Poczatek]]," -&gt; ",kursy3[[#This Row],[Koniec]])</f>
        <v>Kielce -&gt; Sieradz</v>
      </c>
      <c r="D131">
        <v>1996</v>
      </c>
      <c r="E131">
        <v>158</v>
      </c>
      <c r="F131" s="3">
        <v>653</v>
      </c>
      <c r="G131" s="3">
        <f>kursy3[[#This Row],[Cena]]/kursy3[[#This Row],[Odleglosc]]</f>
        <v>4.1329113924050631</v>
      </c>
    </row>
    <row r="132" spans="1:7" x14ac:dyDescent="0.25">
      <c r="A132" s="2" t="s">
        <v>68</v>
      </c>
      <c r="B132" s="2" t="s">
        <v>69</v>
      </c>
      <c r="C132" s="2" t="str">
        <f>_xlfn.CONCAT(kursy3[[#This Row],[Poczatek]]," -&gt; ",kursy3[[#This Row],[Koniec]])</f>
        <v>Chelm -&gt; Terespol</v>
      </c>
      <c r="D132">
        <v>4769</v>
      </c>
      <c r="E132">
        <v>160</v>
      </c>
      <c r="F132" s="3">
        <v>522</v>
      </c>
      <c r="G132" s="3">
        <f>kursy3[[#This Row],[Cena]]/kursy3[[#This Row],[Odleglosc]]</f>
        <v>3.2625000000000002</v>
      </c>
    </row>
    <row r="133" spans="1:7" x14ac:dyDescent="0.25">
      <c r="A133" s="2" t="s">
        <v>69</v>
      </c>
      <c r="B133" s="2" t="s">
        <v>59</v>
      </c>
      <c r="C133" s="2" t="str">
        <f>_xlfn.CONCAT(kursy3[[#This Row],[Poczatek]]," -&gt; ",kursy3[[#This Row],[Koniec]])</f>
        <v>Terespol -&gt; Warszawa</v>
      </c>
      <c r="D133">
        <v>4542</v>
      </c>
      <c r="E133">
        <v>205</v>
      </c>
      <c r="F133" s="3">
        <v>524</v>
      </c>
      <c r="G133" s="3">
        <f>kursy3[[#This Row],[Cena]]/kursy3[[#This Row],[Odleglosc]]</f>
        <v>2.5560975609756098</v>
      </c>
    </row>
    <row r="134" spans="1:7" x14ac:dyDescent="0.25">
      <c r="A134" s="2" t="s">
        <v>59</v>
      </c>
      <c r="B134" s="2" t="s">
        <v>60</v>
      </c>
      <c r="C134" s="2" t="str">
        <f>_xlfn.CONCAT(kursy3[[#This Row],[Poczatek]]," -&gt; ",kursy3[[#This Row],[Koniec]])</f>
        <v>Warszawa -&gt; Lodz</v>
      </c>
      <c r="D134">
        <v>2286</v>
      </c>
      <c r="E134">
        <v>140</v>
      </c>
      <c r="F134" s="3">
        <v>136</v>
      </c>
      <c r="G134" s="3">
        <f>kursy3[[#This Row],[Cena]]/kursy3[[#This Row],[Odleglosc]]</f>
        <v>0.97142857142857142</v>
      </c>
    </row>
    <row r="135" spans="1:7" x14ac:dyDescent="0.25">
      <c r="A135" s="2" t="s">
        <v>60</v>
      </c>
      <c r="B135" s="2" t="s">
        <v>41</v>
      </c>
      <c r="C135" s="2" t="str">
        <f>_xlfn.CONCAT(kursy3[[#This Row],[Poczatek]]," -&gt; ",kursy3[[#This Row],[Koniec]])</f>
        <v>Lodz -&gt; Wloclawek</v>
      </c>
      <c r="D135">
        <v>1504</v>
      </c>
      <c r="E135">
        <v>95</v>
      </c>
      <c r="F135" s="3">
        <v>382</v>
      </c>
      <c r="G135" s="3">
        <f>kursy3[[#This Row],[Cena]]/kursy3[[#This Row],[Odleglosc]]</f>
        <v>4.0210526315789474</v>
      </c>
    </row>
    <row r="136" spans="1:7" x14ac:dyDescent="0.25">
      <c r="A136" s="2" t="s">
        <v>34</v>
      </c>
      <c r="B136" s="2" t="s">
        <v>39</v>
      </c>
      <c r="C136" s="2" t="str">
        <f>_xlfn.CONCAT(kursy3[[#This Row],[Poczatek]]," -&gt; ",kursy3[[#This Row],[Koniec]])</f>
        <v>Krosno -&gt; Zakopane</v>
      </c>
      <c r="D136">
        <v>3990</v>
      </c>
      <c r="E136">
        <v>195</v>
      </c>
      <c r="F136" s="3">
        <v>468</v>
      </c>
      <c r="G136" s="3">
        <f>kursy3[[#This Row],[Cena]]/kursy3[[#This Row],[Odleglosc]]</f>
        <v>2.4</v>
      </c>
    </row>
    <row r="137" spans="1:7" x14ac:dyDescent="0.25">
      <c r="A137" s="2" t="s">
        <v>47</v>
      </c>
      <c r="B137" s="2" t="s">
        <v>17</v>
      </c>
      <c r="C137" s="2" t="str">
        <f>_xlfn.CONCAT(kursy3[[#This Row],[Poczatek]]," -&gt; ",kursy3[[#This Row],[Koniec]])</f>
        <v>Kielce -&gt; Tarnow</v>
      </c>
      <c r="D137">
        <v>4569</v>
      </c>
      <c r="E137">
        <v>123</v>
      </c>
      <c r="F137" s="3">
        <v>295</v>
      </c>
      <c r="G137" s="3">
        <f>kursy3[[#This Row],[Cena]]/kursy3[[#This Row],[Odleglosc]]</f>
        <v>2.3983739837398375</v>
      </c>
    </row>
    <row r="138" spans="1:7" x14ac:dyDescent="0.25">
      <c r="A138" s="2" t="s">
        <v>17</v>
      </c>
      <c r="B138" s="2" t="s">
        <v>18</v>
      </c>
      <c r="C138" s="2" t="str">
        <f>_xlfn.CONCAT(kursy3[[#This Row],[Poczatek]]," -&gt; ",kursy3[[#This Row],[Koniec]])</f>
        <v>Tarnow -&gt; Katowice</v>
      </c>
      <c r="D138">
        <v>3469</v>
      </c>
      <c r="E138">
        <v>151</v>
      </c>
      <c r="F138" s="3">
        <v>558</v>
      </c>
      <c r="G138" s="3">
        <f>kursy3[[#This Row],[Cena]]/kursy3[[#This Row],[Odleglosc]]</f>
        <v>3.6953642384105962</v>
      </c>
    </row>
    <row r="139" spans="1:7" x14ac:dyDescent="0.25">
      <c r="A139" s="2" t="s">
        <v>18</v>
      </c>
      <c r="B139" s="2" t="s">
        <v>39</v>
      </c>
      <c r="C139" s="2" t="str">
        <f>_xlfn.CONCAT(kursy3[[#This Row],[Poczatek]]," -&gt; ",kursy3[[#This Row],[Koniec]])</f>
        <v>Katowice -&gt; Zakopane</v>
      </c>
      <c r="D139">
        <v>2498</v>
      </c>
      <c r="E139">
        <v>163</v>
      </c>
      <c r="F139" s="3">
        <v>610</v>
      </c>
      <c r="G139" s="3">
        <f>kursy3[[#This Row],[Cena]]/kursy3[[#This Row],[Odleglosc]]</f>
        <v>3.7423312883435584</v>
      </c>
    </row>
    <row r="140" spans="1:7" x14ac:dyDescent="0.25">
      <c r="A140" s="2" t="s">
        <v>39</v>
      </c>
      <c r="B140" s="2" t="s">
        <v>17</v>
      </c>
      <c r="C140" s="2" t="str">
        <f>_xlfn.CONCAT(kursy3[[#This Row],[Poczatek]]," -&gt; ",kursy3[[#This Row],[Koniec]])</f>
        <v>Zakopane -&gt; Tarnow</v>
      </c>
      <c r="D140">
        <v>4118</v>
      </c>
      <c r="E140">
        <v>144</v>
      </c>
      <c r="F140" s="3">
        <v>256</v>
      </c>
      <c r="G140" s="3">
        <f>kursy3[[#This Row],[Cena]]/kursy3[[#This Row],[Odleglosc]]</f>
        <v>1.7777777777777777</v>
      </c>
    </row>
    <row r="141" spans="1:7" x14ac:dyDescent="0.25">
      <c r="A141" s="2" t="s">
        <v>30</v>
      </c>
      <c r="B141" s="2" t="s">
        <v>70</v>
      </c>
      <c r="C141" s="2" t="str">
        <f>_xlfn.CONCAT(kursy3[[#This Row],[Poczatek]]," -&gt; ",kursy3[[#This Row],[Koniec]])</f>
        <v>Gdansk -&gt; Slupsk</v>
      </c>
      <c r="D141">
        <v>5847</v>
      </c>
      <c r="E141">
        <v>137</v>
      </c>
      <c r="F141" s="3">
        <v>270</v>
      </c>
      <c r="G141" s="3">
        <f>kursy3[[#This Row],[Cena]]/kursy3[[#This Row],[Odleglosc]]</f>
        <v>1.9708029197080292</v>
      </c>
    </row>
    <row r="142" spans="1:7" x14ac:dyDescent="0.25">
      <c r="A142" s="2" t="s">
        <v>70</v>
      </c>
      <c r="B142" s="2" t="s">
        <v>30</v>
      </c>
      <c r="C142" s="2" t="str">
        <f>_xlfn.CONCAT(kursy3[[#This Row],[Poczatek]]," -&gt; ",kursy3[[#This Row],[Koniec]])</f>
        <v>Slupsk -&gt; Gdansk</v>
      </c>
      <c r="D142">
        <v>2032</v>
      </c>
      <c r="E142">
        <v>129</v>
      </c>
      <c r="F142" s="3">
        <v>245</v>
      </c>
      <c r="G142" s="3">
        <f>kursy3[[#This Row],[Cena]]/kursy3[[#This Row],[Odleglosc]]</f>
        <v>1.8992248062015504</v>
      </c>
    </row>
    <row r="143" spans="1:7" x14ac:dyDescent="0.25">
      <c r="A143" s="2" t="s">
        <v>30</v>
      </c>
      <c r="B143" s="2" t="s">
        <v>31</v>
      </c>
      <c r="C143" s="2" t="str">
        <f>_xlfn.CONCAT(kursy3[[#This Row],[Poczatek]]," -&gt; ",kursy3[[#This Row],[Koniec]])</f>
        <v>Gdansk -&gt; Koszalin</v>
      </c>
      <c r="D143">
        <v>2735</v>
      </c>
      <c r="E143">
        <v>213</v>
      </c>
      <c r="F143" s="3">
        <v>213</v>
      </c>
      <c r="G143" s="3">
        <f>kursy3[[#This Row],[Cena]]/kursy3[[#This Row],[Odleglosc]]</f>
        <v>1</v>
      </c>
    </row>
    <row r="144" spans="1:7" x14ac:dyDescent="0.25">
      <c r="A144" s="2" t="s">
        <v>31</v>
      </c>
      <c r="B144" s="2" t="s">
        <v>22</v>
      </c>
      <c r="C144" s="2" t="str">
        <f>_xlfn.CONCAT(kursy3[[#This Row],[Poczatek]]," -&gt; ",kursy3[[#This Row],[Koniec]])</f>
        <v>Koszalin -&gt; Kolbaskowo</v>
      </c>
      <c r="D144">
        <v>5467</v>
      </c>
      <c r="E144">
        <v>168</v>
      </c>
      <c r="F144" s="3">
        <v>336</v>
      </c>
      <c r="G144" s="3">
        <f>kursy3[[#This Row],[Cena]]/kursy3[[#This Row],[Odleglosc]]</f>
        <v>2</v>
      </c>
    </row>
    <row r="145" spans="1:7" x14ac:dyDescent="0.25">
      <c r="A145" s="2" t="s">
        <v>22</v>
      </c>
      <c r="B145" s="2" t="s">
        <v>21</v>
      </c>
      <c r="C145" s="2" t="str">
        <f>_xlfn.CONCAT(kursy3[[#This Row],[Poczatek]]," -&gt; ",kursy3[[#This Row],[Koniec]])</f>
        <v>Kolbaskowo -&gt; Pila</v>
      </c>
      <c r="D145">
        <v>3691</v>
      </c>
      <c r="E145">
        <v>170</v>
      </c>
      <c r="F145" s="3">
        <v>525</v>
      </c>
      <c r="G145" s="3">
        <f>kursy3[[#This Row],[Cena]]/kursy3[[#This Row],[Odleglosc]]</f>
        <v>3.0882352941176472</v>
      </c>
    </row>
    <row r="146" spans="1:7" x14ac:dyDescent="0.25">
      <c r="A146" s="2" t="s">
        <v>15</v>
      </c>
      <c r="B146" s="2" t="s">
        <v>52</v>
      </c>
      <c r="C146" s="2" t="str">
        <f>_xlfn.CONCAT(kursy3[[#This Row],[Poczatek]]," -&gt; ",kursy3[[#This Row],[Koniec]])</f>
        <v>Gubin -&gt; Zgorzelec</v>
      </c>
      <c r="D146">
        <v>3681</v>
      </c>
      <c r="E146">
        <v>145</v>
      </c>
      <c r="F146" s="3">
        <v>546</v>
      </c>
      <c r="G146" s="3">
        <f>kursy3[[#This Row],[Cena]]/kursy3[[#This Row],[Odleglosc]]</f>
        <v>3.7655172413793103</v>
      </c>
    </row>
    <row r="147" spans="1:7" x14ac:dyDescent="0.25">
      <c r="A147" s="2" t="s">
        <v>62</v>
      </c>
      <c r="B147" s="2" t="s">
        <v>20</v>
      </c>
      <c r="C147" s="2" t="str">
        <f>_xlfn.CONCAT(kursy3[[#This Row],[Poczatek]]," -&gt; ",kursy3[[#This Row],[Koniec]])</f>
        <v>Leszno -&gt; Konin</v>
      </c>
      <c r="D147">
        <v>2256</v>
      </c>
      <c r="E147">
        <v>146</v>
      </c>
      <c r="F147" s="3">
        <v>315</v>
      </c>
      <c r="G147" s="3">
        <f>kursy3[[#This Row],[Cena]]/kursy3[[#This Row],[Odleglosc]]</f>
        <v>2.1575342465753424</v>
      </c>
    </row>
    <row r="148" spans="1:7" x14ac:dyDescent="0.25">
      <c r="A148" s="2" t="s">
        <v>20</v>
      </c>
      <c r="B148" s="2" t="s">
        <v>8</v>
      </c>
      <c r="C148" s="2" t="str">
        <f>_xlfn.CONCAT(kursy3[[#This Row],[Poczatek]]," -&gt; ",kursy3[[#This Row],[Koniec]])</f>
        <v>Konin -&gt; Plock</v>
      </c>
      <c r="D148">
        <v>4602</v>
      </c>
      <c r="E148">
        <v>120</v>
      </c>
      <c r="F148" s="3">
        <v>288</v>
      </c>
      <c r="G148" s="3">
        <f>kursy3[[#This Row],[Cena]]/kursy3[[#This Row],[Odleglosc]]</f>
        <v>2.4</v>
      </c>
    </row>
    <row r="149" spans="1:7" x14ac:dyDescent="0.25">
      <c r="A149" s="2" t="s">
        <v>8</v>
      </c>
      <c r="B149" s="2" t="s">
        <v>20</v>
      </c>
      <c r="C149" s="2" t="str">
        <f>_xlfn.CONCAT(kursy3[[#This Row],[Poczatek]]," -&gt; ",kursy3[[#This Row],[Koniec]])</f>
        <v>Plock -&gt; Konin</v>
      </c>
      <c r="D149">
        <v>4354</v>
      </c>
      <c r="E149">
        <v>135</v>
      </c>
      <c r="F149" s="3">
        <v>215</v>
      </c>
      <c r="G149" s="3">
        <f>kursy3[[#This Row],[Cena]]/kursy3[[#This Row],[Odleglosc]]</f>
        <v>1.5925925925925926</v>
      </c>
    </row>
    <row r="150" spans="1:7" x14ac:dyDescent="0.25">
      <c r="A150" s="2" t="s">
        <v>20</v>
      </c>
      <c r="B150" s="2" t="s">
        <v>60</v>
      </c>
      <c r="C150" s="2" t="str">
        <f>_xlfn.CONCAT(kursy3[[#This Row],[Poczatek]]," -&gt; ",kursy3[[#This Row],[Koniec]])</f>
        <v>Konin -&gt; Lodz</v>
      </c>
      <c r="D150">
        <v>4260</v>
      </c>
      <c r="E150">
        <v>118</v>
      </c>
      <c r="F150" s="3">
        <v>222</v>
      </c>
      <c r="G150" s="3">
        <f>kursy3[[#This Row],[Cena]]/kursy3[[#This Row],[Odleglosc]]</f>
        <v>1.8813559322033899</v>
      </c>
    </row>
    <row r="151" spans="1:7" x14ac:dyDescent="0.25">
      <c r="A151" s="2" t="s">
        <v>40</v>
      </c>
      <c r="B151" s="2" t="s">
        <v>41</v>
      </c>
      <c r="C151" s="2" t="str">
        <f>_xlfn.CONCAT(kursy3[[#This Row],[Poczatek]]," -&gt; ",kursy3[[#This Row],[Koniec]])</f>
        <v>Bydgoszcz -&gt; Wloclawek</v>
      </c>
      <c r="D151">
        <v>2800</v>
      </c>
      <c r="E151">
        <v>98</v>
      </c>
      <c r="F151" s="3">
        <v>108</v>
      </c>
      <c r="G151" s="3">
        <f>kursy3[[#This Row],[Cena]]/kursy3[[#This Row],[Odleglosc]]</f>
        <v>1.1020408163265305</v>
      </c>
    </row>
    <row r="152" spans="1:7" x14ac:dyDescent="0.25">
      <c r="A152" s="2" t="s">
        <v>41</v>
      </c>
      <c r="B152" s="2" t="s">
        <v>28</v>
      </c>
      <c r="C152" s="2" t="str">
        <f>_xlfn.CONCAT(kursy3[[#This Row],[Poczatek]]," -&gt; ",kursy3[[#This Row],[Koniec]])</f>
        <v>Wloclawek -&gt; Kalisz</v>
      </c>
      <c r="D152">
        <v>2637</v>
      </c>
      <c r="E152">
        <v>138</v>
      </c>
      <c r="F152" s="3">
        <v>179</v>
      </c>
      <c r="G152" s="3">
        <f>kursy3[[#This Row],[Cena]]/kursy3[[#This Row],[Odleglosc]]</f>
        <v>1.2971014492753623</v>
      </c>
    </row>
    <row r="153" spans="1:7" x14ac:dyDescent="0.25">
      <c r="A153" s="2" t="s">
        <v>28</v>
      </c>
      <c r="B153" s="2" t="s">
        <v>14</v>
      </c>
      <c r="C153" s="2" t="str">
        <f>_xlfn.CONCAT(kursy3[[#This Row],[Poczatek]]," -&gt; ",kursy3[[#This Row],[Koniec]])</f>
        <v>Kalisz -&gt; Poznan</v>
      </c>
      <c r="D153">
        <v>5651</v>
      </c>
      <c r="E153">
        <v>116</v>
      </c>
      <c r="F153" s="3">
        <v>141</v>
      </c>
      <c r="G153" s="3">
        <f>kursy3[[#This Row],[Cena]]/kursy3[[#This Row],[Odleglosc]]</f>
        <v>1.2155172413793103</v>
      </c>
    </row>
    <row r="154" spans="1:7" x14ac:dyDescent="0.25">
      <c r="A154" s="2" t="s">
        <v>14</v>
      </c>
      <c r="B154" s="2" t="s">
        <v>48</v>
      </c>
      <c r="C154" s="2" t="str">
        <f>_xlfn.CONCAT(kursy3[[#This Row],[Poczatek]]," -&gt; ",kursy3[[#This Row],[Koniec]])</f>
        <v>Poznan -&gt; Zielona Gora</v>
      </c>
      <c r="D154">
        <v>2511</v>
      </c>
      <c r="E154">
        <v>120</v>
      </c>
      <c r="F154" s="3">
        <v>438</v>
      </c>
      <c r="G154" s="3">
        <f>kursy3[[#This Row],[Cena]]/kursy3[[#This Row],[Odleglosc]]</f>
        <v>3.65</v>
      </c>
    </row>
    <row r="155" spans="1:7" x14ac:dyDescent="0.25">
      <c r="A155" s="2" t="s">
        <v>56</v>
      </c>
      <c r="B155" s="2" t="s">
        <v>30</v>
      </c>
      <c r="C155" s="2" t="str">
        <f>_xlfn.CONCAT(kursy3[[#This Row],[Poczatek]]," -&gt; ",kursy3[[#This Row],[Koniec]])</f>
        <v>Przemysl -&gt; Gdansk</v>
      </c>
      <c r="D155">
        <v>2448</v>
      </c>
      <c r="E155">
        <v>744</v>
      </c>
      <c r="F155" s="3">
        <v>2887</v>
      </c>
      <c r="G155" s="3">
        <f>kursy3[[#This Row],[Cena]]/kursy3[[#This Row],[Odleglosc]]</f>
        <v>3.8803763440860215</v>
      </c>
    </row>
    <row r="156" spans="1:7" x14ac:dyDescent="0.25">
      <c r="A156" s="2" t="s">
        <v>10</v>
      </c>
      <c r="B156" s="2" t="s">
        <v>71</v>
      </c>
      <c r="C156" s="2" t="str">
        <f>_xlfn.CONCAT(kursy3[[#This Row],[Poczatek]]," -&gt; ",kursy3[[#This Row],[Koniec]])</f>
        <v>Suwalki -&gt; Bialystok</v>
      </c>
      <c r="D156">
        <v>3414</v>
      </c>
      <c r="E156">
        <v>114</v>
      </c>
      <c r="F156" s="3">
        <v>301</v>
      </c>
      <c r="G156" s="3">
        <f>kursy3[[#This Row],[Cena]]/kursy3[[#This Row],[Odleglosc]]</f>
        <v>2.6403508771929824</v>
      </c>
    </row>
    <row r="157" spans="1:7" x14ac:dyDescent="0.25">
      <c r="A157" s="2" t="s">
        <v>70</v>
      </c>
      <c r="B157" s="2" t="s">
        <v>36</v>
      </c>
      <c r="C157" s="2" t="str">
        <f>_xlfn.CONCAT(kursy3[[#This Row],[Poczatek]]," -&gt; ",kursy3[[#This Row],[Koniec]])</f>
        <v>Slupsk -&gt; Elblag</v>
      </c>
      <c r="D157">
        <v>4039</v>
      </c>
      <c r="E157">
        <v>204</v>
      </c>
      <c r="F157" s="3">
        <v>614</v>
      </c>
      <c r="G157" s="3">
        <f>kursy3[[#This Row],[Cena]]/kursy3[[#This Row],[Odleglosc]]</f>
        <v>3.0098039215686274</v>
      </c>
    </row>
    <row r="158" spans="1:7" x14ac:dyDescent="0.25">
      <c r="A158" s="2" t="s">
        <v>36</v>
      </c>
      <c r="B158" s="2" t="s">
        <v>70</v>
      </c>
      <c r="C158" s="2" t="str">
        <f>_xlfn.CONCAT(kursy3[[#This Row],[Poczatek]]," -&gt; ",kursy3[[#This Row],[Koniec]])</f>
        <v>Elblag -&gt; Slupsk</v>
      </c>
      <c r="D158">
        <v>5862</v>
      </c>
      <c r="E158">
        <v>202</v>
      </c>
      <c r="F158" s="3">
        <v>518</v>
      </c>
      <c r="G158" s="3">
        <f>kursy3[[#This Row],[Cena]]/kursy3[[#This Row],[Odleglosc]]</f>
        <v>2.5643564356435644</v>
      </c>
    </row>
    <row r="159" spans="1:7" x14ac:dyDescent="0.25">
      <c r="A159" s="2" t="s">
        <v>44</v>
      </c>
      <c r="B159" s="2" t="s">
        <v>56</v>
      </c>
      <c r="C159" s="2" t="str">
        <f>_xlfn.CONCAT(kursy3[[#This Row],[Poczatek]]," -&gt; ",kursy3[[#This Row],[Koniec]])</f>
        <v>Zamosc -&gt; Przemysl</v>
      </c>
      <c r="D159">
        <v>3077</v>
      </c>
      <c r="E159">
        <v>148</v>
      </c>
      <c r="F159" s="3">
        <v>454</v>
      </c>
      <c r="G159" s="3">
        <f>kursy3[[#This Row],[Cena]]/kursy3[[#This Row],[Odleglosc]]</f>
        <v>3.0675675675675675</v>
      </c>
    </row>
    <row r="160" spans="1:7" x14ac:dyDescent="0.25">
      <c r="A160" s="2" t="s">
        <v>55</v>
      </c>
      <c r="B160" s="2" t="s">
        <v>26</v>
      </c>
      <c r="C160" s="2" t="str">
        <f>_xlfn.CONCAT(kursy3[[#This Row],[Poczatek]]," -&gt; ",kursy3[[#This Row],[Koniec]])</f>
        <v>Biala Podlaska -&gt; Gorzow Wielkopolski</v>
      </c>
      <c r="D160">
        <v>5569</v>
      </c>
      <c r="E160">
        <v>604</v>
      </c>
      <c r="F160" s="3">
        <v>1446</v>
      </c>
      <c r="G160" s="3">
        <f>kursy3[[#This Row],[Cena]]/kursy3[[#This Row],[Odleglosc]]</f>
        <v>2.3940397350993377</v>
      </c>
    </row>
    <row r="161" spans="1:7" x14ac:dyDescent="0.25">
      <c r="A161" s="2" t="s">
        <v>26</v>
      </c>
      <c r="B161" s="2" t="s">
        <v>48</v>
      </c>
      <c r="C161" s="2" t="str">
        <f>_xlfn.CONCAT(kursy3[[#This Row],[Poczatek]]," -&gt; ",kursy3[[#This Row],[Koniec]])</f>
        <v>Gorzow Wielkopolski -&gt; Zielona Gora</v>
      </c>
      <c r="D161">
        <v>4513</v>
      </c>
      <c r="E161">
        <v>114</v>
      </c>
      <c r="F161" s="3">
        <v>125</v>
      </c>
      <c r="G161" s="3">
        <f>kursy3[[#This Row],[Cena]]/kursy3[[#This Row],[Odleglosc]]</f>
        <v>1.0964912280701755</v>
      </c>
    </row>
    <row r="162" spans="1:7" x14ac:dyDescent="0.25">
      <c r="A162" s="2" t="s">
        <v>18</v>
      </c>
      <c r="B162" s="2" t="s">
        <v>16</v>
      </c>
      <c r="C162" s="2" t="str">
        <f>_xlfn.CONCAT(kursy3[[#This Row],[Poczatek]]," -&gt; ",kursy3[[#This Row],[Koniec]])</f>
        <v>Katowice -&gt; Skierniewice</v>
      </c>
      <c r="D162">
        <v>2771</v>
      </c>
      <c r="E162">
        <v>239</v>
      </c>
      <c r="F162" s="3">
        <v>396</v>
      </c>
      <c r="G162" s="3">
        <f>kursy3[[#This Row],[Cena]]/kursy3[[#This Row],[Odleglosc]]</f>
        <v>1.6569037656903767</v>
      </c>
    </row>
    <row r="163" spans="1:7" x14ac:dyDescent="0.25">
      <c r="A163" s="2" t="s">
        <v>50</v>
      </c>
      <c r="B163" s="2" t="s">
        <v>42</v>
      </c>
      <c r="C163" s="2" t="str">
        <f>_xlfn.CONCAT(kursy3[[#This Row],[Poczatek]]," -&gt; ",kursy3[[#This Row],[Koniec]])</f>
        <v>Barwinek -&gt; Sieradz</v>
      </c>
      <c r="D163">
        <v>1079</v>
      </c>
      <c r="E163">
        <v>438</v>
      </c>
      <c r="F163" s="3">
        <v>899</v>
      </c>
      <c r="G163" s="3">
        <f>kursy3[[#This Row],[Cena]]/kursy3[[#This Row],[Odleglosc]]</f>
        <v>2.0525114155251143</v>
      </c>
    </row>
    <row r="164" spans="1:7" x14ac:dyDescent="0.25">
      <c r="A164" s="2" t="s">
        <v>42</v>
      </c>
      <c r="B164" s="2" t="s">
        <v>32</v>
      </c>
      <c r="C164" s="2" t="str">
        <f>_xlfn.CONCAT(kursy3[[#This Row],[Poczatek]]," -&gt; ",kursy3[[#This Row],[Koniec]])</f>
        <v>Sieradz -&gt; Czestochowa</v>
      </c>
      <c r="D164">
        <v>3126</v>
      </c>
      <c r="E164">
        <v>124</v>
      </c>
      <c r="F164" s="3">
        <v>317</v>
      </c>
      <c r="G164" s="3">
        <f>kursy3[[#This Row],[Cena]]/kursy3[[#This Row],[Odleglosc]]</f>
        <v>2.556451612903226</v>
      </c>
    </row>
    <row r="165" spans="1:7" x14ac:dyDescent="0.25">
      <c r="A165" s="2" t="s">
        <v>32</v>
      </c>
      <c r="B165" s="2" t="s">
        <v>60</v>
      </c>
      <c r="C165" s="2" t="str">
        <f>_xlfn.CONCAT(kursy3[[#This Row],[Poczatek]]," -&gt; ",kursy3[[#This Row],[Koniec]])</f>
        <v>Czestochowa -&gt; Lodz</v>
      </c>
      <c r="D165">
        <v>3650</v>
      </c>
      <c r="E165">
        <v>137</v>
      </c>
      <c r="F165" s="3">
        <v>308</v>
      </c>
      <c r="G165" s="3">
        <f>kursy3[[#This Row],[Cena]]/kursy3[[#This Row],[Odleglosc]]</f>
        <v>2.2481751824817517</v>
      </c>
    </row>
    <row r="166" spans="1:7" x14ac:dyDescent="0.25">
      <c r="A166" s="2" t="s">
        <v>55</v>
      </c>
      <c r="B166" s="2" t="s">
        <v>68</v>
      </c>
      <c r="C166" s="2" t="str">
        <f>_xlfn.CONCAT(kursy3[[#This Row],[Poczatek]]," -&gt; ",kursy3[[#This Row],[Koniec]])</f>
        <v>Biala Podlaska -&gt; Chelm</v>
      </c>
      <c r="D166">
        <v>5721</v>
      </c>
      <c r="E166">
        <v>122</v>
      </c>
      <c r="F166" s="3">
        <v>280</v>
      </c>
      <c r="G166" s="3">
        <f>kursy3[[#This Row],[Cena]]/kursy3[[#This Row],[Odleglosc]]</f>
        <v>2.2950819672131146</v>
      </c>
    </row>
    <row r="167" spans="1:7" x14ac:dyDescent="0.25">
      <c r="A167" s="2" t="s">
        <v>68</v>
      </c>
      <c r="B167" s="2" t="s">
        <v>19</v>
      </c>
      <c r="C167" s="2" t="str">
        <f>_xlfn.CONCAT(kursy3[[#This Row],[Poczatek]]," -&gt; ",kursy3[[#This Row],[Koniec]])</f>
        <v>Chelm -&gt; Radom</v>
      </c>
      <c r="D167">
        <v>5759</v>
      </c>
      <c r="E167">
        <v>175</v>
      </c>
      <c r="F167" s="3">
        <v>297</v>
      </c>
      <c r="G167" s="3">
        <f>kursy3[[#This Row],[Cena]]/kursy3[[#This Row],[Odleglosc]]</f>
        <v>1.6971428571428571</v>
      </c>
    </row>
    <row r="168" spans="1:7" x14ac:dyDescent="0.25">
      <c r="A168" s="2" t="s">
        <v>19</v>
      </c>
      <c r="B168" s="2" t="s">
        <v>59</v>
      </c>
      <c r="C168" s="2" t="str">
        <f>_xlfn.CONCAT(kursy3[[#This Row],[Poczatek]]," -&gt; ",kursy3[[#This Row],[Koniec]])</f>
        <v>Radom -&gt; Warszawa</v>
      </c>
      <c r="D168">
        <v>2871</v>
      </c>
      <c r="E168">
        <v>113</v>
      </c>
      <c r="F168" s="3">
        <v>110</v>
      </c>
      <c r="G168" s="3">
        <f>kursy3[[#This Row],[Cena]]/kursy3[[#This Row],[Odleglosc]]</f>
        <v>0.97345132743362828</v>
      </c>
    </row>
    <row r="169" spans="1:7" x14ac:dyDescent="0.25">
      <c r="A169" s="2" t="s">
        <v>8</v>
      </c>
      <c r="B169" s="2" t="s">
        <v>9</v>
      </c>
      <c r="C169" s="2" t="str">
        <f>_xlfn.CONCAT(kursy3[[#This Row],[Poczatek]]," -&gt; ",kursy3[[#This Row],[Koniec]])</f>
        <v>Plock -&gt; Ostroleka</v>
      </c>
      <c r="D169">
        <v>3571</v>
      </c>
      <c r="E169">
        <v>162</v>
      </c>
      <c r="F169" s="3">
        <v>292</v>
      </c>
      <c r="G169" s="3">
        <f>kursy3[[#This Row],[Cena]]/kursy3[[#This Row],[Odleglosc]]</f>
        <v>1.8024691358024691</v>
      </c>
    </row>
    <row r="170" spans="1:7" x14ac:dyDescent="0.25">
      <c r="A170" s="2" t="s">
        <v>9</v>
      </c>
      <c r="B170" s="2" t="s">
        <v>59</v>
      </c>
      <c r="C170" s="2" t="str">
        <f>_xlfn.CONCAT(kursy3[[#This Row],[Poczatek]]," -&gt; ",kursy3[[#This Row],[Koniec]])</f>
        <v>Ostroleka -&gt; Warszawa</v>
      </c>
      <c r="D170">
        <v>3061</v>
      </c>
      <c r="E170">
        <v>107</v>
      </c>
      <c r="F170" s="3">
        <v>258</v>
      </c>
      <c r="G170" s="3">
        <f>kursy3[[#This Row],[Cena]]/kursy3[[#This Row],[Odleglosc]]</f>
        <v>2.4112149532710281</v>
      </c>
    </row>
    <row r="171" spans="1:7" x14ac:dyDescent="0.25">
      <c r="A171" s="2" t="s">
        <v>59</v>
      </c>
      <c r="B171" s="2" t="s">
        <v>65</v>
      </c>
      <c r="C171" s="2" t="str">
        <f>_xlfn.CONCAT(kursy3[[#This Row],[Poczatek]]," -&gt; ",kursy3[[#This Row],[Koniec]])</f>
        <v>Warszawa -&gt; Siedlce</v>
      </c>
      <c r="D171">
        <v>5336</v>
      </c>
      <c r="E171">
        <v>107</v>
      </c>
      <c r="F171" s="3">
        <v>171</v>
      </c>
      <c r="G171" s="3">
        <f>kursy3[[#This Row],[Cena]]/kursy3[[#This Row],[Odleglosc]]</f>
        <v>1.5981308411214954</v>
      </c>
    </row>
    <row r="172" spans="1:7" x14ac:dyDescent="0.25">
      <c r="A172" s="2" t="s">
        <v>29</v>
      </c>
      <c r="B172" s="2" t="s">
        <v>27</v>
      </c>
      <c r="C172" s="2" t="str">
        <f>_xlfn.CONCAT(kursy3[[#This Row],[Poczatek]]," -&gt; ",kursy3[[#This Row],[Koniec]])</f>
        <v>Piotrkow Trybunalski -&gt; Jakuszyce</v>
      </c>
      <c r="D172">
        <v>5658</v>
      </c>
      <c r="E172">
        <v>249</v>
      </c>
      <c r="F172" s="3">
        <v>967</v>
      </c>
      <c r="G172" s="3">
        <f>kursy3[[#This Row],[Cena]]/kursy3[[#This Row],[Odleglosc]]</f>
        <v>3.8835341365461846</v>
      </c>
    </row>
    <row r="173" spans="1:7" x14ac:dyDescent="0.25">
      <c r="A173" s="2" t="s">
        <v>27</v>
      </c>
      <c r="B173" s="2" t="s">
        <v>25</v>
      </c>
      <c r="C173" s="2" t="str">
        <f>_xlfn.CONCAT(kursy3[[#This Row],[Poczatek]]," -&gt; ",kursy3[[#This Row],[Koniec]])</f>
        <v>Jakuszyce -&gt; Kostrzyn</v>
      </c>
      <c r="D173">
        <v>2697</v>
      </c>
      <c r="E173">
        <v>209</v>
      </c>
      <c r="F173" s="3">
        <v>699</v>
      </c>
      <c r="G173" s="3">
        <f>kursy3[[#This Row],[Cena]]/kursy3[[#This Row],[Odleglosc]]</f>
        <v>3.3444976076555024</v>
      </c>
    </row>
    <row r="174" spans="1:7" x14ac:dyDescent="0.25">
      <c r="A174" s="2" t="s">
        <v>25</v>
      </c>
      <c r="B174" s="2" t="s">
        <v>48</v>
      </c>
      <c r="C174" s="2" t="str">
        <f>_xlfn.CONCAT(kursy3[[#This Row],[Poczatek]]," -&gt; ",kursy3[[#This Row],[Koniec]])</f>
        <v>Kostrzyn -&gt; Zielona Gora</v>
      </c>
      <c r="D174">
        <v>5368</v>
      </c>
      <c r="E174">
        <v>122</v>
      </c>
      <c r="F174" s="3">
        <v>491</v>
      </c>
      <c r="G174" s="3">
        <f>kursy3[[#This Row],[Cena]]/kursy3[[#This Row],[Odleglosc]]</f>
        <v>4.0245901639344259</v>
      </c>
    </row>
    <row r="175" spans="1:7" x14ac:dyDescent="0.25">
      <c r="A175" s="2" t="s">
        <v>48</v>
      </c>
      <c r="B175" s="2" t="s">
        <v>14</v>
      </c>
      <c r="C175" s="2" t="str">
        <f>_xlfn.CONCAT(kursy3[[#This Row],[Poczatek]]," -&gt; ",kursy3[[#This Row],[Koniec]])</f>
        <v>Zielona Gora -&gt; Poznan</v>
      </c>
      <c r="D175">
        <v>2706</v>
      </c>
      <c r="E175">
        <v>137</v>
      </c>
      <c r="F175" s="3">
        <v>292</v>
      </c>
      <c r="G175" s="3">
        <f>kursy3[[#This Row],[Cena]]/kursy3[[#This Row],[Odleglosc]]</f>
        <v>2.1313868613138687</v>
      </c>
    </row>
    <row r="176" spans="1:7" x14ac:dyDescent="0.25">
      <c r="A176" s="2" t="s">
        <v>67</v>
      </c>
      <c r="B176" s="2" t="s">
        <v>48</v>
      </c>
      <c r="C176" s="2" t="str">
        <f>_xlfn.CONCAT(kursy3[[#This Row],[Poczatek]]," -&gt; ",kursy3[[#This Row],[Koniec]])</f>
        <v>Lublin -&gt; Zielona Gora</v>
      </c>
      <c r="D176">
        <v>3456</v>
      </c>
      <c r="E176">
        <v>542</v>
      </c>
      <c r="F176" s="3">
        <v>1891</v>
      </c>
      <c r="G176" s="3">
        <f>kursy3[[#This Row],[Cena]]/kursy3[[#This Row],[Odleglosc]]</f>
        <v>3.4889298892988929</v>
      </c>
    </row>
    <row r="177" spans="1:7" x14ac:dyDescent="0.25">
      <c r="A177" s="2" t="s">
        <v>48</v>
      </c>
      <c r="B177" s="2" t="s">
        <v>14</v>
      </c>
      <c r="C177" s="2" t="str">
        <f>_xlfn.CONCAT(kursy3[[#This Row],[Poczatek]]," -&gt; ",kursy3[[#This Row],[Koniec]])</f>
        <v>Zielona Gora -&gt; Poznan</v>
      </c>
      <c r="D177">
        <v>1914</v>
      </c>
      <c r="E177">
        <v>138</v>
      </c>
      <c r="F177" s="3">
        <v>405</v>
      </c>
      <c r="G177" s="3">
        <f>kursy3[[#This Row],[Cena]]/kursy3[[#This Row],[Odleglosc]]</f>
        <v>2.9347826086956523</v>
      </c>
    </row>
    <row r="178" spans="1:7" x14ac:dyDescent="0.25">
      <c r="A178" s="2" t="s">
        <v>14</v>
      </c>
      <c r="B178" s="2" t="s">
        <v>21</v>
      </c>
      <c r="C178" s="2" t="str">
        <f>_xlfn.CONCAT(kursy3[[#This Row],[Poczatek]]," -&gt; ",kursy3[[#This Row],[Koniec]])</f>
        <v>Poznan -&gt; Pila</v>
      </c>
      <c r="D178">
        <v>1134</v>
      </c>
      <c r="E178">
        <v>95</v>
      </c>
      <c r="F178" s="3">
        <v>115</v>
      </c>
      <c r="G178" s="3">
        <f>kursy3[[#This Row],[Cena]]/kursy3[[#This Row],[Odleglosc]]</f>
        <v>1.2105263157894737</v>
      </c>
    </row>
    <row r="179" spans="1:7" x14ac:dyDescent="0.25">
      <c r="A179" s="2" t="s">
        <v>21</v>
      </c>
      <c r="B179" s="2" t="s">
        <v>25</v>
      </c>
      <c r="C179" s="2" t="str">
        <f>_xlfn.CONCAT(kursy3[[#This Row],[Poczatek]]," -&gt; ",kursy3[[#This Row],[Koniec]])</f>
        <v>Pila -&gt; Kostrzyn</v>
      </c>
      <c r="D179">
        <v>2935</v>
      </c>
      <c r="E179">
        <v>160</v>
      </c>
      <c r="F179" s="3">
        <v>275</v>
      </c>
      <c r="G179" s="3">
        <f>kursy3[[#This Row],[Cena]]/kursy3[[#This Row],[Odleglosc]]</f>
        <v>1.71875</v>
      </c>
    </row>
    <row r="180" spans="1:7" x14ac:dyDescent="0.25">
      <c r="A180" s="2" t="s">
        <v>25</v>
      </c>
      <c r="B180" s="2" t="s">
        <v>15</v>
      </c>
      <c r="C180" s="2" t="str">
        <f>_xlfn.CONCAT(kursy3[[#This Row],[Poczatek]]," -&gt; ",kursy3[[#This Row],[Koniec]])</f>
        <v>Kostrzyn -&gt; Gubin</v>
      </c>
      <c r="D180">
        <v>4379</v>
      </c>
      <c r="E180">
        <v>93</v>
      </c>
      <c r="F180" s="3">
        <v>147</v>
      </c>
      <c r="G180" s="3">
        <f>kursy3[[#This Row],[Cena]]/kursy3[[#This Row],[Odleglosc]]</f>
        <v>1.5806451612903225</v>
      </c>
    </row>
    <row r="181" spans="1:7" x14ac:dyDescent="0.25">
      <c r="A181" s="2" t="s">
        <v>37</v>
      </c>
      <c r="B181" s="2" t="s">
        <v>35</v>
      </c>
      <c r="C181" s="2" t="str">
        <f>_xlfn.CONCAT(kursy3[[#This Row],[Poczatek]]," -&gt; ",kursy3[[#This Row],[Koniec]])</f>
        <v>Opole -&gt; Kudowa-Slone</v>
      </c>
      <c r="D181">
        <v>1328</v>
      </c>
      <c r="E181">
        <v>148</v>
      </c>
      <c r="F181" s="3">
        <v>516</v>
      </c>
      <c r="G181" s="3">
        <f>kursy3[[#This Row],[Cena]]/kursy3[[#This Row],[Odleglosc]]</f>
        <v>3.4864864864864864</v>
      </c>
    </row>
    <row r="182" spans="1:7" x14ac:dyDescent="0.25">
      <c r="A182" s="2" t="s">
        <v>70</v>
      </c>
      <c r="B182" s="2" t="s">
        <v>30</v>
      </c>
      <c r="C182" s="2" t="str">
        <f>_xlfn.CONCAT(kursy3[[#This Row],[Poczatek]]," -&gt; ",kursy3[[#This Row],[Koniec]])</f>
        <v>Slupsk -&gt; Gdansk</v>
      </c>
      <c r="D182">
        <v>4133</v>
      </c>
      <c r="E182">
        <v>130</v>
      </c>
      <c r="F182" s="3">
        <v>398</v>
      </c>
      <c r="G182" s="3">
        <f>kursy3[[#This Row],[Cena]]/kursy3[[#This Row],[Odleglosc]]</f>
        <v>3.0615384615384613</v>
      </c>
    </row>
    <row r="183" spans="1:7" x14ac:dyDescent="0.25">
      <c r="A183" s="2" t="s">
        <v>47</v>
      </c>
      <c r="B183" s="2" t="s">
        <v>20</v>
      </c>
      <c r="C183" s="2" t="str">
        <f>_xlfn.CONCAT(kursy3[[#This Row],[Poczatek]]," -&gt; ",kursy3[[#This Row],[Koniec]])</f>
        <v>Kielce -&gt; Konin</v>
      </c>
      <c r="D183">
        <v>5370</v>
      </c>
      <c r="E183">
        <v>266</v>
      </c>
      <c r="F183" s="3">
        <v>699</v>
      </c>
      <c r="G183" s="3">
        <f>kursy3[[#This Row],[Cena]]/kursy3[[#This Row],[Odleglosc]]</f>
        <v>2.6278195488721803</v>
      </c>
    </row>
    <row r="184" spans="1:7" x14ac:dyDescent="0.25">
      <c r="A184" s="2" t="s">
        <v>20</v>
      </c>
      <c r="B184" s="2" t="s">
        <v>8</v>
      </c>
      <c r="C184" s="2" t="str">
        <f>_xlfn.CONCAT(kursy3[[#This Row],[Poczatek]]," -&gt; ",kursy3[[#This Row],[Koniec]])</f>
        <v>Konin -&gt; Plock</v>
      </c>
      <c r="D184">
        <v>4663</v>
      </c>
      <c r="E184">
        <v>122</v>
      </c>
      <c r="F184" s="3">
        <v>256</v>
      </c>
      <c r="G184" s="3">
        <f>kursy3[[#This Row],[Cena]]/kursy3[[#This Row],[Odleglosc]]</f>
        <v>2.098360655737705</v>
      </c>
    </row>
    <row r="185" spans="1:7" x14ac:dyDescent="0.25">
      <c r="A185" s="2" t="s">
        <v>8</v>
      </c>
      <c r="B185" s="2" t="s">
        <v>40</v>
      </c>
      <c r="C185" s="2" t="str">
        <f>_xlfn.CONCAT(kursy3[[#This Row],[Poczatek]]," -&gt; ",kursy3[[#This Row],[Koniec]])</f>
        <v>Plock -&gt; Bydgoszcz</v>
      </c>
      <c r="D185">
        <v>5151</v>
      </c>
      <c r="E185">
        <v>151</v>
      </c>
      <c r="F185" s="3">
        <v>195</v>
      </c>
      <c r="G185" s="3">
        <f>kursy3[[#This Row],[Cena]]/kursy3[[#This Row],[Odleglosc]]</f>
        <v>1.2913907284768211</v>
      </c>
    </row>
    <row r="186" spans="1:7" x14ac:dyDescent="0.25">
      <c r="A186" s="2" t="s">
        <v>40</v>
      </c>
      <c r="B186" s="2" t="s">
        <v>20</v>
      </c>
      <c r="C186" s="2" t="str">
        <f>_xlfn.CONCAT(kursy3[[#This Row],[Poczatek]]," -&gt; ",kursy3[[#This Row],[Koniec]])</f>
        <v>Bydgoszcz -&gt; Konin</v>
      </c>
      <c r="D186">
        <v>3035</v>
      </c>
      <c r="E186">
        <v>118</v>
      </c>
      <c r="F186" s="3">
        <v>207</v>
      </c>
      <c r="G186" s="3">
        <f>kursy3[[#This Row],[Cena]]/kursy3[[#This Row],[Odleglosc]]</f>
        <v>1.7542372881355932</v>
      </c>
    </row>
    <row r="187" spans="1:7" x14ac:dyDescent="0.25">
      <c r="A187" s="2" t="s">
        <v>72</v>
      </c>
      <c r="B187" s="2" t="s">
        <v>11</v>
      </c>
      <c r="C187" s="2" t="str">
        <f>_xlfn.CONCAT(kursy3[[#This Row],[Poczatek]]," -&gt; ",kursy3[[#This Row],[Koniec]])</f>
        <v>Bezledy -&gt; Lomza</v>
      </c>
      <c r="D187">
        <v>1090</v>
      </c>
      <c r="E187">
        <v>200</v>
      </c>
      <c r="F187" s="3">
        <v>585</v>
      </c>
      <c r="G187" s="3">
        <f>kursy3[[#This Row],[Cena]]/kursy3[[#This Row],[Odleglosc]]</f>
        <v>2.9249999999999998</v>
      </c>
    </row>
    <row r="188" spans="1:7" x14ac:dyDescent="0.25">
      <c r="A188" s="2" t="s">
        <v>11</v>
      </c>
      <c r="B188" s="2" t="s">
        <v>13</v>
      </c>
      <c r="C188" s="2" t="str">
        <f>_xlfn.CONCAT(kursy3[[#This Row],[Poczatek]]," -&gt; ",kursy3[[#This Row],[Koniec]])</f>
        <v>Lomza -&gt; Kuznica Bialostocka</v>
      </c>
      <c r="D188">
        <v>5746</v>
      </c>
      <c r="E188">
        <v>145</v>
      </c>
      <c r="F188" s="3">
        <v>214</v>
      </c>
      <c r="G188" s="3">
        <f>kursy3[[#This Row],[Cena]]/kursy3[[#This Row],[Odleglosc]]</f>
        <v>1.4758620689655173</v>
      </c>
    </row>
    <row r="189" spans="1:7" x14ac:dyDescent="0.25">
      <c r="A189" s="2" t="s">
        <v>46</v>
      </c>
      <c r="B189" s="2" t="s">
        <v>56</v>
      </c>
      <c r="C189" s="2" t="str">
        <f>_xlfn.CONCAT(kursy3[[#This Row],[Poczatek]]," -&gt; ",kursy3[[#This Row],[Koniec]])</f>
        <v>Tarnobrzeg -&gt; Przemysl</v>
      </c>
      <c r="D189">
        <v>3200</v>
      </c>
      <c r="E189">
        <v>138</v>
      </c>
      <c r="F189" s="3">
        <v>417</v>
      </c>
      <c r="G189" s="3">
        <f>kursy3[[#This Row],[Cena]]/kursy3[[#This Row],[Odleglosc]]</f>
        <v>3.0217391304347827</v>
      </c>
    </row>
    <row r="190" spans="1:7" x14ac:dyDescent="0.25">
      <c r="A190" s="2" t="s">
        <v>56</v>
      </c>
      <c r="B190" s="2" t="s">
        <v>50</v>
      </c>
      <c r="C190" s="2" t="str">
        <f>_xlfn.CONCAT(kursy3[[#This Row],[Poczatek]]," -&gt; ",kursy3[[#This Row],[Koniec]])</f>
        <v>Przemysl -&gt; Barwinek</v>
      </c>
      <c r="D190">
        <v>3586</v>
      </c>
      <c r="E190">
        <v>155</v>
      </c>
      <c r="F190" s="3">
        <v>290</v>
      </c>
      <c r="G190" s="3">
        <f>kursy3[[#This Row],[Cena]]/kursy3[[#This Row],[Odleglosc]]</f>
        <v>1.8709677419354838</v>
      </c>
    </row>
    <row r="191" spans="1:7" x14ac:dyDescent="0.25">
      <c r="A191" s="2" t="s">
        <v>50</v>
      </c>
      <c r="B191" s="2" t="s">
        <v>17</v>
      </c>
      <c r="C191" s="2" t="str">
        <f>_xlfn.CONCAT(kursy3[[#This Row],[Poczatek]]," -&gt; ",kursy3[[#This Row],[Koniec]])</f>
        <v>Barwinek -&gt; Tarnow</v>
      </c>
      <c r="D191">
        <v>3460</v>
      </c>
      <c r="E191">
        <v>145</v>
      </c>
      <c r="F191" s="3">
        <v>162</v>
      </c>
      <c r="G191" s="3">
        <f>kursy3[[#This Row],[Cena]]/kursy3[[#This Row],[Odleglosc]]</f>
        <v>1.1172413793103448</v>
      </c>
    </row>
    <row r="192" spans="1:7" x14ac:dyDescent="0.25">
      <c r="A192" s="2" t="s">
        <v>68</v>
      </c>
      <c r="B192" s="2" t="s">
        <v>19</v>
      </c>
      <c r="C192" s="2" t="str">
        <f>_xlfn.CONCAT(kursy3[[#This Row],[Poczatek]]," -&gt; ",kursy3[[#This Row],[Koniec]])</f>
        <v>Chelm -&gt; Radom</v>
      </c>
      <c r="D192">
        <v>1347</v>
      </c>
      <c r="E192">
        <v>173</v>
      </c>
      <c r="F192" s="3">
        <v>576</v>
      </c>
      <c r="G192" s="3">
        <f>kursy3[[#This Row],[Cena]]/kursy3[[#This Row],[Odleglosc]]</f>
        <v>3.3294797687861273</v>
      </c>
    </row>
    <row r="193" spans="1:7" x14ac:dyDescent="0.25">
      <c r="A193" s="2" t="s">
        <v>19</v>
      </c>
      <c r="B193" s="2" t="s">
        <v>60</v>
      </c>
      <c r="C193" s="2" t="str">
        <f>_xlfn.CONCAT(kursy3[[#This Row],[Poczatek]]," -&gt; ",kursy3[[#This Row],[Koniec]])</f>
        <v>Radom -&gt; Lodz</v>
      </c>
      <c r="D193">
        <v>2421</v>
      </c>
      <c r="E193">
        <v>148</v>
      </c>
      <c r="F193" s="3">
        <v>552</v>
      </c>
      <c r="G193" s="3">
        <f>kursy3[[#This Row],[Cena]]/kursy3[[#This Row],[Odleglosc]]</f>
        <v>3.7297297297297298</v>
      </c>
    </row>
    <row r="194" spans="1:7" x14ac:dyDescent="0.25">
      <c r="A194" s="2" t="s">
        <v>60</v>
      </c>
      <c r="B194" s="2" t="s">
        <v>47</v>
      </c>
      <c r="C194" s="2" t="str">
        <f>_xlfn.CONCAT(kursy3[[#This Row],[Poczatek]]," -&gt; ",kursy3[[#This Row],[Koniec]])</f>
        <v>Lodz -&gt; Kielce</v>
      </c>
      <c r="D194">
        <v>2939</v>
      </c>
      <c r="E194">
        <v>125</v>
      </c>
      <c r="F194" s="3">
        <v>307</v>
      </c>
      <c r="G194" s="3">
        <f>kursy3[[#This Row],[Cena]]/kursy3[[#This Row],[Odleglosc]]</f>
        <v>2.456</v>
      </c>
    </row>
    <row r="195" spans="1:7" x14ac:dyDescent="0.25">
      <c r="A195" s="2" t="s">
        <v>47</v>
      </c>
      <c r="B195" s="2" t="s">
        <v>17</v>
      </c>
      <c r="C195" s="2" t="str">
        <f>_xlfn.CONCAT(kursy3[[#This Row],[Poczatek]]," -&gt; ",kursy3[[#This Row],[Koniec]])</f>
        <v>Kielce -&gt; Tarnow</v>
      </c>
      <c r="D195">
        <v>4921</v>
      </c>
      <c r="E195">
        <v>124</v>
      </c>
      <c r="F195" s="3">
        <v>472</v>
      </c>
      <c r="G195" s="3">
        <f>kursy3[[#This Row],[Cena]]/kursy3[[#This Row],[Odleglosc]]</f>
        <v>3.806451612903226</v>
      </c>
    </row>
    <row r="196" spans="1:7" x14ac:dyDescent="0.25">
      <c r="A196" s="2" t="s">
        <v>17</v>
      </c>
      <c r="B196" s="2" t="s">
        <v>38</v>
      </c>
      <c r="C196" s="2" t="str">
        <f>_xlfn.CONCAT(kursy3[[#This Row],[Poczatek]]," -&gt; ",kursy3[[#This Row],[Koniec]])</f>
        <v>Tarnow -&gt; Bielsko-Biala</v>
      </c>
      <c r="D196">
        <v>3580</v>
      </c>
      <c r="E196">
        <v>173</v>
      </c>
      <c r="F196" s="3">
        <v>382</v>
      </c>
      <c r="G196" s="3">
        <f>kursy3[[#This Row],[Cena]]/kursy3[[#This Row],[Odleglosc]]</f>
        <v>2.2080924855491331</v>
      </c>
    </row>
    <row r="197" spans="1:7" x14ac:dyDescent="0.25">
      <c r="A197" s="2" t="s">
        <v>38</v>
      </c>
      <c r="B197" s="2" t="s">
        <v>73</v>
      </c>
      <c r="C197" s="2" t="str">
        <f>_xlfn.CONCAT(kursy3[[#This Row],[Poczatek]]," -&gt; ",kursy3[[#This Row],[Koniec]])</f>
        <v>Bielsko-Biala -&gt; Nowy Sacz</v>
      </c>
      <c r="D197">
        <v>5215</v>
      </c>
      <c r="E197">
        <v>158</v>
      </c>
      <c r="F197" s="3">
        <v>375</v>
      </c>
      <c r="G197" s="3">
        <f>kursy3[[#This Row],[Cena]]/kursy3[[#This Row],[Odleglosc]]</f>
        <v>2.3734177215189876</v>
      </c>
    </row>
    <row r="198" spans="1:7" x14ac:dyDescent="0.25">
      <c r="A198" s="2" t="s">
        <v>73</v>
      </c>
      <c r="B198" s="2" t="s">
        <v>51</v>
      </c>
      <c r="C198" s="2" t="str">
        <f>_xlfn.CONCAT(kursy3[[#This Row],[Poczatek]]," -&gt; ",kursy3[[#This Row],[Koniec]])</f>
        <v>Nowy Sacz -&gt; Rzeszow</v>
      </c>
      <c r="D198">
        <v>1369</v>
      </c>
      <c r="E198">
        <v>170</v>
      </c>
      <c r="F198" s="3">
        <v>276</v>
      </c>
      <c r="G198" s="3">
        <f>kursy3[[#This Row],[Cena]]/kursy3[[#This Row],[Odleglosc]]</f>
        <v>1.6235294117647059</v>
      </c>
    </row>
    <row r="199" spans="1:7" x14ac:dyDescent="0.25">
      <c r="A199" s="2" t="s">
        <v>51</v>
      </c>
      <c r="B199" s="2" t="s">
        <v>67</v>
      </c>
      <c r="C199" s="2" t="str">
        <f>_xlfn.CONCAT(kursy3[[#This Row],[Poczatek]]," -&gt; ",kursy3[[#This Row],[Koniec]])</f>
        <v>Rzeszow -&gt; Lublin</v>
      </c>
      <c r="D199">
        <v>1655</v>
      </c>
      <c r="E199">
        <v>180</v>
      </c>
      <c r="F199" s="3">
        <v>332</v>
      </c>
      <c r="G199" s="3">
        <f>kursy3[[#This Row],[Cena]]/kursy3[[#This Row],[Odleglosc]]</f>
        <v>1.8444444444444446</v>
      </c>
    </row>
    <row r="200" spans="1:7" x14ac:dyDescent="0.25">
      <c r="A200" s="2" t="s">
        <v>48</v>
      </c>
      <c r="B200" s="2" t="s">
        <v>61</v>
      </c>
      <c r="C200" s="2" t="str">
        <f>_xlfn.CONCAT(kursy3[[#This Row],[Poczatek]]," -&gt; ",kursy3[[#This Row],[Koniec]])</f>
        <v>Zielona Gora -&gt; Legnica</v>
      </c>
      <c r="D200">
        <v>2192</v>
      </c>
      <c r="E200">
        <v>114</v>
      </c>
      <c r="F200" s="3">
        <v>137</v>
      </c>
      <c r="G200" s="3">
        <f>kursy3[[#This Row],[Cena]]/kursy3[[#This Row],[Odleglosc]]</f>
        <v>1.2017543859649122</v>
      </c>
    </row>
    <row r="201" spans="1:7" x14ac:dyDescent="0.25">
      <c r="A201" s="2" t="s">
        <v>12</v>
      </c>
      <c r="B201" s="2" t="s">
        <v>59</v>
      </c>
      <c r="C201" s="2" t="str">
        <f>_xlfn.CONCAT(kursy3[[#This Row],[Poczatek]]," -&gt; ",kursy3[[#This Row],[Koniec]])</f>
        <v>Ciechanow -&gt; Warszawa</v>
      </c>
      <c r="D201">
        <v>5919</v>
      </c>
      <c r="E201">
        <v>103</v>
      </c>
      <c r="F201" s="3">
        <v>279</v>
      </c>
      <c r="G201" s="3">
        <f>kursy3[[#This Row],[Cena]]/kursy3[[#This Row],[Odleglosc]]</f>
        <v>2.70873786407767</v>
      </c>
    </row>
    <row r="202" spans="1:7" x14ac:dyDescent="0.25">
      <c r="A202" s="2" t="s">
        <v>67</v>
      </c>
      <c r="B202" s="2" t="s">
        <v>17</v>
      </c>
      <c r="C202" s="2" t="str">
        <f>_xlfn.CONCAT(kursy3[[#This Row],[Poczatek]]," -&gt; ",kursy3[[#This Row],[Koniec]])</f>
        <v>Lublin -&gt; Tarnow</v>
      </c>
      <c r="D202">
        <v>5986</v>
      </c>
      <c r="E202">
        <v>222</v>
      </c>
      <c r="F202" s="3">
        <v>501</v>
      </c>
      <c r="G202" s="3">
        <f>kursy3[[#This Row],[Cena]]/kursy3[[#This Row],[Odleglosc]]</f>
        <v>2.2567567567567566</v>
      </c>
    </row>
    <row r="203" spans="1:7" x14ac:dyDescent="0.25">
      <c r="A203" s="2" t="s">
        <v>17</v>
      </c>
      <c r="B203" s="2" t="s">
        <v>39</v>
      </c>
      <c r="C203" s="2" t="str">
        <f>_xlfn.CONCAT(kursy3[[#This Row],[Poczatek]]," -&gt; ",kursy3[[#This Row],[Koniec]])</f>
        <v>Tarnow -&gt; Zakopane</v>
      </c>
      <c r="D203">
        <v>2750</v>
      </c>
      <c r="E203">
        <v>144</v>
      </c>
      <c r="F203" s="3">
        <v>422</v>
      </c>
      <c r="G203" s="3">
        <f>kursy3[[#This Row],[Cena]]/kursy3[[#This Row],[Odleglosc]]</f>
        <v>2.9305555555555554</v>
      </c>
    </row>
    <row r="204" spans="1:7" x14ac:dyDescent="0.25">
      <c r="A204" s="2" t="s">
        <v>39</v>
      </c>
      <c r="B204" s="2" t="s">
        <v>50</v>
      </c>
      <c r="C204" s="2" t="str">
        <f>_xlfn.CONCAT(kursy3[[#This Row],[Poczatek]]," -&gt; ",kursy3[[#This Row],[Koniec]])</f>
        <v>Zakopane -&gt; Barwinek</v>
      </c>
      <c r="D204">
        <v>1381</v>
      </c>
      <c r="E204">
        <v>192</v>
      </c>
      <c r="F204" s="3">
        <v>556</v>
      </c>
      <c r="G204" s="3">
        <f>kursy3[[#This Row],[Cena]]/kursy3[[#This Row],[Odleglosc]]</f>
        <v>2.8958333333333335</v>
      </c>
    </row>
    <row r="205" spans="1:7" x14ac:dyDescent="0.25">
      <c r="A205" s="2" t="s">
        <v>60</v>
      </c>
      <c r="B205" s="2" t="s">
        <v>59</v>
      </c>
      <c r="C205" s="2" t="str">
        <f>_xlfn.CONCAT(kursy3[[#This Row],[Poczatek]]," -&gt; ",kursy3[[#This Row],[Koniec]])</f>
        <v>Lodz -&gt; Warszawa</v>
      </c>
      <c r="D205">
        <v>2219</v>
      </c>
      <c r="E205">
        <v>136</v>
      </c>
      <c r="F205" s="3">
        <v>162</v>
      </c>
      <c r="G205" s="3">
        <f>kursy3[[#This Row],[Cena]]/kursy3[[#This Row],[Odleglosc]]</f>
        <v>1.1911764705882353</v>
      </c>
    </row>
    <row r="206" spans="1:7" x14ac:dyDescent="0.25">
      <c r="A206" s="2" t="s">
        <v>59</v>
      </c>
      <c r="B206" s="2" t="s">
        <v>65</v>
      </c>
      <c r="C206" s="2" t="str">
        <f>_xlfn.CONCAT(kursy3[[#This Row],[Poczatek]]," -&gt; ",kursy3[[#This Row],[Koniec]])</f>
        <v>Warszawa -&gt; Siedlce</v>
      </c>
      <c r="D206">
        <v>5041</v>
      </c>
      <c r="E206">
        <v>101</v>
      </c>
      <c r="F206" s="3">
        <v>319</v>
      </c>
      <c r="G206" s="3">
        <f>kursy3[[#This Row],[Cena]]/kursy3[[#This Row],[Odleglosc]]</f>
        <v>3.1584158415841586</v>
      </c>
    </row>
    <row r="207" spans="1:7" x14ac:dyDescent="0.25">
      <c r="A207" s="2" t="s">
        <v>31</v>
      </c>
      <c r="B207" s="2" t="s">
        <v>23</v>
      </c>
      <c r="C207" s="2" t="str">
        <f>_xlfn.CONCAT(kursy3[[#This Row],[Poczatek]]," -&gt; ",kursy3[[#This Row],[Koniec]])</f>
        <v>Koszalin -&gt; Szczecin</v>
      </c>
      <c r="D207">
        <v>4432</v>
      </c>
      <c r="E207">
        <v>159</v>
      </c>
      <c r="F207" s="3">
        <v>585</v>
      </c>
      <c r="G207" s="3">
        <f>kursy3[[#This Row],[Cena]]/kursy3[[#This Row],[Odleglosc]]</f>
        <v>3.6792452830188678</v>
      </c>
    </row>
    <row r="208" spans="1:7" x14ac:dyDescent="0.25">
      <c r="A208" s="2" t="s">
        <v>6</v>
      </c>
      <c r="B208" s="2" t="s">
        <v>12</v>
      </c>
      <c r="C208" s="2" t="str">
        <f>_xlfn.CONCAT(kursy3[[#This Row],[Poczatek]]," -&gt; ",kursy3[[#This Row],[Koniec]])</f>
        <v>Olsztyn -&gt; Ciechanow</v>
      </c>
      <c r="D208">
        <v>2761</v>
      </c>
      <c r="E208">
        <v>129</v>
      </c>
      <c r="F208" s="3">
        <v>288</v>
      </c>
      <c r="G208" s="3">
        <f>kursy3[[#This Row],[Cena]]/kursy3[[#This Row],[Odleglosc]]</f>
        <v>2.2325581395348837</v>
      </c>
    </row>
    <row r="209" spans="1:7" x14ac:dyDescent="0.25">
      <c r="A209" s="2" t="s">
        <v>12</v>
      </c>
      <c r="B209" s="2" t="s">
        <v>7</v>
      </c>
      <c r="C209" s="2" t="str">
        <f>_xlfn.CONCAT(kursy3[[#This Row],[Poczatek]]," -&gt; ",kursy3[[#This Row],[Koniec]])</f>
        <v>Ciechanow -&gt; Torun</v>
      </c>
      <c r="D209">
        <v>2935</v>
      </c>
      <c r="E209">
        <v>162</v>
      </c>
      <c r="F209" s="3">
        <v>572</v>
      </c>
      <c r="G209" s="3">
        <f>kursy3[[#This Row],[Cena]]/kursy3[[#This Row],[Odleglosc]]</f>
        <v>3.5308641975308643</v>
      </c>
    </row>
    <row r="210" spans="1:7" x14ac:dyDescent="0.25">
      <c r="A210" s="2" t="s">
        <v>36</v>
      </c>
      <c r="B210" s="2" t="s">
        <v>40</v>
      </c>
      <c r="C210" s="2" t="str">
        <f>_xlfn.CONCAT(kursy3[[#This Row],[Poczatek]]," -&gt; ",kursy3[[#This Row],[Koniec]])</f>
        <v>Elblag -&gt; Bydgoszcz</v>
      </c>
      <c r="D210">
        <v>3565</v>
      </c>
      <c r="E210">
        <v>176</v>
      </c>
      <c r="F210" s="3">
        <v>224</v>
      </c>
      <c r="G210" s="3">
        <f>kursy3[[#This Row],[Cena]]/kursy3[[#This Row],[Odleglosc]]</f>
        <v>1.2727272727272727</v>
      </c>
    </row>
    <row r="211" spans="1:7" x14ac:dyDescent="0.25">
      <c r="A211" s="2" t="s">
        <v>8</v>
      </c>
      <c r="B211" s="2" t="s">
        <v>38</v>
      </c>
      <c r="C211" s="2" t="str">
        <f>_xlfn.CONCAT(kursy3[[#This Row],[Poczatek]]," -&gt; ",kursy3[[#This Row],[Koniec]])</f>
        <v>Plock -&gt; Bielsko-Biala</v>
      </c>
      <c r="D211">
        <v>3096</v>
      </c>
      <c r="E211">
        <v>353</v>
      </c>
      <c r="F211" s="3">
        <v>993</v>
      </c>
      <c r="G211" s="3">
        <f>kursy3[[#This Row],[Cena]]/kursy3[[#This Row],[Odleglosc]]</f>
        <v>2.8130311614730878</v>
      </c>
    </row>
    <row r="212" spans="1:7" x14ac:dyDescent="0.25">
      <c r="A212" s="2" t="s">
        <v>50</v>
      </c>
      <c r="B212" s="2" t="s">
        <v>11</v>
      </c>
      <c r="C212" s="2" t="str">
        <f>_xlfn.CONCAT(kursy3[[#This Row],[Poczatek]]," -&gt; ",kursy3[[#This Row],[Koniec]])</f>
        <v>Barwinek -&gt; Lomza</v>
      </c>
      <c r="D212">
        <v>3325</v>
      </c>
      <c r="E212">
        <v>517</v>
      </c>
      <c r="F212" s="3">
        <v>1107</v>
      </c>
      <c r="G212" s="3">
        <f>kursy3[[#This Row],[Cena]]/kursy3[[#This Row],[Odleglosc]]</f>
        <v>2.1411992263056092</v>
      </c>
    </row>
    <row r="213" spans="1:7" x14ac:dyDescent="0.25">
      <c r="A213" s="2" t="s">
        <v>15</v>
      </c>
      <c r="B213" s="2" t="s">
        <v>59</v>
      </c>
      <c r="C213" s="2" t="str">
        <f>_xlfn.CONCAT(kursy3[[#This Row],[Poczatek]]," -&gt; ",kursy3[[#This Row],[Koniec]])</f>
        <v>Gubin -&gt; Warszawa</v>
      </c>
      <c r="D213">
        <v>2563</v>
      </c>
      <c r="E213">
        <v>480</v>
      </c>
      <c r="F213" s="3">
        <v>1849</v>
      </c>
      <c r="G213" s="3">
        <f>kursy3[[#This Row],[Cena]]/kursy3[[#This Row],[Odleglosc]]</f>
        <v>3.8520833333333333</v>
      </c>
    </row>
    <row r="214" spans="1:7" x14ac:dyDescent="0.25">
      <c r="A214" s="2" t="s">
        <v>59</v>
      </c>
      <c r="B214" s="2" t="s">
        <v>19</v>
      </c>
      <c r="C214" s="2" t="str">
        <f>_xlfn.CONCAT(kursy3[[#This Row],[Poczatek]]," -&gt; ",kursy3[[#This Row],[Koniec]])</f>
        <v>Warszawa -&gt; Radom</v>
      </c>
      <c r="D214">
        <v>2914</v>
      </c>
      <c r="E214">
        <v>104</v>
      </c>
      <c r="F214" s="3">
        <v>275</v>
      </c>
      <c r="G214" s="3">
        <f>kursy3[[#This Row],[Cena]]/kursy3[[#This Row],[Odleglosc]]</f>
        <v>2.6442307692307692</v>
      </c>
    </row>
    <row r="215" spans="1:7" x14ac:dyDescent="0.25">
      <c r="A215" s="2" t="s">
        <v>19</v>
      </c>
      <c r="B215" s="2" t="s">
        <v>29</v>
      </c>
      <c r="C215" s="2" t="str">
        <f>_xlfn.CONCAT(kursy3[[#This Row],[Poczatek]]," -&gt; ",kursy3[[#This Row],[Koniec]])</f>
        <v>Radom -&gt; Piotrkow Trybunalski</v>
      </c>
      <c r="D215">
        <v>2832</v>
      </c>
      <c r="E215">
        <v>106</v>
      </c>
      <c r="F215" s="3">
        <v>396</v>
      </c>
      <c r="G215" s="3">
        <f>kursy3[[#This Row],[Cena]]/kursy3[[#This Row],[Odleglosc]]</f>
        <v>3.7358490566037736</v>
      </c>
    </row>
    <row r="216" spans="1:7" x14ac:dyDescent="0.25">
      <c r="A216" s="2" t="s">
        <v>59</v>
      </c>
      <c r="B216" s="2" t="s">
        <v>43</v>
      </c>
      <c r="C216" s="2" t="str">
        <f>_xlfn.CONCAT(kursy3[[#This Row],[Poczatek]]," -&gt; ",kursy3[[#This Row],[Koniec]])</f>
        <v>Warszawa -&gt; Walbrzych</v>
      </c>
      <c r="D216">
        <v>5257</v>
      </c>
      <c r="E216">
        <v>407</v>
      </c>
      <c r="F216" s="3">
        <v>551</v>
      </c>
      <c r="G216" s="3">
        <f>kursy3[[#This Row],[Cena]]/kursy3[[#This Row],[Odleglosc]]</f>
        <v>1.3538083538083538</v>
      </c>
    </row>
    <row r="217" spans="1:7" x14ac:dyDescent="0.25">
      <c r="A217" s="2" t="s">
        <v>57</v>
      </c>
      <c r="B217" s="2" t="s">
        <v>43</v>
      </c>
      <c r="C217" s="2" t="str">
        <f>_xlfn.CONCAT(kursy3[[#This Row],[Poczatek]]," -&gt; ",kursy3[[#This Row],[Koniec]])</f>
        <v>Chalupki -&gt; Walbrzych</v>
      </c>
      <c r="D217">
        <v>5983</v>
      </c>
      <c r="E217">
        <v>227</v>
      </c>
      <c r="F217" s="3">
        <v>832</v>
      </c>
      <c r="G217" s="3">
        <f>kursy3[[#This Row],[Cena]]/kursy3[[#This Row],[Odleglosc]]</f>
        <v>3.6651982378854626</v>
      </c>
    </row>
    <row r="218" spans="1:7" x14ac:dyDescent="0.25">
      <c r="A218" s="2" t="s">
        <v>43</v>
      </c>
      <c r="B218" s="2" t="s">
        <v>64</v>
      </c>
      <c r="C218" s="2" t="str">
        <f>_xlfn.CONCAT(kursy3[[#This Row],[Poczatek]]," -&gt; ",kursy3[[#This Row],[Koniec]])</f>
        <v>Walbrzych -&gt; Olszyna</v>
      </c>
      <c r="D218">
        <v>4378</v>
      </c>
      <c r="E218">
        <v>187</v>
      </c>
      <c r="F218" s="3">
        <v>653</v>
      </c>
      <c r="G218" s="3">
        <f>kursy3[[#This Row],[Cena]]/kursy3[[#This Row],[Odleglosc]]</f>
        <v>3.4919786096256686</v>
      </c>
    </row>
    <row r="219" spans="1:7" x14ac:dyDescent="0.25">
      <c r="A219" s="2" t="s">
        <v>64</v>
      </c>
      <c r="B219" s="2" t="s">
        <v>25</v>
      </c>
      <c r="C219" s="2" t="str">
        <f>_xlfn.CONCAT(kursy3[[#This Row],[Poczatek]]," -&gt; ",kursy3[[#This Row],[Koniec]])</f>
        <v>Olszyna -&gt; Kostrzyn</v>
      </c>
      <c r="D219">
        <v>3108</v>
      </c>
      <c r="E219">
        <v>114</v>
      </c>
      <c r="F219" s="3">
        <v>174</v>
      </c>
      <c r="G219" s="3">
        <f>kursy3[[#This Row],[Cena]]/kursy3[[#This Row],[Odleglosc]]</f>
        <v>1.5263157894736843</v>
      </c>
    </row>
    <row r="220" spans="1:7" x14ac:dyDescent="0.25">
      <c r="A220" s="2" t="s">
        <v>25</v>
      </c>
      <c r="B220" s="2" t="s">
        <v>52</v>
      </c>
      <c r="C220" s="2" t="str">
        <f>_xlfn.CONCAT(kursy3[[#This Row],[Poczatek]]," -&gt; ",kursy3[[#This Row],[Koniec]])</f>
        <v>Kostrzyn -&gt; Zgorzelec</v>
      </c>
      <c r="D220">
        <v>2133</v>
      </c>
      <c r="E220">
        <v>166</v>
      </c>
      <c r="F220" s="3">
        <v>513</v>
      </c>
      <c r="G220" s="3">
        <f>kursy3[[#This Row],[Cena]]/kursy3[[#This Row],[Odleglosc]]</f>
        <v>3.0903614457831323</v>
      </c>
    </row>
    <row r="221" spans="1:7" x14ac:dyDescent="0.25">
      <c r="A221" s="2" t="s">
        <v>52</v>
      </c>
      <c r="B221" s="2" t="s">
        <v>48</v>
      </c>
      <c r="C221" s="2" t="str">
        <f>_xlfn.CONCAT(kursy3[[#This Row],[Poczatek]]," -&gt; ",kursy3[[#This Row],[Koniec]])</f>
        <v>Zgorzelec -&gt; Zielona Gora</v>
      </c>
      <c r="D221">
        <v>1125</v>
      </c>
      <c r="E221">
        <v>98</v>
      </c>
      <c r="F221" s="3">
        <v>194</v>
      </c>
      <c r="G221" s="3">
        <f>kursy3[[#This Row],[Cena]]/kursy3[[#This Row],[Odleglosc]]</f>
        <v>1.9795918367346939</v>
      </c>
    </row>
    <row r="222" spans="1:7" x14ac:dyDescent="0.25">
      <c r="A222" s="2" t="s">
        <v>48</v>
      </c>
      <c r="B222" s="2" t="s">
        <v>25</v>
      </c>
      <c r="C222" s="2" t="str">
        <f>_xlfn.CONCAT(kursy3[[#This Row],[Poczatek]]," -&gt; ",kursy3[[#This Row],[Koniec]])</f>
        <v>Zielona Gora -&gt; Kostrzyn</v>
      </c>
      <c r="D222">
        <v>4375</v>
      </c>
      <c r="E222">
        <v>140</v>
      </c>
      <c r="F222" s="3">
        <v>134</v>
      </c>
      <c r="G222" s="3">
        <f>kursy3[[#This Row],[Cena]]/kursy3[[#This Row],[Odleglosc]]</f>
        <v>0.95714285714285718</v>
      </c>
    </row>
    <row r="223" spans="1:7" x14ac:dyDescent="0.25">
      <c r="A223" s="2" t="s">
        <v>41</v>
      </c>
      <c r="B223" s="2" t="s">
        <v>12</v>
      </c>
      <c r="C223" s="2" t="str">
        <f>_xlfn.CONCAT(kursy3[[#This Row],[Poczatek]]," -&gt; ",kursy3[[#This Row],[Koniec]])</f>
        <v>Wloclawek -&gt; Ciechanow</v>
      </c>
      <c r="D223">
        <v>5455</v>
      </c>
      <c r="E223">
        <v>124</v>
      </c>
      <c r="F223" s="3">
        <v>231</v>
      </c>
      <c r="G223" s="3">
        <f>kursy3[[#This Row],[Cena]]/kursy3[[#This Row],[Odleglosc]]</f>
        <v>1.8629032258064515</v>
      </c>
    </row>
    <row r="224" spans="1:7" x14ac:dyDescent="0.25">
      <c r="A224" s="2" t="s">
        <v>29</v>
      </c>
      <c r="B224" s="2" t="s">
        <v>28</v>
      </c>
      <c r="C224" s="2" t="str">
        <f>_xlfn.CONCAT(kursy3[[#This Row],[Poczatek]]," -&gt; ",kursy3[[#This Row],[Koniec]])</f>
        <v>Piotrkow Trybunalski -&gt; Kalisz</v>
      </c>
      <c r="D224">
        <v>4649</v>
      </c>
      <c r="E224">
        <v>125</v>
      </c>
      <c r="F224" s="3">
        <v>356</v>
      </c>
      <c r="G224" s="3">
        <f>kursy3[[#This Row],[Cena]]/kursy3[[#This Row],[Odleglosc]]</f>
        <v>2.8479999999999999</v>
      </c>
    </row>
    <row r="225" spans="1:7" x14ac:dyDescent="0.25">
      <c r="A225" s="2" t="s">
        <v>28</v>
      </c>
      <c r="B225" s="2" t="s">
        <v>60</v>
      </c>
      <c r="C225" s="2" t="str">
        <f>_xlfn.CONCAT(kursy3[[#This Row],[Poczatek]]," -&gt; ",kursy3[[#This Row],[Koniec]])</f>
        <v>Kalisz -&gt; Lodz</v>
      </c>
      <c r="D225">
        <v>4016</v>
      </c>
      <c r="E225">
        <v>115</v>
      </c>
      <c r="F225" s="3">
        <v>145</v>
      </c>
      <c r="G225" s="3">
        <f>kursy3[[#This Row],[Cena]]/kursy3[[#This Row],[Odleglosc]]</f>
        <v>1.2608695652173914</v>
      </c>
    </row>
    <row r="226" spans="1:7" x14ac:dyDescent="0.25">
      <c r="A226" s="2" t="s">
        <v>60</v>
      </c>
      <c r="B226" s="2" t="s">
        <v>32</v>
      </c>
      <c r="C226" s="2" t="str">
        <f>_xlfn.CONCAT(kursy3[[#This Row],[Poczatek]]," -&gt; ",kursy3[[#This Row],[Koniec]])</f>
        <v>Lodz -&gt; Czestochowa</v>
      </c>
      <c r="D226">
        <v>1211</v>
      </c>
      <c r="E226">
        <v>139</v>
      </c>
      <c r="F226" s="3">
        <v>218</v>
      </c>
      <c r="G226" s="3">
        <f>kursy3[[#This Row],[Cena]]/kursy3[[#This Row],[Odleglosc]]</f>
        <v>1.5683453237410072</v>
      </c>
    </row>
    <row r="227" spans="1:7" x14ac:dyDescent="0.25">
      <c r="A227" s="2" t="s">
        <v>32</v>
      </c>
      <c r="B227" s="2" t="s">
        <v>42</v>
      </c>
      <c r="C227" s="2" t="str">
        <f>_xlfn.CONCAT(kursy3[[#This Row],[Poczatek]]," -&gt; ",kursy3[[#This Row],[Koniec]])</f>
        <v>Czestochowa -&gt; Sieradz</v>
      </c>
      <c r="D227">
        <v>4633</v>
      </c>
      <c r="E227">
        <v>120</v>
      </c>
      <c r="F227" s="3">
        <v>280</v>
      </c>
      <c r="G227" s="3">
        <f>kursy3[[#This Row],[Cena]]/kursy3[[#This Row],[Odleglosc]]</f>
        <v>2.3333333333333335</v>
      </c>
    </row>
    <row r="228" spans="1:7" x14ac:dyDescent="0.25">
      <c r="A228" s="2" t="s">
        <v>42</v>
      </c>
      <c r="B228" s="2" t="s">
        <v>37</v>
      </c>
      <c r="C228" s="2" t="str">
        <f>_xlfn.CONCAT(kursy3[[#This Row],[Poczatek]]," -&gt; ",kursy3[[#This Row],[Koniec]])</f>
        <v>Sieradz -&gt; Opole</v>
      </c>
      <c r="D228">
        <v>2488</v>
      </c>
      <c r="E228">
        <v>144</v>
      </c>
      <c r="F228" s="3">
        <v>252</v>
      </c>
      <c r="G228" s="3">
        <f>kursy3[[#This Row],[Cena]]/kursy3[[#This Row],[Odleglosc]]</f>
        <v>1.75</v>
      </c>
    </row>
    <row r="229" spans="1:7" x14ac:dyDescent="0.25">
      <c r="A229" s="2" t="s">
        <v>37</v>
      </c>
      <c r="B229" s="2" t="s">
        <v>35</v>
      </c>
      <c r="C229" s="2" t="str">
        <f>_xlfn.CONCAT(kursy3[[#This Row],[Poczatek]]," -&gt; ",kursy3[[#This Row],[Koniec]])</f>
        <v>Opole -&gt; Kudowa-Slone</v>
      </c>
      <c r="D229">
        <v>5798</v>
      </c>
      <c r="E229">
        <v>142</v>
      </c>
      <c r="F229" s="3">
        <v>501</v>
      </c>
      <c r="G229" s="3">
        <f>kursy3[[#This Row],[Cena]]/kursy3[[#This Row],[Odleglosc]]</f>
        <v>3.528169014084507</v>
      </c>
    </row>
    <row r="230" spans="1:7" x14ac:dyDescent="0.25">
      <c r="A230" s="2" t="s">
        <v>42</v>
      </c>
      <c r="B230" s="2" t="s">
        <v>62</v>
      </c>
      <c r="C230" s="2" t="str">
        <f>_xlfn.CONCAT(kursy3[[#This Row],[Poczatek]]," -&gt; ",kursy3[[#This Row],[Koniec]])</f>
        <v>Sieradz -&gt; Leszno</v>
      </c>
      <c r="D230">
        <v>2918</v>
      </c>
      <c r="E230">
        <v>181</v>
      </c>
      <c r="F230" s="3">
        <v>289</v>
      </c>
      <c r="G230" s="3">
        <f>kursy3[[#This Row],[Cena]]/kursy3[[#This Row],[Odleglosc]]</f>
        <v>1.5966850828729282</v>
      </c>
    </row>
    <row r="231" spans="1:7" x14ac:dyDescent="0.25">
      <c r="A231" s="2" t="s">
        <v>62</v>
      </c>
      <c r="B231" s="2" t="s">
        <v>61</v>
      </c>
      <c r="C231" s="2" t="str">
        <f>_xlfn.CONCAT(kursy3[[#This Row],[Poczatek]]," -&gt; ",kursy3[[#This Row],[Koniec]])</f>
        <v>Leszno -&gt; Legnica</v>
      </c>
      <c r="D231">
        <v>1886</v>
      </c>
      <c r="E231">
        <v>110</v>
      </c>
      <c r="F231" s="3">
        <v>254</v>
      </c>
      <c r="G231" s="3">
        <f>kursy3[[#This Row],[Cena]]/kursy3[[#This Row],[Odleglosc]]</f>
        <v>2.3090909090909091</v>
      </c>
    </row>
    <row r="232" spans="1:7" x14ac:dyDescent="0.25">
      <c r="A232" s="2" t="s">
        <v>70</v>
      </c>
      <c r="B232" s="2" t="s">
        <v>30</v>
      </c>
      <c r="C232" s="2" t="str">
        <f>_xlfn.CONCAT(kursy3[[#This Row],[Poczatek]]," -&gt; ",kursy3[[#This Row],[Koniec]])</f>
        <v>Slupsk -&gt; Gdansk</v>
      </c>
      <c r="D232">
        <v>4431</v>
      </c>
      <c r="E232">
        <v>128</v>
      </c>
      <c r="F232" s="3">
        <v>213</v>
      </c>
      <c r="G232" s="3">
        <f>kursy3[[#This Row],[Cena]]/kursy3[[#This Row],[Odleglosc]]</f>
        <v>1.6640625</v>
      </c>
    </row>
    <row r="233" spans="1:7" x14ac:dyDescent="0.25">
      <c r="A233" s="2" t="s">
        <v>30</v>
      </c>
      <c r="B233" s="2" t="s">
        <v>40</v>
      </c>
      <c r="C233" s="2" t="str">
        <f>_xlfn.CONCAT(kursy3[[#This Row],[Poczatek]]," -&gt; ",kursy3[[#This Row],[Koniec]])</f>
        <v>Gdansk -&gt; Bydgoszcz</v>
      </c>
      <c r="D233">
        <v>1956</v>
      </c>
      <c r="E233">
        <v>176</v>
      </c>
      <c r="F233" s="3">
        <v>248</v>
      </c>
      <c r="G233" s="3">
        <f>kursy3[[#This Row],[Cena]]/kursy3[[#This Row],[Odleglosc]]</f>
        <v>1.4090909090909092</v>
      </c>
    </row>
    <row r="234" spans="1:7" x14ac:dyDescent="0.25">
      <c r="A234" s="2" t="s">
        <v>15</v>
      </c>
      <c r="B234" s="2" t="s">
        <v>26</v>
      </c>
      <c r="C234" s="2" t="str">
        <f>_xlfn.CONCAT(kursy3[[#This Row],[Poczatek]]," -&gt; ",kursy3[[#This Row],[Koniec]])</f>
        <v>Gubin -&gt; Gorzow Wielkopolski</v>
      </c>
      <c r="D234">
        <v>4059</v>
      </c>
      <c r="E234">
        <v>162</v>
      </c>
      <c r="F234" s="3">
        <v>550</v>
      </c>
      <c r="G234" s="3">
        <f>kursy3[[#This Row],[Cena]]/kursy3[[#This Row],[Odleglosc]]</f>
        <v>3.3950617283950617</v>
      </c>
    </row>
    <row r="235" spans="1:7" x14ac:dyDescent="0.25">
      <c r="A235" s="2" t="s">
        <v>26</v>
      </c>
      <c r="B235" s="2" t="s">
        <v>23</v>
      </c>
      <c r="C235" s="2" t="str">
        <f>_xlfn.CONCAT(kursy3[[#This Row],[Poczatek]]," -&gt; ",kursy3[[#This Row],[Koniec]])</f>
        <v>Gorzow Wielkopolski -&gt; Szczecin</v>
      </c>
      <c r="D235">
        <v>2157</v>
      </c>
      <c r="E235">
        <v>115</v>
      </c>
      <c r="F235" s="3">
        <v>182</v>
      </c>
      <c r="G235" s="3">
        <f>kursy3[[#This Row],[Cena]]/kursy3[[#This Row],[Odleglosc]]</f>
        <v>1.5826086956521739</v>
      </c>
    </row>
    <row r="236" spans="1:7" x14ac:dyDescent="0.25">
      <c r="A236" s="2" t="s">
        <v>23</v>
      </c>
      <c r="B236" s="2" t="s">
        <v>24</v>
      </c>
      <c r="C236" s="2" t="str">
        <f>_xlfn.CONCAT(kursy3[[#This Row],[Poczatek]]," -&gt; ",kursy3[[#This Row],[Koniec]])</f>
        <v>Szczecin -&gt; Swinoujscie</v>
      </c>
      <c r="D236">
        <v>3353</v>
      </c>
      <c r="E236">
        <v>117</v>
      </c>
      <c r="F236" s="3">
        <v>312</v>
      </c>
      <c r="G236" s="3">
        <f>kursy3[[#This Row],[Cena]]/kursy3[[#This Row],[Odleglosc]]</f>
        <v>2.6666666666666665</v>
      </c>
    </row>
    <row r="237" spans="1:7" x14ac:dyDescent="0.25">
      <c r="A237" s="2" t="s">
        <v>24</v>
      </c>
      <c r="B237" s="2" t="s">
        <v>21</v>
      </c>
      <c r="C237" s="2" t="str">
        <f>_xlfn.CONCAT(kursy3[[#This Row],[Poczatek]]," -&gt; ",kursy3[[#This Row],[Koniec]])</f>
        <v>Swinoujscie -&gt; Pila</v>
      </c>
      <c r="D237">
        <v>4677</v>
      </c>
      <c r="E237">
        <v>219</v>
      </c>
      <c r="F237" s="3">
        <v>255</v>
      </c>
      <c r="G237" s="3">
        <f>kursy3[[#This Row],[Cena]]/kursy3[[#This Row],[Odleglosc]]</f>
        <v>1.1643835616438356</v>
      </c>
    </row>
    <row r="238" spans="1:7" x14ac:dyDescent="0.25">
      <c r="A238" s="2" t="s">
        <v>21</v>
      </c>
      <c r="B238" s="2" t="s">
        <v>25</v>
      </c>
      <c r="C238" s="2" t="str">
        <f>_xlfn.CONCAT(kursy3[[#This Row],[Poczatek]]," -&gt; ",kursy3[[#This Row],[Koniec]])</f>
        <v>Pila -&gt; Kostrzyn</v>
      </c>
      <c r="D238">
        <v>2059</v>
      </c>
      <c r="E238">
        <v>164</v>
      </c>
      <c r="F238" s="3">
        <v>630</v>
      </c>
      <c r="G238" s="3">
        <f>kursy3[[#This Row],[Cena]]/kursy3[[#This Row],[Odleglosc]]</f>
        <v>3.8414634146341462</v>
      </c>
    </row>
    <row r="239" spans="1:7" x14ac:dyDescent="0.25">
      <c r="A239" s="2" t="s">
        <v>8</v>
      </c>
      <c r="B239" s="2" t="s">
        <v>29</v>
      </c>
      <c r="C239" s="2" t="str">
        <f>_xlfn.CONCAT(kursy3[[#This Row],[Poczatek]]," -&gt; ",kursy3[[#This Row],[Koniec]])</f>
        <v>Plock -&gt; Piotrkow Trybunalski</v>
      </c>
      <c r="D239">
        <v>5537</v>
      </c>
      <c r="E239">
        <v>141</v>
      </c>
      <c r="F239" s="3">
        <v>240</v>
      </c>
      <c r="G239" s="3">
        <f>kursy3[[#This Row],[Cena]]/kursy3[[#This Row],[Odleglosc]]</f>
        <v>1.7021276595744681</v>
      </c>
    </row>
    <row r="240" spans="1:7" x14ac:dyDescent="0.25">
      <c r="A240" s="2" t="s">
        <v>29</v>
      </c>
      <c r="B240" s="2" t="s">
        <v>59</v>
      </c>
      <c r="C240" s="2" t="str">
        <f>_xlfn.CONCAT(kursy3[[#This Row],[Poczatek]]," -&gt; ",kursy3[[#This Row],[Koniec]])</f>
        <v>Piotrkow Trybunalski -&gt; Warszawa</v>
      </c>
      <c r="D240">
        <v>2987</v>
      </c>
      <c r="E240">
        <v>149</v>
      </c>
      <c r="F240" s="3">
        <v>464</v>
      </c>
      <c r="G240" s="3">
        <f>kursy3[[#This Row],[Cena]]/kursy3[[#This Row],[Odleglosc]]</f>
        <v>3.1140939597315436</v>
      </c>
    </row>
    <row r="241" spans="1:7" x14ac:dyDescent="0.25">
      <c r="A241" s="2" t="s">
        <v>69</v>
      </c>
      <c r="B241" s="2" t="s">
        <v>67</v>
      </c>
      <c r="C241" s="2" t="str">
        <f>_xlfn.CONCAT(kursy3[[#This Row],[Poczatek]]," -&gt; ",kursy3[[#This Row],[Koniec]])</f>
        <v>Terespol -&gt; Lublin</v>
      </c>
      <c r="D241">
        <v>5570</v>
      </c>
      <c r="E241">
        <v>166</v>
      </c>
      <c r="F241" s="3">
        <v>577</v>
      </c>
      <c r="G241" s="3">
        <f>kursy3[[#This Row],[Cena]]/kursy3[[#This Row],[Odleglosc]]</f>
        <v>3.4759036144578315</v>
      </c>
    </row>
    <row r="242" spans="1:7" x14ac:dyDescent="0.25">
      <c r="A242" s="2" t="s">
        <v>67</v>
      </c>
      <c r="B242" s="2" t="s">
        <v>66</v>
      </c>
      <c r="C242" s="2" t="str">
        <f>_xlfn.CONCAT(kursy3[[#This Row],[Poczatek]]," -&gt; ",kursy3[[#This Row],[Koniec]])</f>
        <v>Lublin -&gt; Hrebenne</v>
      </c>
      <c r="D242">
        <v>3948</v>
      </c>
      <c r="E242">
        <v>137</v>
      </c>
      <c r="F242" s="3">
        <v>469</v>
      </c>
      <c r="G242" s="3">
        <f>kursy3[[#This Row],[Cena]]/kursy3[[#This Row],[Odleglosc]]</f>
        <v>3.4233576642335768</v>
      </c>
    </row>
    <row r="243" spans="1:7" x14ac:dyDescent="0.25">
      <c r="A243" s="2" t="s">
        <v>56</v>
      </c>
      <c r="B243" s="2" t="s">
        <v>59</v>
      </c>
      <c r="C243" s="2" t="str">
        <f>_xlfn.CONCAT(kursy3[[#This Row],[Poczatek]]," -&gt; ",kursy3[[#This Row],[Koniec]])</f>
        <v>Przemysl -&gt; Warszawa</v>
      </c>
      <c r="D243">
        <v>4201</v>
      </c>
      <c r="E243">
        <v>380</v>
      </c>
      <c r="F243" s="3">
        <v>528</v>
      </c>
      <c r="G243" s="3">
        <f>kursy3[[#This Row],[Cena]]/kursy3[[#This Row],[Odleglosc]]</f>
        <v>1.3894736842105264</v>
      </c>
    </row>
    <row r="244" spans="1:7" x14ac:dyDescent="0.25">
      <c r="A244" s="2" t="s">
        <v>59</v>
      </c>
      <c r="B244" s="2" t="s">
        <v>12</v>
      </c>
      <c r="C244" s="2" t="str">
        <f>_xlfn.CONCAT(kursy3[[#This Row],[Poczatek]]," -&gt; ",kursy3[[#This Row],[Koniec]])</f>
        <v>Warszawa -&gt; Ciechanow</v>
      </c>
      <c r="D244">
        <v>3592</v>
      </c>
      <c r="E244">
        <v>109</v>
      </c>
      <c r="F244" s="3">
        <v>134</v>
      </c>
      <c r="G244" s="3">
        <f>kursy3[[#This Row],[Cena]]/kursy3[[#This Row],[Odleglosc]]</f>
        <v>1.2293577981651376</v>
      </c>
    </row>
    <row r="245" spans="1:7" x14ac:dyDescent="0.25">
      <c r="A245" s="2" t="s">
        <v>12</v>
      </c>
      <c r="B245" s="2" t="s">
        <v>41</v>
      </c>
      <c r="C245" s="2" t="str">
        <f>_xlfn.CONCAT(kursy3[[#This Row],[Poczatek]]," -&gt; ",kursy3[[#This Row],[Koniec]])</f>
        <v>Ciechanow -&gt; Wloclawek</v>
      </c>
      <c r="D245">
        <v>4543</v>
      </c>
      <c r="E245">
        <v>135</v>
      </c>
      <c r="F245" s="3">
        <v>345</v>
      </c>
      <c r="G245" s="3">
        <f>kursy3[[#This Row],[Cena]]/kursy3[[#This Row],[Odleglosc]]</f>
        <v>2.5555555555555554</v>
      </c>
    </row>
    <row r="246" spans="1:7" x14ac:dyDescent="0.25">
      <c r="A246" s="2" t="s">
        <v>12</v>
      </c>
      <c r="B246" s="2" t="s">
        <v>9</v>
      </c>
      <c r="C246" s="2" t="str">
        <f>_xlfn.CONCAT(kursy3[[#This Row],[Poczatek]]," -&gt; ",kursy3[[#This Row],[Koniec]])</f>
        <v>Ciechanow -&gt; Ostroleka</v>
      </c>
      <c r="D246">
        <v>1813</v>
      </c>
      <c r="E246">
        <v>86</v>
      </c>
      <c r="F246" s="3">
        <v>163</v>
      </c>
      <c r="G246" s="3">
        <f>kursy3[[#This Row],[Cena]]/kursy3[[#This Row],[Odleglosc]]</f>
        <v>1.8953488372093024</v>
      </c>
    </row>
    <row r="247" spans="1:7" x14ac:dyDescent="0.25">
      <c r="A247" s="2" t="s">
        <v>38</v>
      </c>
      <c r="B247" s="2" t="s">
        <v>49</v>
      </c>
      <c r="C247" s="2" t="str">
        <f>_xlfn.CONCAT(kursy3[[#This Row],[Poczatek]]," -&gt; ",kursy3[[#This Row],[Koniec]])</f>
        <v>Bielsko-Biala -&gt; Cieszyn</v>
      </c>
      <c r="D247">
        <v>4567</v>
      </c>
      <c r="E247">
        <v>31</v>
      </c>
      <c r="F247" s="3">
        <v>54</v>
      </c>
      <c r="G247" s="3">
        <f>kursy3[[#This Row],[Cena]]/kursy3[[#This Row],[Odleglosc]]</f>
        <v>1.7419354838709677</v>
      </c>
    </row>
    <row r="248" spans="1:7" x14ac:dyDescent="0.25">
      <c r="A248" s="2" t="s">
        <v>49</v>
      </c>
      <c r="B248" s="2" t="s">
        <v>37</v>
      </c>
      <c r="C248" s="2" t="str">
        <f>_xlfn.CONCAT(kursy3[[#This Row],[Poczatek]]," -&gt; ",kursy3[[#This Row],[Koniec]])</f>
        <v>Cieszyn -&gt; Opole</v>
      </c>
      <c r="D248">
        <v>1830</v>
      </c>
      <c r="E248">
        <v>152</v>
      </c>
      <c r="F248" s="3">
        <v>301</v>
      </c>
      <c r="G248" s="3">
        <f>kursy3[[#This Row],[Cena]]/kursy3[[#This Row],[Odleglosc]]</f>
        <v>1.9802631578947369</v>
      </c>
    </row>
    <row r="249" spans="1:7" x14ac:dyDescent="0.25">
      <c r="A249" s="2" t="s">
        <v>37</v>
      </c>
      <c r="B249" s="2" t="s">
        <v>57</v>
      </c>
      <c r="C249" s="2" t="str">
        <f>_xlfn.CONCAT(kursy3[[#This Row],[Poczatek]]," -&gt; ",kursy3[[#This Row],[Koniec]])</f>
        <v>Opole -&gt; Chalupki</v>
      </c>
      <c r="D249">
        <v>3678</v>
      </c>
      <c r="E249">
        <v>104</v>
      </c>
      <c r="F249" s="3">
        <v>275</v>
      </c>
      <c r="G249" s="3">
        <f>kursy3[[#This Row],[Cena]]/kursy3[[#This Row],[Odleglosc]]</f>
        <v>2.6442307692307692</v>
      </c>
    </row>
    <row r="250" spans="1:7" x14ac:dyDescent="0.25">
      <c r="A250" s="2" t="s">
        <v>17</v>
      </c>
      <c r="B250" s="2" t="s">
        <v>38</v>
      </c>
      <c r="C250" s="2" t="str">
        <f>_xlfn.CONCAT(kursy3[[#This Row],[Poczatek]]," -&gt; ",kursy3[[#This Row],[Koniec]])</f>
        <v>Tarnow -&gt; Bielsko-Biala</v>
      </c>
      <c r="D250">
        <v>1782</v>
      </c>
      <c r="E250">
        <v>171</v>
      </c>
      <c r="F250" s="3">
        <v>193</v>
      </c>
      <c r="G250" s="3">
        <f>kursy3[[#This Row],[Cena]]/kursy3[[#This Row],[Odleglosc]]</f>
        <v>1.128654970760234</v>
      </c>
    </row>
    <row r="251" spans="1:7" x14ac:dyDescent="0.25">
      <c r="A251" s="2" t="s">
        <v>12</v>
      </c>
      <c r="B251" s="2" t="s">
        <v>6</v>
      </c>
      <c r="C251" s="2" t="str">
        <f>_xlfn.CONCAT(kursy3[[#This Row],[Poczatek]]," -&gt; ",kursy3[[#This Row],[Koniec]])</f>
        <v>Ciechanow -&gt; Olsztyn</v>
      </c>
      <c r="D251">
        <v>2966</v>
      </c>
      <c r="E251">
        <v>125</v>
      </c>
      <c r="F251" s="3">
        <v>170</v>
      </c>
      <c r="G251" s="3">
        <f>kursy3[[#This Row],[Cena]]/kursy3[[#This Row],[Odleglosc]]</f>
        <v>1.36</v>
      </c>
    </row>
    <row r="252" spans="1:7" x14ac:dyDescent="0.25">
      <c r="A252" s="2" t="s">
        <v>32</v>
      </c>
      <c r="B252" s="2" t="s">
        <v>47</v>
      </c>
      <c r="C252" s="2" t="str">
        <f>_xlfn.CONCAT(kursy3[[#This Row],[Poczatek]]," -&gt; ",kursy3[[#This Row],[Koniec]])</f>
        <v>Czestochowa -&gt; Kielce</v>
      </c>
      <c r="D252">
        <v>4746</v>
      </c>
      <c r="E252">
        <v>131</v>
      </c>
      <c r="F252" s="3">
        <v>245</v>
      </c>
      <c r="G252" s="3">
        <f>kursy3[[#This Row],[Cena]]/kursy3[[#This Row],[Odleglosc]]</f>
        <v>1.8702290076335877</v>
      </c>
    </row>
    <row r="253" spans="1:7" x14ac:dyDescent="0.25">
      <c r="A253" s="2" t="s">
        <v>37</v>
      </c>
      <c r="B253" s="2" t="s">
        <v>18</v>
      </c>
      <c r="C253" s="2" t="str">
        <f>_xlfn.CONCAT(kursy3[[#This Row],[Poczatek]]," -&gt; ",kursy3[[#This Row],[Koniec]])</f>
        <v>Opole -&gt; Katowice</v>
      </c>
      <c r="D253">
        <v>3161</v>
      </c>
      <c r="E253">
        <v>101</v>
      </c>
      <c r="F253" s="3">
        <v>115</v>
      </c>
      <c r="G253" s="3">
        <f>kursy3[[#This Row],[Cena]]/kursy3[[#This Row],[Odleglosc]]</f>
        <v>1.1386138613861385</v>
      </c>
    </row>
    <row r="254" spans="1:7" x14ac:dyDescent="0.25">
      <c r="A254" s="2" t="s">
        <v>60</v>
      </c>
      <c r="B254" s="2" t="s">
        <v>71</v>
      </c>
      <c r="C254" s="2" t="str">
        <f>_xlfn.CONCAT(kursy3[[#This Row],[Poczatek]]," -&gt; ",kursy3[[#This Row],[Koniec]])</f>
        <v>Lodz -&gt; Bialystok</v>
      </c>
      <c r="D254">
        <v>3600</v>
      </c>
      <c r="E254">
        <v>211</v>
      </c>
      <c r="F254" s="3">
        <v>670</v>
      </c>
      <c r="G254" s="3">
        <f>kursy3[[#This Row],[Cena]]/kursy3[[#This Row],[Odleglosc]]</f>
        <v>3.175355450236967</v>
      </c>
    </row>
    <row r="255" spans="1:7" x14ac:dyDescent="0.25">
      <c r="A255" s="2" t="s">
        <v>71</v>
      </c>
      <c r="B255" s="2" t="s">
        <v>10</v>
      </c>
      <c r="C255" s="2" t="str">
        <f>_xlfn.CONCAT(kursy3[[#This Row],[Poczatek]]," -&gt; ",kursy3[[#This Row],[Koniec]])</f>
        <v>Bialystok -&gt; Suwalki</v>
      </c>
      <c r="D255">
        <v>4093</v>
      </c>
      <c r="E255">
        <v>119</v>
      </c>
      <c r="F255" s="3">
        <v>254</v>
      </c>
      <c r="G255" s="3">
        <f>kursy3[[#This Row],[Cena]]/kursy3[[#This Row],[Odleglosc]]</f>
        <v>2.134453781512605</v>
      </c>
    </row>
    <row r="256" spans="1:7" x14ac:dyDescent="0.25">
      <c r="A256" s="2" t="s">
        <v>10</v>
      </c>
      <c r="B256" s="2" t="s">
        <v>9</v>
      </c>
      <c r="C256" s="2" t="str">
        <f>_xlfn.CONCAT(kursy3[[#This Row],[Poczatek]]," -&gt; ",kursy3[[#This Row],[Koniec]])</f>
        <v>Suwalki -&gt; Ostroleka</v>
      </c>
      <c r="D256">
        <v>1981</v>
      </c>
      <c r="E256">
        <v>159</v>
      </c>
      <c r="F256" s="3">
        <v>192</v>
      </c>
      <c r="G256" s="3">
        <f>kursy3[[#This Row],[Cena]]/kursy3[[#This Row],[Odleglosc]]</f>
        <v>1.2075471698113207</v>
      </c>
    </row>
    <row r="257" spans="1:7" x14ac:dyDescent="0.25">
      <c r="A257" s="2" t="s">
        <v>9</v>
      </c>
      <c r="B257" s="2" t="s">
        <v>6</v>
      </c>
      <c r="C257" s="2" t="str">
        <f>_xlfn.CONCAT(kursy3[[#This Row],[Poczatek]]," -&gt; ",kursy3[[#This Row],[Koniec]])</f>
        <v>Ostroleka -&gt; Olsztyn</v>
      </c>
      <c r="D257">
        <v>3154</v>
      </c>
      <c r="E257">
        <v>127</v>
      </c>
      <c r="F257" s="3">
        <v>390</v>
      </c>
      <c r="G257" s="3">
        <f>kursy3[[#This Row],[Cena]]/kursy3[[#This Row],[Odleglosc]]</f>
        <v>3.0708661417322833</v>
      </c>
    </row>
    <row r="258" spans="1:7" x14ac:dyDescent="0.25">
      <c r="A258" s="2" t="s">
        <v>8</v>
      </c>
      <c r="B258" s="2" t="s">
        <v>67</v>
      </c>
      <c r="C258" s="2" t="str">
        <f>_xlfn.CONCAT(kursy3[[#This Row],[Poczatek]]," -&gt; ",kursy3[[#This Row],[Koniec]])</f>
        <v>Plock -&gt; Lublin</v>
      </c>
      <c r="D258">
        <v>4876</v>
      </c>
      <c r="E258">
        <v>280</v>
      </c>
      <c r="F258" s="3">
        <v>688</v>
      </c>
      <c r="G258" s="3">
        <f>kursy3[[#This Row],[Cena]]/kursy3[[#This Row],[Odleglosc]]</f>
        <v>2.4571428571428573</v>
      </c>
    </row>
    <row r="259" spans="1:7" x14ac:dyDescent="0.25">
      <c r="A259" s="2" t="s">
        <v>67</v>
      </c>
      <c r="B259" s="2" t="s">
        <v>66</v>
      </c>
      <c r="C259" s="2" t="str">
        <f>_xlfn.CONCAT(kursy3[[#This Row],[Poczatek]]," -&gt; ",kursy3[[#This Row],[Koniec]])</f>
        <v>Lublin -&gt; Hrebenne</v>
      </c>
      <c r="D259">
        <v>5153</v>
      </c>
      <c r="E259">
        <v>141</v>
      </c>
      <c r="F259" s="3">
        <v>547</v>
      </c>
      <c r="G259" s="3">
        <f>kursy3[[#This Row],[Cena]]/kursy3[[#This Row],[Odleglosc]]</f>
        <v>3.8794326241134751</v>
      </c>
    </row>
    <row r="260" spans="1:7" x14ac:dyDescent="0.25">
      <c r="A260" s="2" t="s">
        <v>66</v>
      </c>
      <c r="B260" s="2" t="s">
        <v>45</v>
      </c>
      <c r="C260" s="2" t="str">
        <f>_xlfn.CONCAT(kursy3[[#This Row],[Poczatek]]," -&gt; ",kursy3[[#This Row],[Koniec]])</f>
        <v>Hrebenne -&gt; Medyka</v>
      </c>
      <c r="D260">
        <v>1720</v>
      </c>
      <c r="E260">
        <v>122</v>
      </c>
      <c r="F260" s="3">
        <v>363</v>
      </c>
      <c r="G260" s="3">
        <f>kursy3[[#This Row],[Cena]]/kursy3[[#This Row],[Odleglosc]]</f>
        <v>2.9754098360655736</v>
      </c>
    </row>
    <row r="261" spans="1:7" x14ac:dyDescent="0.25">
      <c r="A261" s="2" t="s">
        <v>45</v>
      </c>
      <c r="B261" s="2" t="s">
        <v>44</v>
      </c>
      <c r="C261" s="2" t="str">
        <f>_xlfn.CONCAT(kursy3[[#This Row],[Poczatek]]," -&gt; ",kursy3[[#This Row],[Koniec]])</f>
        <v>Medyka -&gt; Zamosc</v>
      </c>
      <c r="D261">
        <v>5392</v>
      </c>
      <c r="E261">
        <v>161</v>
      </c>
      <c r="F261" s="3">
        <v>240</v>
      </c>
      <c r="G261" s="3">
        <f>kursy3[[#This Row],[Cena]]/kursy3[[#This Row],[Odleglosc]]</f>
        <v>1.4906832298136645</v>
      </c>
    </row>
    <row r="262" spans="1:7" x14ac:dyDescent="0.25">
      <c r="A262" s="2" t="s">
        <v>70</v>
      </c>
      <c r="B262" s="2" t="s">
        <v>23</v>
      </c>
      <c r="C262" s="2" t="str">
        <f>_xlfn.CONCAT(kursy3[[#This Row],[Poczatek]]," -&gt; ",kursy3[[#This Row],[Koniec]])</f>
        <v>Slupsk -&gt; Szczecin</v>
      </c>
      <c r="D262">
        <v>1698</v>
      </c>
      <c r="E262">
        <v>224</v>
      </c>
      <c r="F262" s="3">
        <v>579</v>
      </c>
      <c r="G262" s="3">
        <f>kursy3[[#This Row],[Cena]]/kursy3[[#This Row],[Odleglosc]]</f>
        <v>2.5848214285714284</v>
      </c>
    </row>
    <row r="263" spans="1:7" x14ac:dyDescent="0.25">
      <c r="A263" s="2" t="s">
        <v>23</v>
      </c>
      <c r="B263" s="2" t="s">
        <v>21</v>
      </c>
      <c r="C263" s="2" t="str">
        <f>_xlfn.CONCAT(kursy3[[#This Row],[Poczatek]]," -&gt; ",kursy3[[#This Row],[Koniec]])</f>
        <v>Szczecin -&gt; Pila</v>
      </c>
      <c r="D263">
        <v>3411</v>
      </c>
      <c r="E263">
        <v>166</v>
      </c>
      <c r="F263" s="3">
        <v>574</v>
      </c>
      <c r="G263" s="3">
        <f>kursy3[[#This Row],[Cena]]/kursy3[[#This Row],[Odleglosc]]</f>
        <v>3.4578313253012047</v>
      </c>
    </row>
    <row r="264" spans="1:7" x14ac:dyDescent="0.25">
      <c r="A264" s="2" t="s">
        <v>21</v>
      </c>
      <c r="B264" s="2" t="s">
        <v>14</v>
      </c>
      <c r="C264" s="2" t="str">
        <f>_xlfn.CONCAT(kursy3[[#This Row],[Poczatek]]," -&gt; ",kursy3[[#This Row],[Koniec]])</f>
        <v>Pila -&gt; Poznan</v>
      </c>
      <c r="D264">
        <v>5558</v>
      </c>
      <c r="E264">
        <v>107</v>
      </c>
      <c r="F264" s="3">
        <v>202</v>
      </c>
      <c r="G264" s="3">
        <f>kursy3[[#This Row],[Cena]]/kursy3[[#This Row],[Odleglosc]]</f>
        <v>1.8878504672897196</v>
      </c>
    </row>
    <row r="265" spans="1:7" x14ac:dyDescent="0.25">
      <c r="A265" s="2" t="s">
        <v>14</v>
      </c>
      <c r="B265" s="2" t="s">
        <v>40</v>
      </c>
      <c r="C265" s="2" t="str">
        <f>_xlfn.CONCAT(kursy3[[#This Row],[Poczatek]]," -&gt; ",kursy3[[#This Row],[Koniec]])</f>
        <v>Poznan -&gt; Bydgoszcz</v>
      </c>
      <c r="D265">
        <v>2592</v>
      </c>
      <c r="E265">
        <v>136</v>
      </c>
      <c r="F265" s="3">
        <v>325</v>
      </c>
      <c r="G265" s="3">
        <f>kursy3[[#This Row],[Cena]]/kursy3[[#This Row],[Odleglosc]]</f>
        <v>2.3897058823529411</v>
      </c>
    </row>
    <row r="266" spans="1:7" x14ac:dyDescent="0.25">
      <c r="A266" s="2" t="s">
        <v>40</v>
      </c>
      <c r="B266" s="2" t="s">
        <v>30</v>
      </c>
      <c r="C266" s="2" t="str">
        <f>_xlfn.CONCAT(kursy3[[#This Row],[Poczatek]]," -&gt; ",kursy3[[#This Row],[Koniec]])</f>
        <v>Bydgoszcz -&gt; Gdansk</v>
      </c>
      <c r="D266">
        <v>5214</v>
      </c>
      <c r="E266">
        <v>178</v>
      </c>
      <c r="F266" s="3">
        <v>634</v>
      </c>
      <c r="G266" s="3">
        <f>kursy3[[#This Row],[Cena]]/kursy3[[#This Row],[Odleglosc]]</f>
        <v>3.5617977528089888</v>
      </c>
    </row>
    <row r="267" spans="1:7" x14ac:dyDescent="0.25">
      <c r="A267" s="2" t="s">
        <v>30</v>
      </c>
      <c r="B267" s="2" t="s">
        <v>40</v>
      </c>
      <c r="C267" s="2" t="str">
        <f>_xlfn.CONCAT(kursy3[[#This Row],[Poczatek]]," -&gt; ",kursy3[[#This Row],[Koniec]])</f>
        <v>Gdansk -&gt; Bydgoszcz</v>
      </c>
      <c r="D267">
        <v>5491</v>
      </c>
      <c r="E267">
        <v>162</v>
      </c>
      <c r="F267" s="3">
        <v>408</v>
      </c>
      <c r="G267" s="3">
        <f>kursy3[[#This Row],[Cena]]/kursy3[[#This Row],[Odleglosc]]</f>
        <v>2.5185185185185186</v>
      </c>
    </row>
    <row r="268" spans="1:7" x14ac:dyDescent="0.25">
      <c r="A268" s="2" t="s">
        <v>16</v>
      </c>
      <c r="B268" s="2" t="s">
        <v>35</v>
      </c>
      <c r="C268" s="2" t="str">
        <f>_xlfn.CONCAT(kursy3[[#This Row],[Poczatek]]," -&gt; ",kursy3[[#This Row],[Koniec]])</f>
        <v>Skierniewice -&gt; Kudowa-Slone</v>
      </c>
      <c r="D268">
        <v>4594</v>
      </c>
      <c r="E268">
        <v>443</v>
      </c>
      <c r="F268" s="3">
        <v>1098</v>
      </c>
      <c r="G268" s="3">
        <f>kursy3[[#This Row],[Cena]]/kursy3[[#This Row],[Odleglosc]]</f>
        <v>2.4785553047404063</v>
      </c>
    </row>
    <row r="269" spans="1:7" x14ac:dyDescent="0.25">
      <c r="A269" s="2" t="s">
        <v>35</v>
      </c>
      <c r="B269" s="2" t="s">
        <v>37</v>
      </c>
      <c r="C269" s="2" t="str">
        <f>_xlfn.CONCAT(kursy3[[#This Row],[Poczatek]]," -&gt; ",kursy3[[#This Row],[Koniec]])</f>
        <v>Kudowa-Slone -&gt; Opole</v>
      </c>
      <c r="D269">
        <v>1047</v>
      </c>
      <c r="E269">
        <v>147</v>
      </c>
      <c r="F269" s="3">
        <v>432</v>
      </c>
      <c r="G269" s="3">
        <f>kursy3[[#This Row],[Cena]]/kursy3[[#This Row],[Odleglosc]]</f>
        <v>2.9387755102040818</v>
      </c>
    </row>
    <row r="270" spans="1:7" x14ac:dyDescent="0.25">
      <c r="A270" s="2" t="s">
        <v>15</v>
      </c>
      <c r="B270" s="2" t="s">
        <v>59</v>
      </c>
      <c r="C270" s="2" t="str">
        <f>_xlfn.CONCAT(kursy3[[#This Row],[Poczatek]]," -&gt; ",kursy3[[#This Row],[Koniec]])</f>
        <v>Gubin -&gt; Warszawa</v>
      </c>
      <c r="D270">
        <v>5517</v>
      </c>
      <c r="E270">
        <v>494</v>
      </c>
      <c r="F270" s="3">
        <v>1185</v>
      </c>
      <c r="G270" s="3">
        <f>kursy3[[#This Row],[Cena]]/kursy3[[#This Row],[Odleglosc]]</f>
        <v>2.3987854251012144</v>
      </c>
    </row>
    <row r="271" spans="1:7" x14ac:dyDescent="0.25">
      <c r="A271" s="2" t="s">
        <v>59</v>
      </c>
      <c r="B271" s="2" t="s">
        <v>12</v>
      </c>
      <c r="C271" s="2" t="str">
        <f>_xlfn.CONCAT(kursy3[[#This Row],[Poczatek]]," -&gt; ",kursy3[[#This Row],[Koniec]])</f>
        <v>Warszawa -&gt; Ciechanow</v>
      </c>
      <c r="D271">
        <v>4155</v>
      </c>
      <c r="E271">
        <v>93</v>
      </c>
      <c r="F271" s="3">
        <v>181</v>
      </c>
      <c r="G271" s="3">
        <f>kursy3[[#This Row],[Cena]]/kursy3[[#This Row],[Odleglosc]]</f>
        <v>1.946236559139785</v>
      </c>
    </row>
    <row r="272" spans="1:7" x14ac:dyDescent="0.25">
      <c r="A272" s="2" t="s">
        <v>61</v>
      </c>
      <c r="B272" s="2" t="s">
        <v>48</v>
      </c>
      <c r="C272" s="2" t="str">
        <f>_xlfn.CONCAT(kursy3[[#This Row],[Poczatek]]," -&gt; ",kursy3[[#This Row],[Koniec]])</f>
        <v>Legnica -&gt; Zielona Gora</v>
      </c>
      <c r="D272">
        <v>2798</v>
      </c>
      <c r="E272">
        <v>109</v>
      </c>
      <c r="F272" s="3">
        <v>366</v>
      </c>
      <c r="G272" s="3">
        <f>kursy3[[#This Row],[Cena]]/kursy3[[#This Row],[Odleglosc]]</f>
        <v>3.3577981651376145</v>
      </c>
    </row>
    <row r="273" spans="1:7" x14ac:dyDescent="0.25">
      <c r="A273" s="2" t="s">
        <v>48</v>
      </c>
      <c r="B273" s="2" t="s">
        <v>61</v>
      </c>
      <c r="C273" s="2" t="str">
        <f>_xlfn.CONCAT(kursy3[[#This Row],[Poczatek]]," -&gt; ",kursy3[[#This Row],[Koniec]])</f>
        <v>Zielona Gora -&gt; Legnica</v>
      </c>
      <c r="D273">
        <v>4217</v>
      </c>
      <c r="E273">
        <v>112</v>
      </c>
      <c r="F273" s="3">
        <v>263</v>
      </c>
      <c r="G273" s="3">
        <f>kursy3[[#This Row],[Cena]]/kursy3[[#This Row],[Odleglosc]]</f>
        <v>2.3482142857142856</v>
      </c>
    </row>
    <row r="274" spans="1:7" x14ac:dyDescent="0.25">
      <c r="A274" s="2" t="s">
        <v>61</v>
      </c>
      <c r="B274" s="2" t="s">
        <v>48</v>
      </c>
      <c r="C274" s="2" t="str">
        <f>_xlfn.CONCAT(kursy3[[#This Row],[Poczatek]]," -&gt; ",kursy3[[#This Row],[Koniec]])</f>
        <v>Legnica -&gt; Zielona Gora</v>
      </c>
      <c r="D274">
        <v>4327</v>
      </c>
      <c r="E274">
        <v>109</v>
      </c>
      <c r="F274" s="3">
        <v>196</v>
      </c>
      <c r="G274" s="3">
        <f>kursy3[[#This Row],[Cena]]/kursy3[[#This Row],[Odleglosc]]</f>
        <v>1.798165137614679</v>
      </c>
    </row>
    <row r="275" spans="1:7" x14ac:dyDescent="0.25">
      <c r="A275" s="2" t="s">
        <v>32</v>
      </c>
      <c r="B275" s="2" t="s">
        <v>38</v>
      </c>
      <c r="C275" s="2" t="str">
        <f>_xlfn.CONCAT(kursy3[[#This Row],[Poczatek]]," -&gt; ",kursy3[[#This Row],[Koniec]])</f>
        <v>Czestochowa -&gt; Bielsko-Biala</v>
      </c>
      <c r="D275">
        <v>2555</v>
      </c>
      <c r="E275">
        <v>124</v>
      </c>
      <c r="F275" s="3">
        <v>150</v>
      </c>
      <c r="G275" s="3">
        <f>kursy3[[#This Row],[Cena]]/kursy3[[#This Row],[Odleglosc]]</f>
        <v>1.2096774193548387</v>
      </c>
    </row>
    <row r="276" spans="1:7" x14ac:dyDescent="0.25">
      <c r="A276" s="2" t="s">
        <v>38</v>
      </c>
      <c r="B276" s="2" t="s">
        <v>57</v>
      </c>
      <c r="C276" s="2" t="str">
        <f>_xlfn.CONCAT(kursy3[[#This Row],[Poczatek]]," -&gt; ",kursy3[[#This Row],[Koniec]])</f>
        <v>Bielsko-Biala -&gt; Chalupki</v>
      </c>
      <c r="D276">
        <v>5150</v>
      </c>
      <c r="E276">
        <v>104</v>
      </c>
      <c r="F276" s="3">
        <v>435</v>
      </c>
      <c r="G276" s="3">
        <f>kursy3[[#This Row],[Cena]]/kursy3[[#This Row],[Odleglosc]]</f>
        <v>4.1826923076923075</v>
      </c>
    </row>
    <row r="277" spans="1:7" x14ac:dyDescent="0.25">
      <c r="A277" s="2" t="s">
        <v>56</v>
      </c>
      <c r="B277" s="2" t="s">
        <v>47</v>
      </c>
      <c r="C277" s="2" t="str">
        <f>_xlfn.CONCAT(kursy3[[#This Row],[Poczatek]]," -&gt; ",kursy3[[#This Row],[Koniec]])</f>
        <v>Przemysl -&gt; Kielce</v>
      </c>
      <c r="D277">
        <v>5697</v>
      </c>
      <c r="E277">
        <v>257</v>
      </c>
      <c r="F277" s="3">
        <v>717</v>
      </c>
      <c r="G277" s="3">
        <f>kursy3[[#This Row],[Cena]]/kursy3[[#This Row],[Odleglosc]]</f>
        <v>2.7898832684824901</v>
      </c>
    </row>
    <row r="278" spans="1:7" x14ac:dyDescent="0.25">
      <c r="A278" s="2" t="s">
        <v>47</v>
      </c>
      <c r="B278" s="2" t="s">
        <v>46</v>
      </c>
      <c r="C278" s="2" t="str">
        <f>_xlfn.CONCAT(kursy3[[#This Row],[Poczatek]]," -&gt; ",kursy3[[#This Row],[Koniec]])</f>
        <v>Kielce -&gt; Tarnobrzeg</v>
      </c>
      <c r="D278">
        <v>3192</v>
      </c>
      <c r="E278">
        <v>113</v>
      </c>
      <c r="F278" s="3">
        <v>310</v>
      </c>
      <c r="G278" s="3">
        <f>kursy3[[#This Row],[Cena]]/kursy3[[#This Row],[Odleglosc]]</f>
        <v>2.7433628318584069</v>
      </c>
    </row>
    <row r="279" spans="1:7" x14ac:dyDescent="0.25">
      <c r="A279" s="2" t="s">
        <v>38</v>
      </c>
      <c r="B279" s="2" t="s">
        <v>59</v>
      </c>
      <c r="C279" s="2" t="str">
        <f>_xlfn.CONCAT(kursy3[[#This Row],[Poczatek]]," -&gt; ",kursy3[[#This Row],[Koniec]])</f>
        <v>Bielsko-Biala -&gt; Warszawa</v>
      </c>
      <c r="D279">
        <v>2781</v>
      </c>
      <c r="E279">
        <v>409</v>
      </c>
      <c r="F279" s="3">
        <v>1436</v>
      </c>
      <c r="G279" s="3">
        <f>kursy3[[#This Row],[Cena]]/kursy3[[#This Row],[Odleglosc]]</f>
        <v>3.511002444987775</v>
      </c>
    </row>
    <row r="280" spans="1:7" x14ac:dyDescent="0.25">
      <c r="A280" s="2" t="s">
        <v>59</v>
      </c>
      <c r="B280" s="2" t="s">
        <v>8</v>
      </c>
      <c r="C280" s="2" t="str">
        <f>_xlfn.CONCAT(kursy3[[#This Row],[Poczatek]]," -&gt; ",kursy3[[#This Row],[Koniec]])</f>
        <v>Warszawa -&gt; Plock</v>
      </c>
      <c r="D280">
        <v>1093</v>
      </c>
      <c r="E280">
        <v>110</v>
      </c>
      <c r="F280" s="3">
        <v>400</v>
      </c>
      <c r="G280" s="3">
        <f>kursy3[[#This Row],[Cena]]/kursy3[[#This Row],[Odleglosc]]</f>
        <v>3.6363636363636362</v>
      </c>
    </row>
    <row r="281" spans="1:7" x14ac:dyDescent="0.25">
      <c r="A281" s="2" t="s">
        <v>8</v>
      </c>
      <c r="B281" s="2" t="s">
        <v>20</v>
      </c>
      <c r="C281" s="2" t="str">
        <f>_xlfn.CONCAT(kursy3[[#This Row],[Poczatek]]," -&gt; ",kursy3[[#This Row],[Koniec]])</f>
        <v>Plock -&gt; Konin</v>
      </c>
      <c r="D281">
        <v>2291</v>
      </c>
      <c r="E281">
        <v>132</v>
      </c>
      <c r="F281" s="3">
        <v>163</v>
      </c>
      <c r="G281" s="3">
        <f>kursy3[[#This Row],[Cena]]/kursy3[[#This Row],[Odleglosc]]</f>
        <v>1.2348484848484849</v>
      </c>
    </row>
    <row r="282" spans="1:7" x14ac:dyDescent="0.25">
      <c r="A282" s="2" t="s">
        <v>15</v>
      </c>
      <c r="B282" s="2" t="s">
        <v>23</v>
      </c>
      <c r="C282" s="2" t="str">
        <f>_xlfn.CONCAT(kursy3[[#This Row],[Poczatek]]," -&gt; ",kursy3[[#This Row],[Koniec]])</f>
        <v>Gubin -&gt; Szczecin</v>
      </c>
      <c r="D282">
        <v>2962</v>
      </c>
      <c r="E282">
        <v>170</v>
      </c>
      <c r="F282" s="3">
        <v>273</v>
      </c>
      <c r="G282" s="3">
        <f>kursy3[[#This Row],[Cena]]/kursy3[[#This Row],[Odleglosc]]</f>
        <v>1.6058823529411765</v>
      </c>
    </row>
    <row r="283" spans="1:7" x14ac:dyDescent="0.25">
      <c r="A283" s="2" t="s">
        <v>7</v>
      </c>
      <c r="B283" s="2" t="s">
        <v>8</v>
      </c>
      <c r="C283" s="2" t="str">
        <f>_xlfn.CONCAT(kursy3[[#This Row],[Poczatek]]," -&gt; ",kursy3[[#This Row],[Koniec]])</f>
        <v>Torun -&gt; Plock</v>
      </c>
      <c r="D283">
        <v>2939</v>
      </c>
      <c r="E283">
        <v>110</v>
      </c>
      <c r="F283" s="3">
        <v>279</v>
      </c>
      <c r="G283" s="3">
        <f>kursy3[[#This Row],[Cena]]/kursy3[[#This Row],[Odleglosc]]</f>
        <v>2.5363636363636362</v>
      </c>
    </row>
    <row r="284" spans="1:7" x14ac:dyDescent="0.25">
      <c r="A284" s="2" t="s">
        <v>8</v>
      </c>
      <c r="B284" s="2" t="s">
        <v>20</v>
      </c>
      <c r="C284" s="2" t="str">
        <f>_xlfn.CONCAT(kursy3[[#This Row],[Poczatek]]," -&gt; ",kursy3[[#This Row],[Koniec]])</f>
        <v>Plock -&gt; Konin</v>
      </c>
      <c r="D284">
        <v>4981</v>
      </c>
      <c r="E284">
        <v>138</v>
      </c>
      <c r="F284" s="3">
        <v>455</v>
      </c>
      <c r="G284" s="3">
        <f>kursy3[[#This Row],[Cena]]/kursy3[[#This Row],[Odleglosc]]</f>
        <v>3.2971014492753623</v>
      </c>
    </row>
    <row r="285" spans="1:7" x14ac:dyDescent="0.25">
      <c r="A285" s="2" t="s">
        <v>20</v>
      </c>
      <c r="B285" s="2" t="s">
        <v>60</v>
      </c>
      <c r="C285" s="2" t="str">
        <f>_xlfn.CONCAT(kursy3[[#This Row],[Poczatek]]," -&gt; ",kursy3[[#This Row],[Koniec]])</f>
        <v>Konin -&gt; Lodz</v>
      </c>
      <c r="D285">
        <v>3436</v>
      </c>
      <c r="E285">
        <v>114</v>
      </c>
      <c r="F285" s="3">
        <v>370</v>
      </c>
      <c r="G285" s="3">
        <f>kursy3[[#This Row],[Cena]]/kursy3[[#This Row],[Odleglosc]]</f>
        <v>3.2456140350877192</v>
      </c>
    </row>
    <row r="286" spans="1:7" x14ac:dyDescent="0.25">
      <c r="A286" s="2" t="s">
        <v>60</v>
      </c>
      <c r="B286" s="2" t="s">
        <v>47</v>
      </c>
      <c r="C286" s="2" t="str">
        <f>_xlfn.CONCAT(kursy3[[#This Row],[Poczatek]]," -&gt; ",kursy3[[#This Row],[Koniec]])</f>
        <v>Lodz -&gt; Kielce</v>
      </c>
      <c r="D286">
        <v>2342</v>
      </c>
      <c r="E286">
        <v>141</v>
      </c>
      <c r="F286" s="3">
        <v>319</v>
      </c>
      <c r="G286" s="3">
        <f>kursy3[[#This Row],[Cena]]/kursy3[[#This Row],[Odleglosc]]</f>
        <v>2.2624113475177303</v>
      </c>
    </row>
    <row r="287" spans="1:7" x14ac:dyDescent="0.25">
      <c r="A287" s="2" t="s">
        <v>47</v>
      </c>
      <c r="B287" s="2" t="s">
        <v>54</v>
      </c>
      <c r="C287" s="2" t="str">
        <f>_xlfn.CONCAT(kursy3[[#This Row],[Poczatek]]," -&gt; ",kursy3[[#This Row],[Koniec]])</f>
        <v>Kielce -&gt; Krakow</v>
      </c>
      <c r="D287">
        <v>1981</v>
      </c>
      <c r="E287">
        <v>126</v>
      </c>
      <c r="F287" s="3">
        <v>396</v>
      </c>
      <c r="G287" s="3">
        <f>kursy3[[#This Row],[Cena]]/kursy3[[#This Row],[Odleglosc]]</f>
        <v>3.1428571428571428</v>
      </c>
    </row>
    <row r="288" spans="1:7" x14ac:dyDescent="0.25">
      <c r="A288" s="2" t="s">
        <v>54</v>
      </c>
      <c r="B288" s="2" t="s">
        <v>49</v>
      </c>
      <c r="C288" s="2" t="str">
        <f>_xlfn.CONCAT(kursy3[[#This Row],[Poczatek]]," -&gt; ",kursy3[[#This Row],[Koniec]])</f>
        <v>Krakow -&gt; Cieszyn</v>
      </c>
      <c r="D288">
        <v>5238</v>
      </c>
      <c r="E288">
        <v>131</v>
      </c>
      <c r="F288" s="3">
        <v>158</v>
      </c>
      <c r="G288" s="3">
        <f>kursy3[[#This Row],[Cena]]/kursy3[[#This Row],[Odleglosc]]</f>
        <v>1.2061068702290076</v>
      </c>
    </row>
    <row r="289" spans="1:7" x14ac:dyDescent="0.25">
      <c r="A289" s="2" t="s">
        <v>49</v>
      </c>
      <c r="B289" s="2" t="s">
        <v>37</v>
      </c>
      <c r="C289" s="2" t="str">
        <f>_xlfn.CONCAT(kursy3[[#This Row],[Poczatek]]," -&gt; ",kursy3[[#This Row],[Koniec]])</f>
        <v>Cieszyn -&gt; Opole</v>
      </c>
      <c r="D289">
        <v>2823</v>
      </c>
      <c r="E289">
        <v>156</v>
      </c>
      <c r="F289" s="3">
        <v>280</v>
      </c>
      <c r="G289" s="3">
        <f>kursy3[[#This Row],[Cena]]/kursy3[[#This Row],[Odleglosc]]</f>
        <v>1.7948717948717949</v>
      </c>
    </row>
    <row r="290" spans="1:7" x14ac:dyDescent="0.25">
      <c r="A290" s="2" t="s">
        <v>37</v>
      </c>
      <c r="B290" s="2" t="s">
        <v>38</v>
      </c>
      <c r="C290" s="2" t="str">
        <f>_xlfn.CONCAT(kursy3[[#This Row],[Poczatek]]," -&gt; ",kursy3[[#This Row],[Koniec]])</f>
        <v>Opole -&gt; Bielsko-Biala</v>
      </c>
      <c r="D290">
        <v>1173</v>
      </c>
      <c r="E290">
        <v>139</v>
      </c>
      <c r="F290" s="3">
        <v>475</v>
      </c>
      <c r="G290" s="3">
        <f>kursy3[[#This Row],[Cena]]/kursy3[[#This Row],[Odleglosc]]</f>
        <v>3.4172661870503598</v>
      </c>
    </row>
    <row r="291" spans="1:7" x14ac:dyDescent="0.25">
      <c r="A291" s="2" t="s">
        <v>38</v>
      </c>
      <c r="B291" s="2" t="s">
        <v>39</v>
      </c>
      <c r="C291" s="2" t="str">
        <f>_xlfn.CONCAT(kursy3[[#This Row],[Poczatek]]," -&gt; ",kursy3[[#This Row],[Koniec]])</f>
        <v>Bielsko-Biala -&gt; Zakopane</v>
      </c>
      <c r="D291">
        <v>1465</v>
      </c>
      <c r="E291">
        <v>121</v>
      </c>
      <c r="F291" s="3">
        <v>193</v>
      </c>
      <c r="G291" s="3">
        <f>kursy3[[#This Row],[Cena]]/kursy3[[#This Row],[Odleglosc]]</f>
        <v>1.5950413223140496</v>
      </c>
    </row>
    <row r="292" spans="1:7" x14ac:dyDescent="0.25">
      <c r="A292" s="2" t="s">
        <v>39</v>
      </c>
      <c r="B292" s="2" t="s">
        <v>18</v>
      </c>
      <c r="C292" s="2" t="str">
        <f>_xlfn.CONCAT(kursy3[[#This Row],[Poczatek]]," -&gt; ",kursy3[[#This Row],[Koniec]])</f>
        <v>Zakopane -&gt; Katowice</v>
      </c>
      <c r="D292">
        <v>1572</v>
      </c>
      <c r="E292">
        <v>159</v>
      </c>
      <c r="F292" s="3">
        <v>476</v>
      </c>
      <c r="G292" s="3">
        <f>kursy3[[#This Row],[Cena]]/kursy3[[#This Row],[Odleglosc]]</f>
        <v>2.9937106918238992</v>
      </c>
    </row>
    <row r="293" spans="1:7" x14ac:dyDescent="0.25">
      <c r="A293" s="2" t="s">
        <v>18</v>
      </c>
      <c r="B293" s="2" t="s">
        <v>39</v>
      </c>
      <c r="C293" s="2" t="str">
        <f>_xlfn.CONCAT(kursy3[[#This Row],[Poczatek]]," -&gt; ",kursy3[[#This Row],[Koniec]])</f>
        <v>Katowice -&gt; Zakopane</v>
      </c>
      <c r="D293">
        <v>4084</v>
      </c>
      <c r="E293">
        <v>160</v>
      </c>
      <c r="F293" s="3">
        <v>338</v>
      </c>
      <c r="G293" s="3">
        <f>kursy3[[#This Row],[Cena]]/kursy3[[#This Row],[Odleglosc]]</f>
        <v>2.1124999999999998</v>
      </c>
    </row>
    <row r="294" spans="1:7" x14ac:dyDescent="0.25">
      <c r="A294" s="2" t="s">
        <v>15</v>
      </c>
      <c r="B294" s="2" t="s">
        <v>23</v>
      </c>
      <c r="C294" s="2" t="str">
        <f>_xlfn.CONCAT(kursy3[[#This Row],[Poczatek]]," -&gt; ",kursy3[[#This Row],[Koniec]])</f>
        <v>Gubin -&gt; Szczecin</v>
      </c>
      <c r="D294">
        <v>4635</v>
      </c>
      <c r="E294">
        <v>163</v>
      </c>
      <c r="F294" s="3">
        <v>359</v>
      </c>
      <c r="G294" s="3">
        <f>kursy3[[#This Row],[Cena]]/kursy3[[#This Row],[Odleglosc]]</f>
        <v>2.2024539877300615</v>
      </c>
    </row>
    <row r="295" spans="1:7" x14ac:dyDescent="0.25">
      <c r="A295" s="2" t="s">
        <v>30</v>
      </c>
      <c r="B295" s="2" t="s">
        <v>72</v>
      </c>
      <c r="C295" s="2" t="str">
        <f>_xlfn.CONCAT(kursy3[[#This Row],[Poczatek]]," -&gt; ",kursy3[[#This Row],[Koniec]])</f>
        <v>Gdansk -&gt; Bezledy</v>
      </c>
      <c r="D295">
        <v>3705</v>
      </c>
      <c r="E295">
        <v>182</v>
      </c>
      <c r="F295" s="3">
        <v>760</v>
      </c>
      <c r="G295" s="3">
        <f>kursy3[[#This Row],[Cena]]/kursy3[[#This Row],[Odleglosc]]</f>
        <v>4.1758241758241761</v>
      </c>
    </row>
    <row r="296" spans="1:7" x14ac:dyDescent="0.25">
      <c r="A296" s="2" t="s">
        <v>6</v>
      </c>
      <c r="B296" s="2" t="s">
        <v>38</v>
      </c>
      <c r="C296" s="2" t="str">
        <f>_xlfn.CONCAT(kursy3[[#This Row],[Poczatek]]," -&gt; ",kursy3[[#This Row],[Koniec]])</f>
        <v>Olsztyn -&gt; Bielsko-Biala</v>
      </c>
      <c r="D296">
        <v>5624</v>
      </c>
      <c r="E296">
        <v>541</v>
      </c>
      <c r="F296" s="3">
        <v>1198</v>
      </c>
      <c r="G296" s="3">
        <f>kursy3[[#This Row],[Cena]]/kursy3[[#This Row],[Odleglosc]]</f>
        <v>2.2144177449168208</v>
      </c>
    </row>
    <row r="297" spans="1:7" x14ac:dyDescent="0.25">
      <c r="A297" s="2" t="s">
        <v>38</v>
      </c>
      <c r="B297" s="2" t="s">
        <v>37</v>
      </c>
      <c r="C297" s="2" t="str">
        <f>_xlfn.CONCAT(kursy3[[#This Row],[Poczatek]]," -&gt; ",kursy3[[#This Row],[Koniec]])</f>
        <v>Bielsko-Biala -&gt; Opole</v>
      </c>
      <c r="D297">
        <v>4157</v>
      </c>
      <c r="E297">
        <v>151</v>
      </c>
      <c r="F297" s="3">
        <v>168</v>
      </c>
      <c r="G297" s="3">
        <f>kursy3[[#This Row],[Cena]]/kursy3[[#This Row],[Odleglosc]]</f>
        <v>1.1125827814569536</v>
      </c>
    </row>
    <row r="298" spans="1:7" x14ac:dyDescent="0.25">
      <c r="A298" s="2" t="s">
        <v>37</v>
      </c>
      <c r="B298" s="2" t="s">
        <v>43</v>
      </c>
      <c r="C298" s="2" t="str">
        <f>_xlfn.CONCAT(kursy3[[#This Row],[Poczatek]]," -&gt; ",kursy3[[#This Row],[Koniec]])</f>
        <v>Opole -&gt; Walbrzych</v>
      </c>
      <c r="D298">
        <v>3021</v>
      </c>
      <c r="E298">
        <v>137</v>
      </c>
      <c r="F298" s="3">
        <v>323</v>
      </c>
      <c r="G298" s="3">
        <f>kursy3[[#This Row],[Cena]]/kursy3[[#This Row],[Odleglosc]]</f>
        <v>2.3576642335766422</v>
      </c>
    </row>
    <row r="299" spans="1:7" x14ac:dyDescent="0.25">
      <c r="A299" s="2" t="s">
        <v>43</v>
      </c>
      <c r="B299" s="2" t="s">
        <v>52</v>
      </c>
      <c r="C299" s="2" t="str">
        <f>_xlfn.CONCAT(kursy3[[#This Row],[Poczatek]]," -&gt; ",kursy3[[#This Row],[Koniec]])</f>
        <v>Walbrzych -&gt; Zgorzelec</v>
      </c>
      <c r="D299">
        <v>3573</v>
      </c>
      <c r="E299">
        <v>149</v>
      </c>
      <c r="F299" s="3">
        <v>341</v>
      </c>
      <c r="G299" s="3">
        <f>kursy3[[#This Row],[Cena]]/kursy3[[#This Row],[Odleglosc]]</f>
        <v>2.2885906040268456</v>
      </c>
    </row>
    <row r="300" spans="1:7" x14ac:dyDescent="0.25">
      <c r="A300" s="2" t="s">
        <v>52</v>
      </c>
      <c r="B300" s="2" t="s">
        <v>15</v>
      </c>
      <c r="C300" s="2" t="str">
        <f>_xlfn.CONCAT(kursy3[[#This Row],[Poczatek]]," -&gt; ",kursy3[[#This Row],[Koniec]])</f>
        <v>Zgorzelec -&gt; Gubin</v>
      </c>
      <c r="D300">
        <v>4748</v>
      </c>
      <c r="E300">
        <v>152</v>
      </c>
      <c r="F300" s="3">
        <v>491</v>
      </c>
      <c r="G300" s="3">
        <f>kursy3[[#This Row],[Cena]]/kursy3[[#This Row],[Odleglosc]]</f>
        <v>3.2302631578947367</v>
      </c>
    </row>
    <row r="301" spans="1:7" x14ac:dyDescent="0.25">
      <c r="A301" s="2" t="s">
        <v>12</v>
      </c>
      <c r="B301" s="2" t="s">
        <v>6</v>
      </c>
      <c r="C301" s="2" t="str">
        <f>_xlfn.CONCAT(kursy3[[#This Row],[Poczatek]]," -&gt; ",kursy3[[#This Row],[Koniec]])</f>
        <v>Ciechanow -&gt; Olsztyn</v>
      </c>
      <c r="D301">
        <v>2293</v>
      </c>
      <c r="E301">
        <v>126</v>
      </c>
      <c r="F301" s="3">
        <v>219</v>
      </c>
      <c r="G301" s="3">
        <f>kursy3[[#This Row],[Cena]]/kursy3[[#This Row],[Odleglosc]]</f>
        <v>1.7380952380952381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EA17-DB34-46D0-AE38-B3283C23F171}">
  <dimension ref="A1:F233"/>
  <sheetViews>
    <sheetView workbookViewId="0">
      <selection activeCell="H25" sqref="H24:H25"/>
    </sheetView>
  </sheetViews>
  <sheetFormatPr defaultRowHeight="15" x14ac:dyDescent="0.25"/>
  <cols>
    <col min="1" max="1" width="35.7109375" bestFit="1" customWidth="1"/>
    <col min="2" max="2" width="17.28515625" style="3" customWidth="1"/>
    <col min="5" max="5" width="22.5703125" customWidth="1"/>
    <col min="6" max="6" width="12.28515625" customWidth="1"/>
  </cols>
  <sheetData>
    <row r="1" spans="1:6" x14ac:dyDescent="0.25">
      <c r="B1"/>
    </row>
    <row r="2" spans="1:6" x14ac:dyDescent="0.25">
      <c r="B2"/>
    </row>
    <row r="3" spans="1:6" x14ac:dyDescent="0.25">
      <c r="A3" s="7" t="s">
        <v>82</v>
      </c>
      <c r="B3" t="s">
        <v>84</v>
      </c>
    </row>
    <row r="4" spans="1:6" x14ac:dyDescent="0.25">
      <c r="A4" s="8" t="s">
        <v>86</v>
      </c>
      <c r="B4" s="3">
        <v>1107</v>
      </c>
      <c r="D4" t="s">
        <v>315</v>
      </c>
      <c r="E4" t="s">
        <v>76</v>
      </c>
      <c r="F4" t="s">
        <v>77</v>
      </c>
    </row>
    <row r="5" spans="1:6" x14ac:dyDescent="0.25">
      <c r="A5" s="8" t="s">
        <v>87</v>
      </c>
      <c r="B5" s="3">
        <v>254</v>
      </c>
      <c r="E5" s="3">
        <f>MAX(B4:B232)</f>
        <v>3034</v>
      </c>
      <c r="F5">
        <f>MATCH(E5,B4:B232,0)</f>
        <v>53</v>
      </c>
    </row>
    <row r="6" spans="1:6" x14ac:dyDescent="0.25">
      <c r="A6" s="8" t="s">
        <v>88</v>
      </c>
      <c r="B6" s="3">
        <v>899</v>
      </c>
    </row>
    <row r="7" spans="1:6" x14ac:dyDescent="0.25">
      <c r="A7" s="8" t="s">
        <v>89</v>
      </c>
      <c r="B7" s="3">
        <v>692</v>
      </c>
    </row>
    <row r="8" spans="1:6" x14ac:dyDescent="0.25">
      <c r="A8" s="8" t="s">
        <v>90</v>
      </c>
      <c r="B8" s="3">
        <v>585</v>
      </c>
      <c r="D8" s="4" t="s">
        <v>316</v>
      </c>
      <c r="E8" s="5" t="s">
        <v>317</v>
      </c>
      <c r="F8" s="5" t="s">
        <v>318</v>
      </c>
    </row>
    <row r="9" spans="1:6" x14ac:dyDescent="0.25">
      <c r="A9" s="8" t="s">
        <v>91</v>
      </c>
      <c r="B9" s="3">
        <v>280</v>
      </c>
      <c r="E9" s="5" t="str">
        <f ca="1">INDIRECT("A"&amp;(F5+3))</f>
        <v>Gubin -&gt; Warszawa</v>
      </c>
      <c r="F9" s="6">
        <f>$E$5</f>
        <v>3034</v>
      </c>
    </row>
    <row r="10" spans="1:6" x14ac:dyDescent="0.25">
      <c r="A10" s="8" t="s">
        <v>92</v>
      </c>
      <c r="B10" s="3">
        <v>1446</v>
      </c>
      <c r="E10" s="5"/>
      <c r="F10" s="5"/>
    </row>
    <row r="11" spans="1:6" x14ac:dyDescent="0.25">
      <c r="A11" s="8" t="s">
        <v>93</v>
      </c>
      <c r="B11" s="3">
        <v>499</v>
      </c>
    </row>
    <row r="12" spans="1:6" x14ac:dyDescent="0.25">
      <c r="A12" s="8" t="s">
        <v>94</v>
      </c>
      <c r="B12" s="3">
        <v>254</v>
      </c>
    </row>
    <row r="13" spans="1:6" x14ac:dyDescent="0.25">
      <c r="A13" s="8" t="s">
        <v>95</v>
      </c>
      <c r="B13" s="3">
        <v>435</v>
      </c>
    </row>
    <row r="14" spans="1:6" x14ac:dyDescent="0.25">
      <c r="A14" s="8" t="s">
        <v>96</v>
      </c>
      <c r="B14" s="3">
        <v>430</v>
      </c>
    </row>
    <row r="15" spans="1:6" x14ac:dyDescent="0.25">
      <c r="A15" s="8" t="s">
        <v>97</v>
      </c>
      <c r="B15" s="3">
        <v>54</v>
      </c>
    </row>
    <row r="16" spans="1:6" x14ac:dyDescent="0.25">
      <c r="A16" s="8" t="s">
        <v>98</v>
      </c>
      <c r="B16" s="3">
        <v>375</v>
      </c>
    </row>
    <row r="17" spans="1:2" x14ac:dyDescent="0.25">
      <c r="A17" s="8" t="s">
        <v>99</v>
      </c>
      <c r="B17" s="3">
        <v>168</v>
      </c>
    </row>
    <row r="18" spans="1:2" x14ac:dyDescent="0.25">
      <c r="A18" s="8" t="s">
        <v>100</v>
      </c>
      <c r="B18" s="3">
        <v>1436</v>
      </c>
    </row>
    <row r="19" spans="1:2" x14ac:dyDescent="0.25">
      <c r="A19" s="8" t="s">
        <v>101</v>
      </c>
      <c r="B19" s="3">
        <v>639</v>
      </c>
    </row>
    <row r="20" spans="1:2" x14ac:dyDescent="0.25">
      <c r="A20" s="8" t="s">
        <v>102</v>
      </c>
      <c r="B20" s="3">
        <v>634</v>
      </c>
    </row>
    <row r="21" spans="1:2" x14ac:dyDescent="0.25">
      <c r="A21" s="8" t="s">
        <v>103</v>
      </c>
      <c r="B21" s="3">
        <v>207</v>
      </c>
    </row>
    <row r="22" spans="1:2" x14ac:dyDescent="0.25">
      <c r="A22" s="8" t="s">
        <v>104</v>
      </c>
      <c r="B22" s="3">
        <v>450</v>
      </c>
    </row>
    <row r="23" spans="1:2" x14ac:dyDescent="0.25">
      <c r="A23" s="8" t="s">
        <v>105</v>
      </c>
      <c r="B23" s="3">
        <v>569</v>
      </c>
    </row>
    <row r="24" spans="1:2" x14ac:dyDescent="0.25">
      <c r="A24" s="8" t="s">
        <v>106</v>
      </c>
      <c r="B24" s="3">
        <v>832</v>
      </c>
    </row>
    <row r="25" spans="1:2" x14ac:dyDescent="0.25">
      <c r="A25" s="8" t="s">
        <v>107</v>
      </c>
      <c r="B25" s="3">
        <v>873</v>
      </c>
    </row>
    <row r="26" spans="1:2" x14ac:dyDescent="0.25">
      <c r="A26" s="8" t="s">
        <v>108</v>
      </c>
      <c r="B26" s="3">
        <v>522</v>
      </c>
    </row>
    <row r="27" spans="1:2" x14ac:dyDescent="0.25">
      <c r="A27" s="8" t="s">
        <v>109</v>
      </c>
      <c r="B27" s="3">
        <v>494</v>
      </c>
    </row>
    <row r="28" spans="1:2" x14ac:dyDescent="0.25">
      <c r="A28" s="8" t="s">
        <v>110</v>
      </c>
      <c r="B28" s="3">
        <v>354</v>
      </c>
    </row>
    <row r="29" spans="1:2" x14ac:dyDescent="0.25">
      <c r="A29" s="8" t="s">
        <v>111</v>
      </c>
      <c r="B29" s="3">
        <v>160</v>
      </c>
    </row>
    <row r="30" spans="1:2" x14ac:dyDescent="0.25">
      <c r="A30" s="8" t="s">
        <v>112</v>
      </c>
      <c r="B30" s="3">
        <v>898</v>
      </c>
    </row>
    <row r="31" spans="1:2" x14ac:dyDescent="0.25">
      <c r="A31" s="8" t="s">
        <v>113</v>
      </c>
      <c r="B31" s="3">
        <v>163</v>
      </c>
    </row>
    <row r="32" spans="1:2" x14ac:dyDescent="0.25">
      <c r="A32" s="8" t="s">
        <v>114</v>
      </c>
      <c r="B32" s="3">
        <v>572</v>
      </c>
    </row>
    <row r="33" spans="1:2" x14ac:dyDescent="0.25">
      <c r="A33" s="8" t="s">
        <v>115</v>
      </c>
      <c r="B33" s="3">
        <v>279</v>
      </c>
    </row>
    <row r="34" spans="1:2" x14ac:dyDescent="0.25">
      <c r="A34" s="8" t="s">
        <v>116</v>
      </c>
      <c r="B34" s="3">
        <v>345</v>
      </c>
    </row>
    <row r="35" spans="1:2" x14ac:dyDescent="0.25">
      <c r="A35" s="8" t="s">
        <v>117</v>
      </c>
      <c r="B35" s="3">
        <v>581</v>
      </c>
    </row>
    <row r="36" spans="1:2" x14ac:dyDescent="0.25">
      <c r="A36" s="8" t="s">
        <v>118</v>
      </c>
      <c r="B36" s="3">
        <v>150</v>
      </c>
    </row>
    <row r="37" spans="1:2" x14ac:dyDescent="0.25">
      <c r="A37" s="8" t="s">
        <v>119</v>
      </c>
      <c r="B37" s="3">
        <v>245</v>
      </c>
    </row>
    <row r="38" spans="1:2" x14ac:dyDescent="0.25">
      <c r="A38" s="8" t="s">
        <v>120</v>
      </c>
      <c r="B38" s="3">
        <v>308</v>
      </c>
    </row>
    <row r="39" spans="1:2" x14ac:dyDescent="0.25">
      <c r="A39" s="8" t="s">
        <v>121</v>
      </c>
      <c r="B39" s="3">
        <v>280</v>
      </c>
    </row>
    <row r="40" spans="1:2" x14ac:dyDescent="0.25">
      <c r="A40" s="8" t="s">
        <v>122</v>
      </c>
      <c r="B40" s="3">
        <v>224</v>
      </c>
    </row>
    <row r="41" spans="1:2" x14ac:dyDescent="0.25">
      <c r="A41" s="8" t="s">
        <v>123</v>
      </c>
      <c r="B41" s="3">
        <v>400</v>
      </c>
    </row>
    <row r="42" spans="1:2" x14ac:dyDescent="0.25">
      <c r="A42" s="8" t="s">
        <v>124</v>
      </c>
      <c r="B42" s="3">
        <v>1406</v>
      </c>
    </row>
    <row r="43" spans="1:2" x14ac:dyDescent="0.25">
      <c r="A43" s="8" t="s">
        <v>125</v>
      </c>
      <c r="B43" s="3">
        <v>518</v>
      </c>
    </row>
    <row r="44" spans="1:2" x14ac:dyDescent="0.25">
      <c r="A44" s="8" t="s">
        <v>126</v>
      </c>
      <c r="B44" s="3">
        <v>760</v>
      </c>
    </row>
    <row r="45" spans="1:2" x14ac:dyDescent="0.25">
      <c r="A45" s="8" t="s">
        <v>127</v>
      </c>
      <c r="B45" s="3">
        <v>656</v>
      </c>
    </row>
    <row r="46" spans="1:2" x14ac:dyDescent="0.25">
      <c r="A46" s="8" t="s">
        <v>128</v>
      </c>
      <c r="B46" s="3">
        <v>213</v>
      </c>
    </row>
    <row r="47" spans="1:2" x14ac:dyDescent="0.25">
      <c r="A47" s="8" t="s">
        <v>129</v>
      </c>
      <c r="B47" s="3">
        <v>270</v>
      </c>
    </row>
    <row r="48" spans="1:2" x14ac:dyDescent="0.25">
      <c r="A48" s="8" t="s">
        <v>130</v>
      </c>
      <c r="B48" s="3">
        <v>406</v>
      </c>
    </row>
    <row r="49" spans="1:2" x14ac:dyDescent="0.25">
      <c r="A49" s="8" t="s">
        <v>131</v>
      </c>
      <c r="B49" s="3">
        <v>450</v>
      </c>
    </row>
    <row r="50" spans="1:2" x14ac:dyDescent="0.25">
      <c r="A50" s="8" t="s">
        <v>132</v>
      </c>
      <c r="B50" s="3">
        <v>182</v>
      </c>
    </row>
    <row r="51" spans="1:2" x14ac:dyDescent="0.25">
      <c r="A51" s="8" t="s">
        <v>133</v>
      </c>
      <c r="B51" s="3">
        <v>924</v>
      </c>
    </row>
    <row r="52" spans="1:2" x14ac:dyDescent="0.25">
      <c r="A52" s="8" t="s">
        <v>134</v>
      </c>
      <c r="B52" s="3">
        <v>367</v>
      </c>
    </row>
    <row r="53" spans="1:2" x14ac:dyDescent="0.25">
      <c r="A53" s="8" t="s">
        <v>135</v>
      </c>
      <c r="B53" s="3">
        <v>811</v>
      </c>
    </row>
    <row r="54" spans="1:2" x14ac:dyDescent="0.25">
      <c r="A54" s="8" t="s">
        <v>136</v>
      </c>
      <c r="B54" s="3">
        <v>247</v>
      </c>
    </row>
    <row r="55" spans="1:2" x14ac:dyDescent="0.25">
      <c r="A55" s="8" t="s">
        <v>137</v>
      </c>
      <c r="B55" s="3">
        <v>632</v>
      </c>
    </row>
    <row r="56" spans="1:2" x14ac:dyDescent="0.25">
      <c r="A56" s="8" t="s">
        <v>138</v>
      </c>
      <c r="B56" s="3">
        <v>3034</v>
      </c>
    </row>
    <row r="57" spans="1:2" x14ac:dyDescent="0.25">
      <c r="A57" s="8" t="s">
        <v>139</v>
      </c>
      <c r="B57" s="3">
        <v>546</v>
      </c>
    </row>
    <row r="58" spans="1:2" x14ac:dyDescent="0.25">
      <c r="A58" s="8" t="s">
        <v>140</v>
      </c>
      <c r="B58" s="3">
        <v>567</v>
      </c>
    </row>
    <row r="59" spans="1:2" x14ac:dyDescent="0.25">
      <c r="A59" s="8" t="s">
        <v>141</v>
      </c>
      <c r="B59" s="3">
        <v>363</v>
      </c>
    </row>
    <row r="60" spans="1:2" x14ac:dyDescent="0.25">
      <c r="A60" s="8" t="s">
        <v>142</v>
      </c>
      <c r="B60" s="3">
        <v>520</v>
      </c>
    </row>
    <row r="61" spans="1:2" x14ac:dyDescent="0.25">
      <c r="A61" s="8" t="s">
        <v>143</v>
      </c>
      <c r="B61" s="3">
        <v>1235</v>
      </c>
    </row>
    <row r="62" spans="1:2" x14ac:dyDescent="0.25">
      <c r="A62" s="8" t="s">
        <v>144</v>
      </c>
      <c r="B62" s="3">
        <v>577</v>
      </c>
    </row>
    <row r="63" spans="1:2" x14ac:dyDescent="0.25">
      <c r="A63" s="8" t="s">
        <v>145</v>
      </c>
      <c r="B63" s="3">
        <v>345</v>
      </c>
    </row>
    <row r="64" spans="1:2" x14ac:dyDescent="0.25">
      <c r="A64" s="8" t="s">
        <v>146</v>
      </c>
      <c r="B64" s="3">
        <v>518</v>
      </c>
    </row>
    <row r="65" spans="1:2" x14ac:dyDescent="0.25">
      <c r="A65" s="8" t="s">
        <v>147</v>
      </c>
      <c r="B65" s="3">
        <v>284</v>
      </c>
    </row>
    <row r="66" spans="1:2" x14ac:dyDescent="0.25">
      <c r="A66" s="8" t="s">
        <v>148</v>
      </c>
      <c r="B66" s="3">
        <v>392</v>
      </c>
    </row>
    <row r="67" spans="1:2" x14ac:dyDescent="0.25">
      <c r="A67" s="8" t="s">
        <v>149</v>
      </c>
      <c r="B67" s="3">
        <v>396</v>
      </c>
    </row>
    <row r="68" spans="1:2" x14ac:dyDescent="0.25">
      <c r="A68" s="8" t="s">
        <v>150</v>
      </c>
      <c r="B68" s="3">
        <v>948</v>
      </c>
    </row>
    <row r="69" spans="1:2" x14ac:dyDescent="0.25">
      <c r="A69" s="8" t="s">
        <v>151</v>
      </c>
      <c r="B69" s="3">
        <v>699</v>
      </c>
    </row>
    <row r="70" spans="1:2" x14ac:dyDescent="0.25">
      <c r="A70" s="8" t="s">
        <v>152</v>
      </c>
      <c r="B70" s="3">
        <v>693</v>
      </c>
    </row>
    <row r="71" spans="1:2" x14ac:dyDescent="0.25">
      <c r="A71" s="8" t="s">
        <v>153</v>
      </c>
      <c r="B71" s="3">
        <v>653</v>
      </c>
    </row>
    <row r="72" spans="1:2" x14ac:dyDescent="0.25">
      <c r="A72" s="8" t="s">
        <v>154</v>
      </c>
      <c r="B72" s="3">
        <v>310</v>
      </c>
    </row>
    <row r="73" spans="1:2" x14ac:dyDescent="0.25">
      <c r="A73" s="8" t="s">
        <v>155</v>
      </c>
      <c r="B73" s="3">
        <v>767</v>
      </c>
    </row>
    <row r="74" spans="1:2" x14ac:dyDescent="0.25">
      <c r="A74" s="8" t="s">
        <v>156</v>
      </c>
      <c r="B74" s="3">
        <v>167</v>
      </c>
    </row>
    <row r="75" spans="1:2" x14ac:dyDescent="0.25">
      <c r="A75" s="8" t="s">
        <v>157</v>
      </c>
      <c r="B75" s="3">
        <v>525</v>
      </c>
    </row>
    <row r="76" spans="1:2" x14ac:dyDescent="0.25">
      <c r="A76" s="8" t="s">
        <v>158</v>
      </c>
      <c r="B76" s="3">
        <v>68</v>
      </c>
    </row>
    <row r="77" spans="1:2" x14ac:dyDescent="0.25">
      <c r="A77" s="8" t="s">
        <v>159</v>
      </c>
      <c r="B77" s="3">
        <v>374</v>
      </c>
    </row>
    <row r="78" spans="1:2" x14ac:dyDescent="0.25">
      <c r="A78" s="8" t="s">
        <v>160</v>
      </c>
      <c r="B78" s="3">
        <v>592</v>
      </c>
    </row>
    <row r="79" spans="1:2" x14ac:dyDescent="0.25">
      <c r="A79" s="8" t="s">
        <v>161</v>
      </c>
      <c r="B79" s="3">
        <v>544</v>
      </c>
    </row>
    <row r="80" spans="1:2" x14ac:dyDescent="0.25">
      <c r="A80" s="8" t="s">
        <v>162</v>
      </c>
      <c r="B80" s="3">
        <v>422</v>
      </c>
    </row>
    <row r="81" spans="1:2" x14ac:dyDescent="0.25">
      <c r="A81" s="8" t="s">
        <v>163</v>
      </c>
      <c r="B81" s="3">
        <v>507</v>
      </c>
    </row>
    <row r="82" spans="1:2" x14ac:dyDescent="0.25">
      <c r="A82" s="8" t="s">
        <v>164</v>
      </c>
      <c r="B82" s="3">
        <v>147</v>
      </c>
    </row>
    <row r="83" spans="1:2" x14ac:dyDescent="0.25">
      <c r="A83" s="8" t="s">
        <v>165</v>
      </c>
      <c r="B83" s="3">
        <v>185</v>
      </c>
    </row>
    <row r="84" spans="1:2" x14ac:dyDescent="0.25">
      <c r="A84" s="8" t="s">
        <v>166</v>
      </c>
      <c r="B84" s="3">
        <v>163</v>
      </c>
    </row>
    <row r="85" spans="1:2" x14ac:dyDescent="0.25">
      <c r="A85" s="8" t="s">
        <v>167</v>
      </c>
      <c r="B85" s="3">
        <v>513</v>
      </c>
    </row>
    <row r="86" spans="1:2" x14ac:dyDescent="0.25">
      <c r="A86" s="8" t="s">
        <v>168</v>
      </c>
      <c r="B86" s="3">
        <v>491</v>
      </c>
    </row>
    <row r="87" spans="1:2" x14ac:dyDescent="0.25">
      <c r="A87" s="8" t="s">
        <v>169</v>
      </c>
      <c r="B87" s="3">
        <v>336</v>
      </c>
    </row>
    <row r="88" spans="1:2" x14ac:dyDescent="0.25">
      <c r="A88" s="8" t="s">
        <v>170</v>
      </c>
      <c r="B88" s="3">
        <v>257</v>
      </c>
    </row>
    <row r="89" spans="1:2" x14ac:dyDescent="0.25">
      <c r="A89" s="8" t="s">
        <v>171</v>
      </c>
      <c r="B89" s="3">
        <v>379</v>
      </c>
    </row>
    <row r="90" spans="1:2" x14ac:dyDescent="0.25">
      <c r="A90" s="8" t="s">
        <v>172</v>
      </c>
      <c r="B90" s="3">
        <v>585</v>
      </c>
    </row>
    <row r="91" spans="1:2" x14ac:dyDescent="0.25">
      <c r="A91" s="8" t="s">
        <v>173</v>
      </c>
      <c r="B91" s="3">
        <v>158</v>
      </c>
    </row>
    <row r="92" spans="1:2" x14ac:dyDescent="0.25">
      <c r="A92" s="8" t="s">
        <v>174</v>
      </c>
      <c r="B92" s="3">
        <v>301</v>
      </c>
    </row>
    <row r="93" spans="1:2" x14ac:dyDescent="0.25">
      <c r="A93" s="8" t="s">
        <v>175</v>
      </c>
      <c r="B93" s="3">
        <v>501</v>
      </c>
    </row>
    <row r="94" spans="1:2" x14ac:dyDescent="0.25">
      <c r="A94" s="8" t="s">
        <v>176</v>
      </c>
      <c r="B94" s="3">
        <v>468</v>
      </c>
    </row>
    <row r="95" spans="1:2" x14ac:dyDescent="0.25">
      <c r="A95" s="8" t="s">
        <v>177</v>
      </c>
      <c r="B95" s="3">
        <v>263</v>
      </c>
    </row>
    <row r="96" spans="1:2" x14ac:dyDescent="0.25">
      <c r="A96" s="8" t="s">
        <v>178</v>
      </c>
      <c r="B96" s="3">
        <v>869</v>
      </c>
    </row>
    <row r="97" spans="1:2" x14ac:dyDescent="0.25">
      <c r="A97" s="8" t="s">
        <v>179</v>
      </c>
      <c r="B97" s="3">
        <v>845</v>
      </c>
    </row>
    <row r="98" spans="1:2" x14ac:dyDescent="0.25">
      <c r="A98" s="8" t="s">
        <v>180</v>
      </c>
      <c r="B98" s="3">
        <v>646</v>
      </c>
    </row>
    <row r="99" spans="1:2" x14ac:dyDescent="0.25">
      <c r="A99" s="8" t="s">
        <v>181</v>
      </c>
      <c r="B99" s="3">
        <v>376</v>
      </c>
    </row>
    <row r="100" spans="1:2" x14ac:dyDescent="0.25">
      <c r="A100" s="8" t="s">
        <v>182</v>
      </c>
      <c r="B100" s="3">
        <v>562</v>
      </c>
    </row>
    <row r="101" spans="1:2" x14ac:dyDescent="0.25">
      <c r="A101" s="8" t="s">
        <v>183</v>
      </c>
      <c r="B101" s="3">
        <v>542</v>
      </c>
    </row>
    <row r="102" spans="1:2" x14ac:dyDescent="0.25">
      <c r="A102" s="8" t="s">
        <v>184</v>
      </c>
      <c r="B102" s="3">
        <v>315</v>
      </c>
    </row>
    <row r="103" spans="1:2" x14ac:dyDescent="0.25">
      <c r="A103" s="8" t="s">
        <v>185</v>
      </c>
      <c r="B103" s="3">
        <v>254</v>
      </c>
    </row>
    <row r="104" spans="1:2" x14ac:dyDescent="0.25">
      <c r="A104" s="8" t="s">
        <v>186</v>
      </c>
      <c r="B104" s="3">
        <v>670</v>
      </c>
    </row>
    <row r="105" spans="1:2" x14ac:dyDescent="0.25">
      <c r="A105" s="8" t="s">
        <v>187</v>
      </c>
      <c r="B105" s="3">
        <v>218</v>
      </c>
    </row>
    <row r="106" spans="1:2" x14ac:dyDescent="0.25">
      <c r="A106" s="8" t="s">
        <v>188</v>
      </c>
      <c r="B106" s="3">
        <v>1070</v>
      </c>
    </row>
    <row r="107" spans="1:2" x14ac:dyDescent="0.25">
      <c r="A107" s="8" t="s">
        <v>189</v>
      </c>
      <c r="B107" s="3">
        <v>162</v>
      </c>
    </row>
    <row r="108" spans="1:2" x14ac:dyDescent="0.25">
      <c r="A108" s="8" t="s">
        <v>190</v>
      </c>
      <c r="B108" s="3">
        <v>382</v>
      </c>
    </row>
    <row r="109" spans="1:2" x14ac:dyDescent="0.25">
      <c r="A109" s="8" t="s">
        <v>191</v>
      </c>
      <c r="B109" s="3">
        <v>1622</v>
      </c>
    </row>
    <row r="110" spans="1:2" x14ac:dyDescent="0.25">
      <c r="A110" s="8" t="s">
        <v>192</v>
      </c>
      <c r="B110" s="3">
        <v>592</v>
      </c>
    </row>
    <row r="111" spans="1:2" x14ac:dyDescent="0.25">
      <c r="A111" s="8" t="s">
        <v>193</v>
      </c>
      <c r="B111" s="3">
        <v>382</v>
      </c>
    </row>
    <row r="112" spans="1:2" x14ac:dyDescent="0.25">
      <c r="A112" s="8" t="s">
        <v>194</v>
      </c>
      <c r="B112" s="3">
        <v>1016</v>
      </c>
    </row>
    <row r="113" spans="1:2" x14ac:dyDescent="0.25">
      <c r="A113" s="8" t="s">
        <v>195</v>
      </c>
      <c r="B113" s="3">
        <v>135</v>
      </c>
    </row>
    <row r="114" spans="1:2" x14ac:dyDescent="0.25">
      <c r="A114" s="8" t="s">
        <v>196</v>
      </c>
      <c r="B114" s="3">
        <v>501</v>
      </c>
    </row>
    <row r="115" spans="1:2" x14ac:dyDescent="0.25">
      <c r="A115" s="8" t="s">
        <v>197</v>
      </c>
      <c r="B115" s="3">
        <v>1891</v>
      </c>
    </row>
    <row r="116" spans="1:2" x14ac:dyDescent="0.25">
      <c r="A116" s="8" t="s">
        <v>198</v>
      </c>
      <c r="B116" s="3">
        <v>365</v>
      </c>
    </row>
    <row r="117" spans="1:2" x14ac:dyDescent="0.25">
      <c r="A117" s="8" t="s">
        <v>199</v>
      </c>
      <c r="B117" s="3">
        <v>1408</v>
      </c>
    </row>
    <row r="118" spans="1:2" x14ac:dyDescent="0.25">
      <c r="A118" s="8" t="s">
        <v>200</v>
      </c>
      <c r="B118" s="3">
        <v>276</v>
      </c>
    </row>
    <row r="119" spans="1:2" x14ac:dyDescent="0.25">
      <c r="A119" s="8" t="s">
        <v>201</v>
      </c>
      <c r="B119" s="3">
        <v>1198</v>
      </c>
    </row>
    <row r="120" spans="1:2" x14ac:dyDescent="0.25">
      <c r="A120" s="8" t="s">
        <v>202</v>
      </c>
      <c r="B120" s="3">
        <v>704</v>
      </c>
    </row>
    <row r="121" spans="1:2" x14ac:dyDescent="0.25">
      <c r="A121" s="8" t="s">
        <v>203</v>
      </c>
      <c r="B121" s="3">
        <v>550</v>
      </c>
    </row>
    <row r="122" spans="1:2" x14ac:dyDescent="0.25">
      <c r="A122" s="8" t="s">
        <v>204</v>
      </c>
      <c r="B122" s="3">
        <v>861</v>
      </c>
    </row>
    <row r="123" spans="1:2" x14ac:dyDescent="0.25">
      <c r="A123" s="8" t="s">
        <v>205</v>
      </c>
      <c r="B123" s="3">
        <v>174</v>
      </c>
    </row>
    <row r="124" spans="1:2" x14ac:dyDescent="0.25">
      <c r="A124" s="8" t="s">
        <v>206</v>
      </c>
      <c r="B124" s="3">
        <v>407</v>
      </c>
    </row>
    <row r="125" spans="1:2" x14ac:dyDescent="0.25">
      <c r="A125" s="8" t="s">
        <v>207</v>
      </c>
      <c r="B125" s="3">
        <v>997</v>
      </c>
    </row>
    <row r="126" spans="1:2" x14ac:dyDescent="0.25">
      <c r="A126" s="8" t="s">
        <v>208</v>
      </c>
      <c r="B126" s="3">
        <v>674</v>
      </c>
    </row>
    <row r="127" spans="1:2" x14ac:dyDescent="0.25">
      <c r="A127" s="8" t="s">
        <v>209</v>
      </c>
      <c r="B127" s="3">
        <v>115</v>
      </c>
    </row>
    <row r="128" spans="1:2" x14ac:dyDescent="0.25">
      <c r="A128" s="8" t="s">
        <v>210</v>
      </c>
      <c r="B128" s="3">
        <v>1017</v>
      </c>
    </row>
    <row r="129" spans="1:2" x14ac:dyDescent="0.25">
      <c r="A129" s="8" t="s">
        <v>211</v>
      </c>
      <c r="B129" s="3">
        <v>323</v>
      </c>
    </row>
    <row r="130" spans="1:2" x14ac:dyDescent="0.25">
      <c r="A130" s="8" t="s">
        <v>212</v>
      </c>
      <c r="B130" s="3">
        <v>888</v>
      </c>
    </row>
    <row r="131" spans="1:2" x14ac:dyDescent="0.25">
      <c r="A131" s="8" t="s">
        <v>213</v>
      </c>
      <c r="B131" s="3">
        <v>811</v>
      </c>
    </row>
    <row r="132" spans="1:2" x14ac:dyDescent="0.25">
      <c r="A132" s="8" t="s">
        <v>214</v>
      </c>
      <c r="B132" s="3">
        <v>599</v>
      </c>
    </row>
    <row r="133" spans="1:2" x14ac:dyDescent="0.25">
      <c r="A133" s="8" t="s">
        <v>215</v>
      </c>
      <c r="B133" s="3">
        <v>1964</v>
      </c>
    </row>
    <row r="134" spans="1:2" x14ac:dyDescent="0.25">
      <c r="A134" s="8" t="s">
        <v>216</v>
      </c>
      <c r="B134" s="3">
        <v>258</v>
      </c>
    </row>
    <row r="135" spans="1:2" x14ac:dyDescent="0.25">
      <c r="A135" s="8" t="s">
        <v>217</v>
      </c>
      <c r="B135" s="3">
        <v>278</v>
      </c>
    </row>
    <row r="136" spans="1:2" x14ac:dyDescent="0.25">
      <c r="A136" s="8" t="s">
        <v>218</v>
      </c>
      <c r="B136" s="3">
        <v>905</v>
      </c>
    </row>
    <row r="137" spans="1:2" x14ac:dyDescent="0.25">
      <c r="A137" s="8" t="s">
        <v>219</v>
      </c>
      <c r="B137" s="3">
        <v>376</v>
      </c>
    </row>
    <row r="138" spans="1:2" x14ac:dyDescent="0.25">
      <c r="A138" s="8" t="s">
        <v>220</v>
      </c>
      <c r="B138" s="3">
        <v>548</v>
      </c>
    </row>
    <row r="139" spans="1:2" x14ac:dyDescent="0.25">
      <c r="A139" s="8" t="s">
        <v>221</v>
      </c>
      <c r="B139" s="3">
        <v>376</v>
      </c>
    </row>
    <row r="140" spans="1:2" x14ac:dyDescent="0.25">
      <c r="A140" s="8" t="s">
        <v>222</v>
      </c>
      <c r="B140" s="3">
        <v>967</v>
      </c>
    </row>
    <row r="141" spans="1:2" x14ac:dyDescent="0.25">
      <c r="A141" s="8" t="s">
        <v>223</v>
      </c>
      <c r="B141" s="3">
        <v>579</v>
      </c>
    </row>
    <row r="142" spans="1:2" x14ac:dyDescent="0.25">
      <c r="A142" s="8" t="s">
        <v>224</v>
      </c>
      <c r="B142" s="3">
        <v>644</v>
      </c>
    </row>
    <row r="143" spans="1:2" x14ac:dyDescent="0.25">
      <c r="A143" s="8" t="s">
        <v>225</v>
      </c>
      <c r="B143" s="3">
        <v>928</v>
      </c>
    </row>
    <row r="144" spans="1:2" x14ac:dyDescent="0.25">
      <c r="A144" s="8" t="s">
        <v>226</v>
      </c>
      <c r="B144" s="3">
        <v>479</v>
      </c>
    </row>
    <row r="145" spans="1:2" x14ac:dyDescent="0.25">
      <c r="A145" s="8" t="s">
        <v>227</v>
      </c>
      <c r="B145" s="3">
        <v>190</v>
      </c>
    </row>
    <row r="146" spans="1:2" x14ac:dyDescent="0.25">
      <c r="A146" s="8" t="s">
        <v>228</v>
      </c>
      <c r="B146" s="3">
        <v>464</v>
      </c>
    </row>
    <row r="147" spans="1:2" x14ac:dyDescent="0.25">
      <c r="A147" s="8" t="s">
        <v>229</v>
      </c>
      <c r="B147" s="3">
        <v>175</v>
      </c>
    </row>
    <row r="148" spans="1:2" x14ac:dyDescent="0.25">
      <c r="A148" s="8" t="s">
        <v>230</v>
      </c>
      <c r="B148" s="3">
        <v>993</v>
      </c>
    </row>
    <row r="149" spans="1:2" x14ac:dyDescent="0.25">
      <c r="A149" s="8" t="s">
        <v>231</v>
      </c>
      <c r="B149" s="3">
        <v>195</v>
      </c>
    </row>
    <row r="150" spans="1:2" x14ac:dyDescent="0.25">
      <c r="A150" s="8" t="s">
        <v>232</v>
      </c>
      <c r="B150" s="3">
        <v>833</v>
      </c>
    </row>
    <row r="151" spans="1:2" x14ac:dyDescent="0.25">
      <c r="A151" s="8" t="s">
        <v>233</v>
      </c>
      <c r="B151" s="3">
        <v>688</v>
      </c>
    </row>
    <row r="152" spans="1:2" x14ac:dyDescent="0.25">
      <c r="A152" s="8" t="s">
        <v>234</v>
      </c>
      <c r="B152" s="3">
        <v>916</v>
      </c>
    </row>
    <row r="153" spans="1:2" x14ac:dyDescent="0.25">
      <c r="A153" s="8" t="s">
        <v>235</v>
      </c>
      <c r="B153" s="3">
        <v>240</v>
      </c>
    </row>
    <row r="154" spans="1:2" x14ac:dyDescent="0.25">
      <c r="A154" s="8" t="s">
        <v>236</v>
      </c>
      <c r="B154" s="3">
        <v>221</v>
      </c>
    </row>
    <row r="155" spans="1:2" x14ac:dyDescent="0.25">
      <c r="A155" s="8" t="s">
        <v>237</v>
      </c>
      <c r="B155" s="3">
        <v>530</v>
      </c>
    </row>
    <row r="156" spans="1:2" x14ac:dyDescent="0.25">
      <c r="A156" s="8" t="s">
        <v>238</v>
      </c>
      <c r="B156" s="3">
        <v>696</v>
      </c>
    </row>
    <row r="157" spans="1:2" x14ac:dyDescent="0.25">
      <c r="A157" s="8" t="s">
        <v>239</v>
      </c>
      <c r="B157" s="3">
        <v>115</v>
      </c>
    </row>
    <row r="158" spans="1:2" x14ac:dyDescent="0.25">
      <c r="A158" s="8" t="s">
        <v>240</v>
      </c>
      <c r="B158" s="3">
        <v>438</v>
      </c>
    </row>
    <row r="159" spans="1:2" x14ac:dyDescent="0.25">
      <c r="A159" s="8" t="s">
        <v>241</v>
      </c>
      <c r="B159" s="3">
        <v>613</v>
      </c>
    </row>
    <row r="160" spans="1:2" x14ac:dyDescent="0.25">
      <c r="A160" s="8" t="s">
        <v>242</v>
      </c>
      <c r="B160" s="3">
        <v>2887</v>
      </c>
    </row>
    <row r="161" spans="1:2" x14ac:dyDescent="0.25">
      <c r="A161" s="8" t="s">
        <v>243</v>
      </c>
      <c r="B161" s="3">
        <v>717</v>
      </c>
    </row>
    <row r="162" spans="1:2" x14ac:dyDescent="0.25">
      <c r="A162" s="8" t="s">
        <v>244</v>
      </c>
      <c r="B162" s="3">
        <v>28</v>
      </c>
    </row>
    <row r="163" spans="1:2" x14ac:dyDescent="0.25">
      <c r="A163" s="8" t="s">
        <v>245</v>
      </c>
      <c r="B163" s="3">
        <v>528</v>
      </c>
    </row>
    <row r="164" spans="1:2" x14ac:dyDescent="0.25">
      <c r="A164" s="8" t="s">
        <v>246</v>
      </c>
      <c r="B164" s="3">
        <v>602</v>
      </c>
    </row>
    <row r="165" spans="1:2" x14ac:dyDescent="0.25">
      <c r="A165" s="8" t="s">
        <v>247</v>
      </c>
      <c r="B165" s="3">
        <v>552</v>
      </c>
    </row>
    <row r="166" spans="1:2" x14ac:dyDescent="0.25">
      <c r="A166" s="8" t="s">
        <v>248</v>
      </c>
      <c r="B166" s="3">
        <v>1239</v>
      </c>
    </row>
    <row r="167" spans="1:2" x14ac:dyDescent="0.25">
      <c r="A167" s="8" t="s">
        <v>249</v>
      </c>
      <c r="B167" s="3">
        <v>158</v>
      </c>
    </row>
    <row r="168" spans="1:2" x14ac:dyDescent="0.25">
      <c r="A168" s="8" t="s">
        <v>250</v>
      </c>
      <c r="B168" s="3">
        <v>398</v>
      </c>
    </row>
    <row r="169" spans="1:2" x14ac:dyDescent="0.25">
      <c r="A169" s="8" t="s">
        <v>251</v>
      </c>
      <c r="B169" s="3">
        <v>422</v>
      </c>
    </row>
    <row r="170" spans="1:2" x14ac:dyDescent="0.25">
      <c r="A170" s="8" t="s">
        <v>252</v>
      </c>
      <c r="B170" s="3">
        <v>332</v>
      </c>
    </row>
    <row r="171" spans="1:2" x14ac:dyDescent="0.25">
      <c r="A171" s="8" t="s">
        <v>253</v>
      </c>
      <c r="B171" s="3">
        <v>769</v>
      </c>
    </row>
    <row r="172" spans="1:2" x14ac:dyDescent="0.25">
      <c r="A172" s="8" t="s">
        <v>254</v>
      </c>
      <c r="B172" s="3">
        <v>168</v>
      </c>
    </row>
    <row r="173" spans="1:2" x14ac:dyDescent="0.25">
      <c r="A173" s="8" t="s">
        <v>255</v>
      </c>
      <c r="B173" s="3">
        <v>317</v>
      </c>
    </row>
    <row r="174" spans="1:2" x14ac:dyDescent="0.25">
      <c r="A174" s="8" t="s">
        <v>256</v>
      </c>
      <c r="B174" s="3">
        <v>289</v>
      </c>
    </row>
    <row r="175" spans="1:2" x14ac:dyDescent="0.25">
      <c r="A175" s="8" t="s">
        <v>257</v>
      </c>
      <c r="B175" s="3">
        <v>252</v>
      </c>
    </row>
    <row r="176" spans="1:2" x14ac:dyDescent="0.25">
      <c r="A176" s="8" t="s">
        <v>258</v>
      </c>
      <c r="B176" s="3">
        <v>1098</v>
      </c>
    </row>
    <row r="177" spans="1:2" x14ac:dyDescent="0.25">
      <c r="A177" s="8" t="s">
        <v>259</v>
      </c>
      <c r="B177" s="3">
        <v>215</v>
      </c>
    </row>
    <row r="178" spans="1:2" x14ac:dyDescent="0.25">
      <c r="A178" s="8" t="s">
        <v>260</v>
      </c>
      <c r="B178" s="3">
        <v>1113</v>
      </c>
    </row>
    <row r="179" spans="1:2" x14ac:dyDescent="0.25">
      <c r="A179" s="8" t="s">
        <v>261</v>
      </c>
      <c r="B179" s="3">
        <v>495</v>
      </c>
    </row>
    <row r="180" spans="1:2" x14ac:dyDescent="0.25">
      <c r="A180" s="8" t="s">
        <v>262</v>
      </c>
      <c r="B180" s="3">
        <v>614</v>
      </c>
    </row>
    <row r="181" spans="1:2" x14ac:dyDescent="0.25">
      <c r="A181" s="8" t="s">
        <v>263</v>
      </c>
      <c r="B181" s="3">
        <v>856</v>
      </c>
    </row>
    <row r="182" spans="1:2" x14ac:dyDescent="0.25">
      <c r="A182" s="8" t="s">
        <v>264</v>
      </c>
      <c r="B182" s="3">
        <v>579</v>
      </c>
    </row>
    <row r="183" spans="1:2" x14ac:dyDescent="0.25">
      <c r="A183" s="8" t="s">
        <v>265</v>
      </c>
      <c r="B183" s="3">
        <v>301</v>
      </c>
    </row>
    <row r="184" spans="1:2" x14ac:dyDescent="0.25">
      <c r="A184" s="8" t="s">
        <v>266</v>
      </c>
      <c r="B184" s="3">
        <v>192</v>
      </c>
    </row>
    <row r="185" spans="1:2" x14ac:dyDescent="0.25">
      <c r="A185" s="8" t="s">
        <v>267</v>
      </c>
      <c r="B185" s="3">
        <v>347</v>
      </c>
    </row>
    <row r="186" spans="1:2" x14ac:dyDescent="0.25">
      <c r="A186" s="8" t="s">
        <v>268</v>
      </c>
      <c r="B186" s="3">
        <v>754</v>
      </c>
    </row>
    <row r="187" spans="1:2" x14ac:dyDescent="0.25">
      <c r="A187" s="8" t="s">
        <v>269</v>
      </c>
      <c r="B187" s="3">
        <v>255</v>
      </c>
    </row>
    <row r="188" spans="1:2" x14ac:dyDescent="0.25">
      <c r="A188" s="8" t="s">
        <v>270</v>
      </c>
      <c r="B188" s="3">
        <v>540</v>
      </c>
    </row>
    <row r="189" spans="1:2" x14ac:dyDescent="0.25">
      <c r="A189" s="8" t="s">
        <v>271</v>
      </c>
      <c r="B189" s="3">
        <v>390</v>
      </c>
    </row>
    <row r="190" spans="1:2" x14ac:dyDescent="0.25">
      <c r="A190" s="8" t="s">
        <v>272</v>
      </c>
      <c r="B190" s="3">
        <v>574</v>
      </c>
    </row>
    <row r="191" spans="1:2" x14ac:dyDescent="0.25">
      <c r="A191" s="8" t="s">
        <v>273</v>
      </c>
      <c r="B191" s="3">
        <v>1392</v>
      </c>
    </row>
    <row r="192" spans="1:2" x14ac:dyDescent="0.25">
      <c r="A192" s="8" t="s">
        <v>274</v>
      </c>
      <c r="B192" s="3">
        <v>576</v>
      </c>
    </row>
    <row r="193" spans="1:2" x14ac:dyDescent="0.25">
      <c r="A193" s="8" t="s">
        <v>275</v>
      </c>
      <c r="B193" s="3">
        <v>563</v>
      </c>
    </row>
    <row r="194" spans="1:2" x14ac:dyDescent="0.25">
      <c r="A194" s="8" t="s">
        <v>276</v>
      </c>
      <c r="B194" s="3">
        <v>490</v>
      </c>
    </row>
    <row r="195" spans="1:2" x14ac:dyDescent="0.25">
      <c r="A195" s="8" t="s">
        <v>277</v>
      </c>
      <c r="B195" s="3">
        <v>417</v>
      </c>
    </row>
    <row r="196" spans="1:2" x14ac:dyDescent="0.25">
      <c r="A196" s="8" t="s">
        <v>278</v>
      </c>
      <c r="B196" s="3">
        <v>227</v>
      </c>
    </row>
    <row r="197" spans="1:2" x14ac:dyDescent="0.25">
      <c r="A197" s="8" t="s">
        <v>279</v>
      </c>
      <c r="B197" s="3">
        <v>575</v>
      </c>
    </row>
    <row r="198" spans="1:2" x14ac:dyDescent="0.25">
      <c r="A198" s="8" t="s">
        <v>280</v>
      </c>
      <c r="B198" s="3">
        <v>1495</v>
      </c>
    </row>
    <row r="199" spans="1:2" x14ac:dyDescent="0.25">
      <c r="A199" s="8" t="s">
        <v>281</v>
      </c>
      <c r="B199" s="3">
        <v>441</v>
      </c>
    </row>
    <row r="200" spans="1:2" x14ac:dyDescent="0.25">
      <c r="A200" s="8" t="s">
        <v>282</v>
      </c>
      <c r="B200" s="3">
        <v>422</v>
      </c>
    </row>
    <row r="201" spans="1:2" x14ac:dyDescent="0.25">
      <c r="A201" s="8" t="s">
        <v>283</v>
      </c>
      <c r="B201" s="3">
        <v>577</v>
      </c>
    </row>
    <row r="202" spans="1:2" x14ac:dyDescent="0.25">
      <c r="A202" s="8" t="s">
        <v>284</v>
      </c>
      <c r="B202" s="3">
        <v>524</v>
      </c>
    </row>
    <row r="203" spans="1:2" x14ac:dyDescent="0.25">
      <c r="A203" s="8" t="s">
        <v>285</v>
      </c>
      <c r="B203" s="3">
        <v>567</v>
      </c>
    </row>
    <row r="204" spans="1:2" x14ac:dyDescent="0.25">
      <c r="A204" s="8" t="s">
        <v>286</v>
      </c>
      <c r="B204" s="3">
        <v>559</v>
      </c>
    </row>
    <row r="205" spans="1:2" x14ac:dyDescent="0.25">
      <c r="A205" s="8" t="s">
        <v>287</v>
      </c>
      <c r="B205" s="3">
        <v>248</v>
      </c>
    </row>
    <row r="206" spans="1:2" x14ac:dyDescent="0.25">
      <c r="A206" s="8" t="s">
        <v>288</v>
      </c>
      <c r="B206" s="3">
        <v>653</v>
      </c>
    </row>
    <row r="207" spans="1:2" x14ac:dyDescent="0.25">
      <c r="A207" s="8" t="s">
        <v>289</v>
      </c>
      <c r="B207" s="3">
        <v>356</v>
      </c>
    </row>
    <row r="208" spans="1:2" x14ac:dyDescent="0.25">
      <c r="A208" s="8" t="s">
        <v>290</v>
      </c>
      <c r="B208" s="3">
        <v>341</v>
      </c>
    </row>
    <row r="209" spans="1:2" x14ac:dyDescent="0.25">
      <c r="A209" s="8" t="s">
        <v>291</v>
      </c>
      <c r="B209" s="3">
        <v>315</v>
      </c>
    </row>
    <row r="210" spans="1:2" x14ac:dyDescent="0.25">
      <c r="A210" s="8" t="s">
        <v>292</v>
      </c>
      <c r="B210" s="3">
        <v>453</v>
      </c>
    </row>
    <row r="211" spans="1:2" x14ac:dyDescent="0.25">
      <c r="A211" s="8" t="s">
        <v>293</v>
      </c>
      <c r="B211" s="3">
        <v>1087</v>
      </c>
    </row>
    <row r="212" spans="1:2" x14ac:dyDescent="0.25">
      <c r="A212" s="8" t="s">
        <v>294</v>
      </c>
      <c r="B212" s="3">
        <v>136</v>
      </c>
    </row>
    <row r="213" spans="1:2" x14ac:dyDescent="0.25">
      <c r="A213" s="8" t="s">
        <v>295</v>
      </c>
      <c r="B213" s="3">
        <v>400</v>
      </c>
    </row>
    <row r="214" spans="1:2" x14ac:dyDescent="0.25">
      <c r="A214" s="8" t="s">
        <v>296</v>
      </c>
      <c r="B214" s="3">
        <v>275</v>
      </c>
    </row>
    <row r="215" spans="1:2" x14ac:dyDescent="0.25">
      <c r="A215" s="8" t="s">
        <v>297</v>
      </c>
      <c r="B215" s="3">
        <v>490</v>
      </c>
    </row>
    <row r="216" spans="1:2" x14ac:dyDescent="0.25">
      <c r="A216" s="8" t="s">
        <v>298</v>
      </c>
      <c r="B216" s="3">
        <v>551</v>
      </c>
    </row>
    <row r="217" spans="1:2" x14ac:dyDescent="0.25">
      <c r="A217" s="8" t="s">
        <v>299</v>
      </c>
      <c r="B217" s="3">
        <v>231</v>
      </c>
    </row>
    <row r="218" spans="1:2" x14ac:dyDescent="0.25">
      <c r="A218" s="8" t="s">
        <v>300</v>
      </c>
      <c r="B218" s="3">
        <v>179</v>
      </c>
    </row>
    <row r="219" spans="1:2" x14ac:dyDescent="0.25">
      <c r="A219" s="8" t="s">
        <v>301</v>
      </c>
      <c r="B219" s="3">
        <v>418</v>
      </c>
    </row>
    <row r="220" spans="1:2" x14ac:dyDescent="0.25">
      <c r="A220" s="8" t="s">
        <v>302</v>
      </c>
      <c r="B220" s="3">
        <v>556</v>
      </c>
    </row>
    <row r="221" spans="1:2" x14ac:dyDescent="0.25">
      <c r="A221" s="8" t="s">
        <v>303</v>
      </c>
      <c r="B221" s="3">
        <v>476</v>
      </c>
    </row>
    <row r="222" spans="1:2" x14ac:dyDescent="0.25">
      <c r="A222" s="8" t="s">
        <v>304</v>
      </c>
      <c r="B222" s="3">
        <v>256</v>
      </c>
    </row>
    <row r="223" spans="1:2" x14ac:dyDescent="0.25">
      <c r="A223" s="8" t="s">
        <v>305</v>
      </c>
      <c r="B223" s="3">
        <v>660</v>
      </c>
    </row>
    <row r="224" spans="1:2" x14ac:dyDescent="0.25">
      <c r="A224" s="8" t="s">
        <v>306</v>
      </c>
      <c r="B224" s="3">
        <v>278</v>
      </c>
    </row>
    <row r="225" spans="1:2" x14ac:dyDescent="0.25">
      <c r="A225" s="8" t="s">
        <v>307</v>
      </c>
      <c r="B225" s="3">
        <v>454</v>
      </c>
    </row>
    <row r="226" spans="1:2" x14ac:dyDescent="0.25">
      <c r="A226" s="8" t="s">
        <v>308</v>
      </c>
      <c r="B226" s="3">
        <v>491</v>
      </c>
    </row>
    <row r="227" spans="1:2" x14ac:dyDescent="0.25">
      <c r="A227" s="8" t="s">
        <v>309</v>
      </c>
      <c r="B227" s="3">
        <v>240</v>
      </c>
    </row>
    <row r="228" spans="1:2" x14ac:dyDescent="0.25">
      <c r="A228" s="8" t="s">
        <v>310</v>
      </c>
      <c r="B228" s="3">
        <v>349</v>
      </c>
    </row>
    <row r="229" spans="1:2" x14ac:dyDescent="0.25">
      <c r="A229" s="8" t="s">
        <v>311</v>
      </c>
      <c r="B229" s="3">
        <v>194</v>
      </c>
    </row>
    <row r="230" spans="1:2" x14ac:dyDescent="0.25">
      <c r="A230" s="8" t="s">
        <v>312</v>
      </c>
      <c r="B230" s="3">
        <v>134</v>
      </c>
    </row>
    <row r="231" spans="1:2" x14ac:dyDescent="0.25">
      <c r="A231" s="8" t="s">
        <v>313</v>
      </c>
      <c r="B231" s="3">
        <v>400</v>
      </c>
    </row>
    <row r="232" spans="1:2" x14ac:dyDescent="0.25">
      <c r="A232" s="8" t="s">
        <v>314</v>
      </c>
      <c r="B232" s="3">
        <v>1214</v>
      </c>
    </row>
    <row r="233" spans="1:2" x14ac:dyDescent="0.25">
      <c r="A233" s="8" t="s">
        <v>83</v>
      </c>
      <c r="B233" s="3">
        <v>126395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1038-703D-4396-809F-317920AF04DA}">
  <dimension ref="A3:B72"/>
  <sheetViews>
    <sheetView workbookViewId="0">
      <selection activeCell="N19" sqref="N19"/>
    </sheetView>
  </sheetViews>
  <sheetFormatPr defaultRowHeight="15" x14ac:dyDescent="0.25"/>
  <cols>
    <col min="1" max="1" width="20" bestFit="1" customWidth="1"/>
    <col min="2" max="2" width="13.28515625" bestFit="1" customWidth="1"/>
  </cols>
  <sheetData>
    <row r="3" spans="1:2" x14ac:dyDescent="0.25">
      <c r="A3" s="7" t="s">
        <v>2</v>
      </c>
      <c r="B3" t="s">
        <v>319</v>
      </c>
    </row>
    <row r="4" spans="1:2" x14ac:dyDescent="0.25">
      <c r="A4" s="8" t="s">
        <v>59</v>
      </c>
      <c r="B4" s="2">
        <v>11</v>
      </c>
    </row>
    <row r="5" spans="1:2" x14ac:dyDescent="0.25">
      <c r="A5" s="8" t="s">
        <v>23</v>
      </c>
      <c r="B5" s="2">
        <v>10</v>
      </c>
    </row>
    <row r="6" spans="1:2" x14ac:dyDescent="0.25">
      <c r="A6" s="8" t="s">
        <v>38</v>
      </c>
      <c r="B6" s="2">
        <v>9</v>
      </c>
    </row>
    <row r="7" spans="1:2" x14ac:dyDescent="0.25">
      <c r="A7" s="8" t="s">
        <v>20</v>
      </c>
      <c r="B7" s="2">
        <v>9</v>
      </c>
    </row>
    <row r="8" spans="1:2" x14ac:dyDescent="0.25">
      <c r="A8" s="8" t="s">
        <v>21</v>
      </c>
      <c r="B8" s="2">
        <v>8</v>
      </c>
    </row>
    <row r="9" spans="1:2" x14ac:dyDescent="0.25">
      <c r="A9" s="8" t="s">
        <v>47</v>
      </c>
      <c r="B9" s="2">
        <v>8</v>
      </c>
    </row>
    <row r="10" spans="1:2" x14ac:dyDescent="0.25">
      <c r="A10" s="8" t="s">
        <v>14</v>
      </c>
      <c r="B10" s="2">
        <v>8</v>
      </c>
    </row>
    <row r="11" spans="1:2" x14ac:dyDescent="0.25">
      <c r="A11" s="8" t="s">
        <v>25</v>
      </c>
      <c r="B11" s="2">
        <v>8</v>
      </c>
    </row>
    <row r="12" spans="1:2" x14ac:dyDescent="0.25">
      <c r="A12" s="8" t="s">
        <v>12</v>
      </c>
      <c r="B12" s="2">
        <v>8</v>
      </c>
    </row>
    <row r="13" spans="1:2" x14ac:dyDescent="0.25">
      <c r="A13" s="8" t="s">
        <v>48</v>
      </c>
      <c r="B13" s="2">
        <v>8</v>
      </c>
    </row>
    <row r="14" spans="1:2" x14ac:dyDescent="0.25">
      <c r="A14" s="8" t="s">
        <v>37</v>
      </c>
      <c r="B14" s="2">
        <v>8</v>
      </c>
    </row>
    <row r="15" spans="1:2" x14ac:dyDescent="0.25">
      <c r="A15" s="8" t="s">
        <v>41</v>
      </c>
      <c r="B15" s="2">
        <v>7</v>
      </c>
    </row>
    <row r="16" spans="1:2" x14ac:dyDescent="0.25">
      <c r="A16" s="8" t="s">
        <v>7</v>
      </c>
      <c r="B16" s="2">
        <v>7</v>
      </c>
    </row>
    <row r="17" spans="1:2" x14ac:dyDescent="0.25">
      <c r="A17" s="8" t="s">
        <v>17</v>
      </c>
      <c r="B17" s="2">
        <v>7</v>
      </c>
    </row>
    <row r="18" spans="1:2" x14ac:dyDescent="0.25">
      <c r="A18" s="8" t="s">
        <v>40</v>
      </c>
      <c r="B18" s="2">
        <v>7</v>
      </c>
    </row>
    <row r="19" spans="1:2" x14ac:dyDescent="0.25">
      <c r="A19" s="8" t="s">
        <v>29</v>
      </c>
      <c r="B19" s="2">
        <v>7</v>
      </c>
    </row>
    <row r="20" spans="1:2" x14ac:dyDescent="0.25">
      <c r="A20" s="8" t="s">
        <v>60</v>
      </c>
      <c r="B20" s="2">
        <v>7</v>
      </c>
    </row>
    <row r="21" spans="1:2" x14ac:dyDescent="0.25">
      <c r="A21" s="8" t="s">
        <v>6</v>
      </c>
      <c r="B21" s="2">
        <v>6</v>
      </c>
    </row>
    <row r="22" spans="1:2" x14ac:dyDescent="0.25">
      <c r="A22" s="8" t="s">
        <v>39</v>
      </c>
      <c r="B22" s="2">
        <v>6</v>
      </c>
    </row>
    <row r="23" spans="1:2" x14ac:dyDescent="0.25">
      <c r="A23" s="8" t="s">
        <v>18</v>
      </c>
      <c r="B23" s="2">
        <v>6</v>
      </c>
    </row>
    <row r="24" spans="1:2" x14ac:dyDescent="0.25">
      <c r="A24" s="8" t="s">
        <v>19</v>
      </c>
      <c r="B24" s="2">
        <v>6</v>
      </c>
    </row>
    <row r="25" spans="1:2" x14ac:dyDescent="0.25">
      <c r="A25" s="8" t="s">
        <v>9</v>
      </c>
      <c r="B25" s="2">
        <v>6</v>
      </c>
    </row>
    <row r="26" spans="1:2" x14ac:dyDescent="0.25">
      <c r="A26" s="8" t="s">
        <v>44</v>
      </c>
      <c r="B26" s="2">
        <v>5</v>
      </c>
    </row>
    <row r="27" spans="1:2" x14ac:dyDescent="0.25">
      <c r="A27" s="8" t="s">
        <v>42</v>
      </c>
      <c r="B27" s="2">
        <v>5</v>
      </c>
    </row>
    <row r="28" spans="1:2" x14ac:dyDescent="0.25">
      <c r="A28" s="8" t="s">
        <v>28</v>
      </c>
      <c r="B28" s="2">
        <v>5</v>
      </c>
    </row>
    <row r="29" spans="1:2" x14ac:dyDescent="0.25">
      <c r="A29" s="8" t="s">
        <v>8</v>
      </c>
      <c r="B29" s="2">
        <v>5</v>
      </c>
    </row>
    <row r="30" spans="1:2" x14ac:dyDescent="0.25">
      <c r="A30" s="8" t="s">
        <v>61</v>
      </c>
      <c r="B30" s="2">
        <v>5</v>
      </c>
    </row>
    <row r="31" spans="1:2" x14ac:dyDescent="0.25">
      <c r="A31" s="8" t="s">
        <v>30</v>
      </c>
      <c r="B31" s="2">
        <v>5</v>
      </c>
    </row>
    <row r="32" spans="1:2" x14ac:dyDescent="0.25">
      <c r="A32" s="8" t="s">
        <v>46</v>
      </c>
      <c r="B32" s="2">
        <v>5</v>
      </c>
    </row>
    <row r="33" spans="1:2" x14ac:dyDescent="0.25">
      <c r="A33" s="8" t="s">
        <v>43</v>
      </c>
      <c r="B33" s="2">
        <v>5</v>
      </c>
    </row>
    <row r="34" spans="1:2" x14ac:dyDescent="0.25">
      <c r="A34" s="8" t="s">
        <v>11</v>
      </c>
      <c r="B34" s="2">
        <v>5</v>
      </c>
    </row>
    <row r="35" spans="1:2" x14ac:dyDescent="0.25">
      <c r="A35" s="8" t="s">
        <v>45</v>
      </c>
      <c r="B35" s="2">
        <v>4</v>
      </c>
    </row>
    <row r="36" spans="1:2" x14ac:dyDescent="0.25">
      <c r="A36" s="8" t="s">
        <v>54</v>
      </c>
      <c r="B36" s="2">
        <v>4</v>
      </c>
    </row>
    <row r="37" spans="1:2" x14ac:dyDescent="0.25">
      <c r="A37" s="8" t="s">
        <v>26</v>
      </c>
      <c r="B37" s="2">
        <v>4</v>
      </c>
    </row>
    <row r="38" spans="1:2" x14ac:dyDescent="0.25">
      <c r="A38" s="8" t="s">
        <v>32</v>
      </c>
      <c r="B38" s="2">
        <v>4</v>
      </c>
    </row>
    <row r="39" spans="1:2" x14ac:dyDescent="0.25">
      <c r="A39" s="8" t="s">
        <v>67</v>
      </c>
      <c r="B39" s="2">
        <v>4</v>
      </c>
    </row>
    <row r="40" spans="1:2" x14ac:dyDescent="0.25">
      <c r="A40" s="8" t="s">
        <v>15</v>
      </c>
      <c r="B40" s="2">
        <v>4</v>
      </c>
    </row>
    <row r="41" spans="1:2" x14ac:dyDescent="0.25">
      <c r="A41" s="8" t="s">
        <v>50</v>
      </c>
      <c r="B41" s="2">
        <v>3</v>
      </c>
    </row>
    <row r="42" spans="1:2" x14ac:dyDescent="0.25">
      <c r="A42" s="8" t="s">
        <v>24</v>
      </c>
      <c r="B42" s="2">
        <v>3</v>
      </c>
    </row>
    <row r="43" spans="1:2" x14ac:dyDescent="0.25">
      <c r="A43" s="8" t="s">
        <v>58</v>
      </c>
      <c r="B43" s="2">
        <v>3</v>
      </c>
    </row>
    <row r="44" spans="1:2" x14ac:dyDescent="0.25">
      <c r="A44" s="8" t="s">
        <v>13</v>
      </c>
      <c r="B44" s="2">
        <v>3</v>
      </c>
    </row>
    <row r="45" spans="1:2" x14ac:dyDescent="0.25">
      <c r="A45" s="8" t="s">
        <v>33</v>
      </c>
      <c r="B45" s="2">
        <v>3</v>
      </c>
    </row>
    <row r="46" spans="1:2" x14ac:dyDescent="0.25">
      <c r="A46" s="8" t="s">
        <v>49</v>
      </c>
      <c r="B46" s="2">
        <v>3</v>
      </c>
    </row>
    <row r="47" spans="1:2" x14ac:dyDescent="0.25">
      <c r="A47" s="8" t="s">
        <v>35</v>
      </c>
      <c r="B47" s="2">
        <v>3</v>
      </c>
    </row>
    <row r="48" spans="1:2" x14ac:dyDescent="0.25">
      <c r="A48" s="8" t="s">
        <v>10</v>
      </c>
      <c r="B48" s="2">
        <v>3</v>
      </c>
    </row>
    <row r="49" spans="1:2" x14ac:dyDescent="0.25">
      <c r="A49" s="8" t="s">
        <v>52</v>
      </c>
      <c r="B49" s="2">
        <v>3</v>
      </c>
    </row>
    <row r="50" spans="1:2" x14ac:dyDescent="0.25">
      <c r="A50" s="8" t="s">
        <v>56</v>
      </c>
      <c r="B50" s="2">
        <v>3</v>
      </c>
    </row>
    <row r="51" spans="1:2" x14ac:dyDescent="0.25">
      <c r="A51" s="8" t="s">
        <v>16</v>
      </c>
      <c r="B51" s="2">
        <v>3</v>
      </c>
    </row>
    <row r="52" spans="1:2" x14ac:dyDescent="0.25">
      <c r="A52" s="8" t="s">
        <v>57</v>
      </c>
      <c r="B52" s="2">
        <v>3</v>
      </c>
    </row>
    <row r="53" spans="1:2" x14ac:dyDescent="0.25">
      <c r="A53" s="8" t="s">
        <v>31</v>
      </c>
      <c r="B53" s="2">
        <v>2</v>
      </c>
    </row>
    <row r="54" spans="1:2" x14ac:dyDescent="0.25">
      <c r="A54" s="8" t="s">
        <v>62</v>
      </c>
      <c r="B54" s="2">
        <v>2</v>
      </c>
    </row>
    <row r="55" spans="1:2" x14ac:dyDescent="0.25">
      <c r="A55" s="8" t="s">
        <v>65</v>
      </c>
      <c r="B55" s="2">
        <v>2</v>
      </c>
    </row>
    <row r="56" spans="1:2" x14ac:dyDescent="0.25">
      <c r="A56" s="8" t="s">
        <v>70</v>
      </c>
      <c r="B56" s="2">
        <v>2</v>
      </c>
    </row>
    <row r="57" spans="1:2" x14ac:dyDescent="0.25">
      <c r="A57" s="8" t="s">
        <v>71</v>
      </c>
      <c r="B57" s="2">
        <v>2</v>
      </c>
    </row>
    <row r="58" spans="1:2" x14ac:dyDescent="0.25">
      <c r="A58" s="8" t="s">
        <v>66</v>
      </c>
      <c r="B58" s="2">
        <v>2</v>
      </c>
    </row>
    <row r="59" spans="1:2" x14ac:dyDescent="0.25">
      <c r="A59" s="8" t="s">
        <v>64</v>
      </c>
      <c r="B59" s="2">
        <v>2</v>
      </c>
    </row>
    <row r="60" spans="1:2" x14ac:dyDescent="0.25">
      <c r="A60" s="8" t="s">
        <v>22</v>
      </c>
      <c r="B60" s="2">
        <v>2</v>
      </c>
    </row>
    <row r="61" spans="1:2" x14ac:dyDescent="0.25">
      <c r="A61" s="8" t="s">
        <v>27</v>
      </c>
      <c r="B61" s="2">
        <v>2</v>
      </c>
    </row>
    <row r="62" spans="1:2" x14ac:dyDescent="0.25">
      <c r="A62" s="8" t="s">
        <v>55</v>
      </c>
      <c r="B62" s="2">
        <v>1</v>
      </c>
    </row>
    <row r="63" spans="1:2" x14ac:dyDescent="0.25">
      <c r="A63" s="8" t="s">
        <v>53</v>
      </c>
      <c r="B63" s="2">
        <v>1</v>
      </c>
    </row>
    <row r="64" spans="1:2" x14ac:dyDescent="0.25">
      <c r="A64" s="8" t="s">
        <v>72</v>
      </c>
      <c r="B64" s="2">
        <v>1</v>
      </c>
    </row>
    <row r="65" spans="1:2" x14ac:dyDescent="0.25">
      <c r="A65" s="8" t="s">
        <v>68</v>
      </c>
      <c r="B65" s="2">
        <v>1</v>
      </c>
    </row>
    <row r="66" spans="1:2" x14ac:dyDescent="0.25">
      <c r="A66" s="8" t="s">
        <v>36</v>
      </c>
      <c r="B66" s="2">
        <v>1</v>
      </c>
    </row>
    <row r="67" spans="1:2" x14ac:dyDescent="0.25">
      <c r="A67" s="8" t="s">
        <v>73</v>
      </c>
      <c r="B67" s="2">
        <v>1</v>
      </c>
    </row>
    <row r="68" spans="1:2" x14ac:dyDescent="0.25">
      <c r="A68" s="8" t="s">
        <v>51</v>
      </c>
      <c r="B68" s="2">
        <v>1</v>
      </c>
    </row>
    <row r="69" spans="1:2" x14ac:dyDescent="0.25">
      <c r="A69" s="8" t="s">
        <v>63</v>
      </c>
      <c r="B69" s="2">
        <v>1</v>
      </c>
    </row>
    <row r="70" spans="1:2" x14ac:dyDescent="0.25">
      <c r="A70" s="8" t="s">
        <v>34</v>
      </c>
      <c r="B70" s="2">
        <v>1</v>
      </c>
    </row>
    <row r="71" spans="1:2" x14ac:dyDescent="0.25">
      <c r="A71" s="8" t="s">
        <v>69</v>
      </c>
      <c r="B71" s="2">
        <v>1</v>
      </c>
    </row>
    <row r="72" spans="1:2" x14ac:dyDescent="0.25">
      <c r="A72" s="8" t="s">
        <v>83</v>
      </c>
      <c r="B72" s="2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107F-3AD9-4EF2-8210-081C3378AFF7}">
  <dimension ref="A1:B12"/>
  <sheetViews>
    <sheetView workbookViewId="0">
      <selection activeCell="C18" sqref="C18"/>
    </sheetView>
  </sheetViews>
  <sheetFormatPr defaultRowHeight="15" x14ac:dyDescent="0.25"/>
  <cols>
    <col min="1" max="1" width="18.5703125" customWidth="1"/>
    <col min="2" max="2" width="16.5703125" customWidth="1"/>
  </cols>
  <sheetData>
    <row r="1" spans="1:2" x14ac:dyDescent="0.25">
      <c r="A1" t="s">
        <v>320</v>
      </c>
      <c r="B1" t="s">
        <v>319</v>
      </c>
    </row>
    <row r="2" spans="1:2" x14ac:dyDescent="0.25">
      <c r="A2" t="str">
        <f>'6_4_pom'!A4</f>
        <v>Warszawa</v>
      </c>
      <c r="B2">
        <f>'6_4_pom'!B4</f>
        <v>11</v>
      </c>
    </row>
    <row r="3" spans="1:2" x14ac:dyDescent="0.25">
      <c r="A3" t="str">
        <f>'6_4_pom'!A5</f>
        <v>Szczecin</v>
      </c>
      <c r="B3">
        <f>'6_4_pom'!B5</f>
        <v>10</v>
      </c>
    </row>
    <row r="4" spans="1:2" x14ac:dyDescent="0.25">
      <c r="A4" t="str">
        <f>'6_4_pom'!A6</f>
        <v>Bielsko-Biala</v>
      </c>
      <c r="B4">
        <f>'6_4_pom'!B6</f>
        <v>9</v>
      </c>
    </row>
    <row r="5" spans="1:2" x14ac:dyDescent="0.25">
      <c r="A5" t="str">
        <f>'6_4_pom'!A7</f>
        <v>Konin</v>
      </c>
      <c r="B5">
        <f>'6_4_pom'!B7</f>
        <v>9</v>
      </c>
    </row>
    <row r="6" spans="1:2" x14ac:dyDescent="0.25">
      <c r="A6" t="str">
        <f>'6_4_pom'!A8</f>
        <v>Pila</v>
      </c>
      <c r="B6">
        <f>'6_4_pom'!B8</f>
        <v>8</v>
      </c>
    </row>
    <row r="7" spans="1:2" x14ac:dyDescent="0.25">
      <c r="A7" t="str">
        <f>'6_4_pom'!A9</f>
        <v>Kielce</v>
      </c>
      <c r="B7">
        <f>'6_4_pom'!B9</f>
        <v>8</v>
      </c>
    </row>
    <row r="8" spans="1:2" x14ac:dyDescent="0.25">
      <c r="A8" t="str">
        <f>'6_4_pom'!A10</f>
        <v>Poznan</v>
      </c>
      <c r="B8">
        <f>'6_4_pom'!B10</f>
        <v>8</v>
      </c>
    </row>
    <row r="9" spans="1:2" x14ac:dyDescent="0.25">
      <c r="A9" t="str">
        <f>'6_4_pom'!A11</f>
        <v>Kostrzyn</v>
      </c>
      <c r="B9">
        <f>'6_4_pom'!B11</f>
        <v>8</v>
      </c>
    </row>
    <row r="10" spans="1:2" x14ac:dyDescent="0.25">
      <c r="A10" t="str">
        <f>'6_4_pom'!A12</f>
        <v>Ciechanow</v>
      </c>
      <c r="B10">
        <f>'6_4_pom'!B12</f>
        <v>8</v>
      </c>
    </row>
    <row r="11" spans="1:2" x14ac:dyDescent="0.25">
      <c r="A11" t="str">
        <f>'6_4_pom'!A13</f>
        <v>Zielona Gora</v>
      </c>
      <c r="B11">
        <f>'6_4_pom'!B13</f>
        <v>8</v>
      </c>
    </row>
    <row r="12" spans="1:2" x14ac:dyDescent="0.25">
      <c r="A12" t="str">
        <f>'6_4_pom'!A14</f>
        <v>Opole</v>
      </c>
      <c r="B12">
        <f>'6_4_pom'!B14</f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1048-92EF-4736-B38F-4B8E977864B2}">
  <dimension ref="A1:L301"/>
  <sheetViews>
    <sheetView tabSelected="1" workbookViewId="0">
      <selection activeCell="J7" sqref="J7"/>
    </sheetView>
  </sheetViews>
  <sheetFormatPr defaultRowHeight="15" x14ac:dyDescent="0.25"/>
  <cols>
    <col min="1" max="1" width="14.28515625" customWidth="1"/>
    <col min="6" max="6" width="11" customWidth="1"/>
    <col min="11" max="11" width="20.42578125" customWidth="1"/>
    <col min="12" max="12" width="1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321</v>
      </c>
    </row>
    <row r="2" spans="1:12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 s="3">
        <v>206</v>
      </c>
      <c r="G2" s="3">
        <f>kursy4[[#This Row],[Cena]]/kursy4[[#This Row],[Odleglosc]]</f>
        <v>1.2335329341317365</v>
      </c>
      <c r="H2">
        <v>1</v>
      </c>
    </row>
    <row r="3" spans="1:12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 s="3">
        <v>280</v>
      </c>
      <c r="G3" s="3">
        <f>kursy4[[#This Row],[Cena]]/kursy4[[#This Row],[Odleglosc]]</f>
        <v>2.5</v>
      </c>
      <c r="H3">
        <f>IF(AND(kursy4[[#This Row],[Data]]-A2=1,C2=kursy4[[#This Row],[Poczatek]]),H2+1,1)</f>
        <v>2</v>
      </c>
      <c r="J3" t="s">
        <v>322</v>
      </c>
      <c r="K3" t="s">
        <v>76</v>
      </c>
      <c r="L3" t="s">
        <v>77</v>
      </c>
    </row>
    <row r="4" spans="1:12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 s="3">
        <v>624</v>
      </c>
      <c r="G4" s="3">
        <f>kursy4[[#This Row],[Cena]]/kursy4[[#This Row],[Odleglosc]]</f>
        <v>3.7365269461077846</v>
      </c>
      <c r="H4">
        <f>IF(AND(kursy4[[#This Row],[Data]]-A3=1,C3=kursy4[[#This Row],[Poczatek]]),H3+1,1)</f>
        <v>3</v>
      </c>
      <c r="K4">
        <f>MAX(kursy4[Długość ciągu])</f>
        <v>11</v>
      </c>
      <c r="L4">
        <f>MATCH(K4,kursy4[Długość ciągu],0)</f>
        <v>292</v>
      </c>
    </row>
    <row r="5" spans="1:12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 s="3">
        <v>390</v>
      </c>
      <c r="G5" s="3">
        <f>kursy4[[#This Row],[Cena]]/kursy4[[#This Row],[Odleglosc]]</f>
        <v>2.3353293413173652</v>
      </c>
      <c r="H5">
        <f>IF(AND(kursy4[[#This Row],[Data]]-A4=1,C4=kursy4[[#This Row],[Poczatek]]),H4+1,1)</f>
        <v>4</v>
      </c>
    </row>
    <row r="6" spans="1:12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 s="3">
        <v>219</v>
      </c>
      <c r="G6" s="3">
        <f>kursy4[[#This Row],[Cena]]/kursy4[[#This Row],[Odleglosc]]</f>
        <v>1.8559322033898304</v>
      </c>
      <c r="H6">
        <f>IF(AND(kursy4[[#This Row],[Data]]-A5=1,C5=kursy4[[#This Row],[Poczatek]]),H5+1,1)</f>
        <v>1</v>
      </c>
    </row>
    <row r="7" spans="1:12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 s="3">
        <v>160</v>
      </c>
      <c r="G7" s="3">
        <f>kursy4[[#This Row],[Cena]]/kursy4[[#This Row],[Odleglosc]]</f>
        <v>1.415929203539823</v>
      </c>
      <c r="H7">
        <f>IF(AND(kursy4[[#This Row],[Data]]-A6=1,C6=kursy4[[#This Row],[Poczatek]]),H6+1,1)</f>
        <v>2</v>
      </c>
      <c r="J7" s="4" t="s">
        <v>323</v>
      </c>
      <c r="K7" s="5" t="s">
        <v>324</v>
      </c>
      <c r="L7" s="5" t="s">
        <v>325</v>
      </c>
    </row>
    <row r="8" spans="1:12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 s="3">
        <v>168</v>
      </c>
      <c r="G8" s="3">
        <f>kursy4[[#This Row],[Cena]]/kursy4[[#This Row],[Odleglosc]]</f>
        <v>1.1914893617021276</v>
      </c>
      <c r="H8">
        <f>IF(AND(kursy4[[#This Row],[Data]]-A7=1,C7=kursy4[[#This Row],[Poczatek]]),H7+1,1)</f>
        <v>3</v>
      </c>
      <c r="K8" s="9">
        <f ca="1">INDIRECT("A"&amp;(L4-K4+2))</f>
        <v>43079</v>
      </c>
      <c r="L8" s="9">
        <f ca="1">INDIRECT("A"&amp;(L4+1))</f>
        <v>43089</v>
      </c>
    </row>
    <row r="9" spans="1:12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 s="3">
        <v>533</v>
      </c>
      <c r="G9" s="3">
        <f>kursy4[[#This Row],[Cena]]/kursy4[[#This Row],[Odleglosc]]</f>
        <v>2.977653631284916</v>
      </c>
      <c r="H9">
        <f>IF(AND(kursy4[[#This Row],[Data]]-A8=1,C8=kursy4[[#This Row],[Poczatek]]),H8+1,1)</f>
        <v>4</v>
      </c>
    </row>
    <row r="10" spans="1:12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 s="3">
        <v>209</v>
      </c>
      <c r="G10" s="3">
        <f>kursy4[[#This Row],[Cena]]/kursy4[[#This Row],[Odleglosc]]</f>
        <v>1.2590361445783131</v>
      </c>
      <c r="H10">
        <f>IF(AND(kursy4[[#This Row],[Data]]-A9=1,C9=kursy4[[#This Row],[Poczatek]]),H9+1,1)</f>
        <v>5</v>
      </c>
    </row>
    <row r="11" spans="1:12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 s="3">
        <v>696</v>
      </c>
      <c r="G11" s="3">
        <f>kursy4[[#This Row],[Cena]]/kursy4[[#This Row],[Odleglosc]]</f>
        <v>3.5510204081632653</v>
      </c>
      <c r="H11">
        <f>IF(AND(kursy4[[#This Row],[Data]]-A10=1,C10=kursy4[[#This Row],[Poczatek]]),H10+1,1)</f>
        <v>1</v>
      </c>
    </row>
    <row r="12" spans="1:12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 s="3">
        <v>1113</v>
      </c>
      <c r="G12" s="3">
        <f>kursy4[[#This Row],[Cena]]/kursy4[[#This Row],[Odleglosc]]</f>
        <v>3.71</v>
      </c>
      <c r="H12">
        <f>IF(AND(kursy4[[#This Row],[Data]]-A11=1,C11=kursy4[[#This Row],[Poczatek]]),H11+1,1)</f>
        <v>1</v>
      </c>
    </row>
    <row r="13" spans="1:12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 s="3">
        <v>494</v>
      </c>
      <c r="G13" s="3">
        <f>kursy4[[#This Row],[Cena]]/kursy4[[#This Row],[Odleglosc]]</f>
        <v>3.3378378378378377</v>
      </c>
      <c r="H13">
        <f>IF(AND(kursy4[[#This Row],[Data]]-A12=1,C12=kursy4[[#This Row],[Poczatek]]),H12+1,1)</f>
        <v>2</v>
      </c>
    </row>
    <row r="14" spans="1:12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 s="3">
        <v>602</v>
      </c>
      <c r="G14" s="3">
        <f>kursy4[[#This Row],[Cena]]/kursy4[[#This Row],[Odleglosc]]</f>
        <v>2.2546816479400751</v>
      </c>
      <c r="H14">
        <f>IF(AND(kursy4[[#This Row],[Data]]-A13=1,C13=kursy4[[#This Row],[Poczatek]]),H13+1,1)</f>
        <v>1</v>
      </c>
    </row>
    <row r="15" spans="1:12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 s="3">
        <v>422</v>
      </c>
      <c r="G15" s="3">
        <f>kursy4[[#This Row],[Cena]]/kursy4[[#This Row],[Odleglosc]]</f>
        <v>3.8363636363636364</v>
      </c>
      <c r="H15">
        <f>IF(AND(kursy4[[#This Row],[Data]]-A14=1,C14=kursy4[[#This Row],[Poczatek]]),H14+1,1)</f>
        <v>2</v>
      </c>
    </row>
    <row r="16" spans="1:12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 s="3">
        <v>312</v>
      </c>
      <c r="G16" s="3">
        <f>kursy4[[#This Row],[Cena]]/kursy4[[#This Row],[Odleglosc]]</f>
        <v>1.8034682080924855</v>
      </c>
      <c r="H16">
        <f>IF(AND(kursy4[[#This Row],[Data]]-A15=1,C15=kursy4[[#This Row],[Poczatek]]),H15+1,1)</f>
        <v>1</v>
      </c>
    </row>
    <row r="17" spans="1:8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 s="3">
        <v>421</v>
      </c>
      <c r="G17" s="3">
        <f>kursy4[[#This Row],[Cena]]/kursy4[[#This Row],[Odleglosc]]</f>
        <v>3.3149606299212597</v>
      </c>
      <c r="H17">
        <f>IF(AND(kursy4[[#This Row],[Data]]-A16=1,C16=kursy4[[#This Row],[Poczatek]]),H16+1,1)</f>
        <v>2</v>
      </c>
    </row>
    <row r="18" spans="1:8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 s="3">
        <v>416</v>
      </c>
      <c r="G18" s="3">
        <f>kursy4[[#This Row],[Cena]]/kursy4[[#This Row],[Odleglosc]]</f>
        <v>3.5254237288135593</v>
      </c>
      <c r="H18">
        <f>IF(AND(kursy4[[#This Row],[Data]]-A17=1,C17=kursy4[[#This Row],[Poczatek]]),H17+1,1)</f>
        <v>3</v>
      </c>
    </row>
    <row r="19" spans="1:8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 s="3">
        <v>291</v>
      </c>
      <c r="G19" s="3">
        <f>kursy4[[#This Row],[Cena]]/kursy4[[#This Row],[Odleglosc]]</f>
        <v>2.5304347826086957</v>
      </c>
      <c r="H19">
        <f>IF(AND(kursy4[[#This Row],[Data]]-A18=1,C18=kursy4[[#This Row],[Poczatek]]),H18+1,1)</f>
        <v>4</v>
      </c>
    </row>
    <row r="20" spans="1:8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 s="3">
        <v>550</v>
      </c>
      <c r="G20" s="3">
        <f>kursy4[[#This Row],[Cena]]/kursy4[[#This Row],[Odleglosc]]</f>
        <v>3.3536585365853657</v>
      </c>
      <c r="H20">
        <f>IF(AND(kursy4[[#This Row],[Data]]-A19=1,C19=kursy4[[#This Row],[Poczatek]]),H19+1,1)</f>
        <v>5</v>
      </c>
    </row>
    <row r="21" spans="1:8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 s="3">
        <v>373</v>
      </c>
      <c r="G21" s="3">
        <f>kursy4[[#This Row],[Cena]]/kursy4[[#This Row],[Odleglosc]]</f>
        <v>3.0826446280991737</v>
      </c>
      <c r="H21">
        <f>IF(AND(kursy4[[#This Row],[Data]]-A20=1,C20=kursy4[[#This Row],[Poczatek]]),H20+1,1)</f>
        <v>6</v>
      </c>
    </row>
    <row r="22" spans="1:8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 s="3">
        <v>218</v>
      </c>
      <c r="G22" s="3">
        <f>kursy4[[#This Row],[Cena]]/kursy4[[#This Row],[Odleglosc]]</f>
        <v>1.7723577235772359</v>
      </c>
      <c r="H22">
        <f>IF(AND(kursy4[[#This Row],[Data]]-A21=1,C21=kursy4[[#This Row],[Poczatek]]),H21+1,1)</f>
        <v>7</v>
      </c>
    </row>
    <row r="23" spans="1:8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 s="3">
        <v>655</v>
      </c>
      <c r="G23" s="3">
        <f>kursy4[[#This Row],[Cena]]/kursy4[[#This Row],[Odleglosc]]</f>
        <v>4.0184049079754605</v>
      </c>
      <c r="H23">
        <f>IF(AND(kursy4[[#This Row],[Data]]-A22=1,C22=kursy4[[#This Row],[Poczatek]]),H22+1,1)</f>
        <v>8</v>
      </c>
    </row>
    <row r="24" spans="1:8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 s="3">
        <v>346</v>
      </c>
      <c r="G24" s="3">
        <f>kursy4[[#This Row],[Cena]]/kursy4[[#This Row],[Odleglosc]]</f>
        <v>2.6615384615384614</v>
      </c>
      <c r="H24">
        <f>IF(AND(kursy4[[#This Row],[Data]]-A23=1,C23=kursy4[[#This Row],[Poczatek]]),H23+1,1)</f>
        <v>9</v>
      </c>
    </row>
    <row r="25" spans="1:8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 s="3">
        <v>68</v>
      </c>
      <c r="G25" s="3">
        <f>kursy4[[#This Row],[Cena]]/kursy4[[#This Row],[Odleglosc]]</f>
        <v>2.8333333333333335</v>
      </c>
      <c r="H25">
        <f>IF(AND(kursy4[[#This Row],[Data]]-A24=1,C24=kursy4[[#This Row],[Poczatek]]),H24+1,1)</f>
        <v>1</v>
      </c>
    </row>
    <row r="26" spans="1:8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 s="3">
        <v>264</v>
      </c>
      <c r="G26" s="3">
        <f>kursy4[[#This Row],[Cena]]/kursy4[[#This Row],[Odleglosc]]</f>
        <v>2.2956521739130435</v>
      </c>
      <c r="H26">
        <f>IF(AND(kursy4[[#This Row],[Data]]-A25=1,C25=kursy4[[#This Row],[Poczatek]]),H25+1,1)</f>
        <v>2</v>
      </c>
    </row>
    <row r="27" spans="1:8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 s="3">
        <v>424</v>
      </c>
      <c r="G27" s="3">
        <f>kursy4[[#This Row],[Cena]]/kursy4[[#This Row],[Odleglosc]]</f>
        <v>4.24</v>
      </c>
      <c r="H27">
        <f>IF(AND(kursy4[[#This Row],[Data]]-A26=1,C26=kursy4[[#This Row],[Poczatek]]),H26+1,1)</f>
        <v>3</v>
      </c>
    </row>
    <row r="28" spans="1:8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 s="3">
        <v>390</v>
      </c>
      <c r="G28" s="3">
        <f>kursy4[[#This Row],[Cena]]/kursy4[[#This Row],[Odleglosc]]</f>
        <v>3.3050847457627119</v>
      </c>
      <c r="H28">
        <f>IF(AND(kursy4[[#This Row],[Data]]-A27=1,C27=kursy4[[#This Row],[Poczatek]]),H27+1,1)</f>
        <v>4</v>
      </c>
    </row>
    <row r="29" spans="1:8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 s="3">
        <v>185</v>
      </c>
      <c r="G29" s="3">
        <f>kursy4[[#This Row],[Cena]]/kursy4[[#This Row],[Odleglosc]]</f>
        <v>1.4682539682539681</v>
      </c>
      <c r="H29">
        <f>IF(AND(kursy4[[#This Row],[Data]]-A28=1,C28=kursy4[[#This Row],[Poczatek]]),H28+1,1)</f>
        <v>5</v>
      </c>
    </row>
    <row r="30" spans="1:8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 s="3">
        <v>167</v>
      </c>
      <c r="G30" s="3">
        <f>kursy4[[#This Row],[Cena]]/kursy4[[#This Row],[Odleglosc]]</f>
        <v>1.6372549019607843</v>
      </c>
      <c r="H30">
        <f>IF(AND(kursy4[[#This Row],[Data]]-A29=1,C29=kursy4[[#This Row],[Poczatek]]),H29+1,1)</f>
        <v>6</v>
      </c>
    </row>
    <row r="31" spans="1:8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 s="3">
        <v>450</v>
      </c>
      <c r="G31" s="3">
        <f>kursy4[[#This Row],[Cena]]/kursy4[[#This Row],[Odleglosc]]</f>
        <v>3.6585365853658538</v>
      </c>
      <c r="H31">
        <f>IF(AND(kursy4[[#This Row],[Data]]-A30=1,C30=kursy4[[#This Row],[Poczatek]]),H30+1,1)</f>
        <v>7</v>
      </c>
    </row>
    <row r="32" spans="1:8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 s="3">
        <v>346</v>
      </c>
      <c r="G32" s="3">
        <f>kursy4[[#This Row],[Cena]]/kursy4[[#This Row],[Odleglosc]]</f>
        <v>3.3592233009708736</v>
      </c>
      <c r="H32">
        <f>IF(AND(kursy4[[#This Row],[Data]]-A31=1,C31=kursy4[[#This Row],[Poczatek]]),H31+1,1)</f>
        <v>8</v>
      </c>
    </row>
    <row r="33" spans="1:8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 s="3">
        <v>520</v>
      </c>
      <c r="G33" s="3">
        <f>kursy4[[#This Row],[Cena]]/kursy4[[#This Row],[Odleglosc]]</f>
        <v>1.9047619047619047</v>
      </c>
      <c r="H33">
        <f>IF(AND(kursy4[[#This Row],[Data]]-A32=1,C32=kursy4[[#This Row],[Poczatek]]),H32+1,1)</f>
        <v>1</v>
      </c>
    </row>
    <row r="34" spans="1:8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 s="3">
        <v>518</v>
      </c>
      <c r="G34" s="3">
        <f>kursy4[[#This Row],[Cena]]/kursy4[[#This Row],[Odleglosc]]</f>
        <v>4.046875</v>
      </c>
      <c r="H34">
        <f>IF(AND(kursy4[[#This Row],[Data]]-A33=1,C33=kursy4[[#This Row],[Poczatek]]),H33+1,1)</f>
        <v>2</v>
      </c>
    </row>
    <row r="35" spans="1:8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 s="3">
        <v>314</v>
      </c>
      <c r="G35" s="3">
        <f>kursy4[[#This Row],[Cena]]/kursy4[[#This Row],[Odleglosc]]</f>
        <v>2.0389610389610389</v>
      </c>
      <c r="H35">
        <f>IF(AND(kursy4[[#This Row],[Data]]-A34=1,C34=kursy4[[#This Row],[Poczatek]]),H34+1,1)</f>
        <v>3</v>
      </c>
    </row>
    <row r="36" spans="1:8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 s="3">
        <v>406</v>
      </c>
      <c r="G36" s="3">
        <f>kursy4[[#This Row],[Cena]]/kursy4[[#This Row],[Odleglosc]]</f>
        <v>2.1368421052631579</v>
      </c>
      <c r="H36">
        <f>IF(AND(kursy4[[#This Row],[Data]]-A35=1,C35=kursy4[[#This Row],[Poczatek]]),H35+1,1)</f>
        <v>1</v>
      </c>
    </row>
    <row r="37" spans="1:8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 s="3">
        <v>221</v>
      </c>
      <c r="G37" s="3">
        <f>kursy4[[#This Row],[Cena]]/kursy4[[#This Row],[Odleglosc]]</f>
        <v>1.6370370370370371</v>
      </c>
      <c r="H37">
        <f>IF(AND(kursy4[[#This Row],[Data]]-A36=1,C36=kursy4[[#This Row],[Poczatek]]),H36+1,1)</f>
        <v>2</v>
      </c>
    </row>
    <row r="38" spans="1:8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 s="3">
        <v>376</v>
      </c>
      <c r="G38" s="3">
        <f>kursy4[[#This Row],[Cena]]/kursy4[[#This Row],[Odleglosc]]</f>
        <v>2.9375</v>
      </c>
      <c r="H38">
        <f>IF(AND(kursy4[[#This Row],[Data]]-A37=1,C37=kursy4[[#This Row],[Poczatek]]),H37+1,1)</f>
        <v>3</v>
      </c>
    </row>
    <row r="39" spans="1:8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 s="3">
        <v>257</v>
      </c>
      <c r="G39" s="3">
        <f>kursy4[[#This Row],[Cena]]/kursy4[[#This Row],[Odleglosc]]</f>
        <v>2.0078125</v>
      </c>
      <c r="H39">
        <f>IF(AND(kursy4[[#This Row],[Data]]-A38=1,C38=kursy4[[#This Row],[Poczatek]]),H38+1,1)</f>
        <v>4</v>
      </c>
    </row>
    <row r="40" spans="1:8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 s="3">
        <v>278</v>
      </c>
      <c r="G40" s="3">
        <f>kursy4[[#This Row],[Cena]]/kursy4[[#This Row],[Odleglosc]]</f>
        <v>1.7160493827160495</v>
      </c>
      <c r="H40">
        <f>IF(AND(kursy4[[#This Row],[Data]]-A39=1,C39=kursy4[[#This Row],[Poczatek]]),H39+1,1)</f>
        <v>5</v>
      </c>
    </row>
    <row r="41" spans="1:8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 s="3">
        <v>1622</v>
      </c>
      <c r="G41" s="3">
        <f>kursy4[[#This Row],[Cena]]/kursy4[[#This Row],[Odleglosc]]</f>
        <v>2.9490909090909092</v>
      </c>
      <c r="H41">
        <f>IF(AND(kursy4[[#This Row],[Data]]-A40=1,C40=kursy4[[#This Row],[Poczatek]]),H40+1,1)</f>
        <v>1</v>
      </c>
    </row>
    <row r="42" spans="1:8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 s="3">
        <v>379</v>
      </c>
      <c r="G42" s="3">
        <f>kursy4[[#This Row],[Cena]]/kursy4[[#This Row],[Odleglosc]]</f>
        <v>2.3540372670807455</v>
      </c>
      <c r="H42">
        <f>IF(AND(kursy4[[#This Row],[Data]]-A41=1,C41=kursy4[[#This Row],[Poczatek]]),H41+1,1)</f>
        <v>1</v>
      </c>
    </row>
    <row r="43" spans="1:8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 s="3">
        <v>116</v>
      </c>
      <c r="G43" s="3">
        <f>kursy4[[#This Row],[Cena]]/kursy4[[#This Row],[Odleglosc]]</f>
        <v>1.0943396226415094</v>
      </c>
      <c r="H43">
        <f>IF(AND(kursy4[[#This Row],[Data]]-A42=1,C42=kursy4[[#This Row],[Poczatek]]),H42+1,1)</f>
        <v>2</v>
      </c>
    </row>
    <row r="44" spans="1:8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 s="3">
        <v>376</v>
      </c>
      <c r="G44" s="3">
        <f>kursy4[[#This Row],[Cena]]/kursy4[[#This Row],[Odleglosc]]</f>
        <v>2.5931034482758619</v>
      </c>
      <c r="H44">
        <f>IF(AND(kursy4[[#This Row],[Data]]-A43=1,C43=kursy4[[#This Row],[Poczatek]]),H43+1,1)</f>
        <v>1</v>
      </c>
    </row>
    <row r="45" spans="1:8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 s="3">
        <v>441</v>
      </c>
      <c r="G45" s="3">
        <f>kursy4[[#This Row],[Cena]]/kursy4[[#This Row],[Odleglosc]]</f>
        <v>3.0205479452054793</v>
      </c>
      <c r="H45">
        <f>IF(AND(kursy4[[#This Row],[Data]]-A44=1,C44=kursy4[[#This Row],[Poczatek]]),H44+1,1)</f>
        <v>1</v>
      </c>
    </row>
    <row r="46" spans="1:8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 s="3">
        <v>392</v>
      </c>
      <c r="G46" s="3">
        <f>kursy4[[#This Row],[Cena]]/kursy4[[#This Row],[Odleglosc]]</f>
        <v>2.4968152866242037</v>
      </c>
      <c r="H46">
        <f>IF(AND(kursy4[[#This Row],[Data]]-A45=1,C45=kursy4[[#This Row],[Poczatek]]),H45+1,1)</f>
        <v>1</v>
      </c>
    </row>
    <row r="47" spans="1:8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 s="3">
        <v>221</v>
      </c>
      <c r="G47" s="3">
        <f>kursy4[[#This Row],[Cena]]/kursy4[[#This Row],[Odleglosc]]</f>
        <v>1.9909909909909911</v>
      </c>
      <c r="H47">
        <f>IF(AND(kursy4[[#This Row],[Data]]-A46=1,C46=kursy4[[#This Row],[Poczatek]]),H46+1,1)</f>
        <v>1</v>
      </c>
    </row>
    <row r="48" spans="1:8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 s="3">
        <v>263</v>
      </c>
      <c r="G48" s="3">
        <f>kursy4[[#This Row],[Cena]]/kursy4[[#This Row],[Odleglosc]]</f>
        <v>1.5380116959064327</v>
      </c>
      <c r="H48">
        <f>IF(AND(kursy4[[#This Row],[Data]]-A47=1,C47=kursy4[[#This Row],[Poczatek]]),H47+1,1)</f>
        <v>1</v>
      </c>
    </row>
    <row r="49" spans="1:8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 s="3">
        <v>400</v>
      </c>
      <c r="G49" s="3">
        <f>kursy4[[#This Row],[Cena]]/kursy4[[#This Row],[Odleglosc]]</f>
        <v>1.7777777777777777</v>
      </c>
      <c r="H49">
        <f>IF(AND(kursy4[[#This Row],[Data]]-A48=1,C48=kursy4[[#This Row],[Poczatek]]),H48+1,1)</f>
        <v>1</v>
      </c>
    </row>
    <row r="50" spans="1:8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 s="3">
        <v>252</v>
      </c>
      <c r="G50" s="3">
        <f>kursy4[[#This Row],[Cena]]/kursy4[[#This Row],[Odleglosc]]</f>
        <v>1.7622377622377623</v>
      </c>
      <c r="H50">
        <f>IF(AND(kursy4[[#This Row],[Data]]-A49=1,C49=kursy4[[#This Row],[Poczatek]]),H49+1,1)</f>
        <v>1</v>
      </c>
    </row>
    <row r="51" spans="1:8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 s="3">
        <v>522</v>
      </c>
      <c r="G51" s="3">
        <f>kursy4[[#This Row],[Cena]]/kursy4[[#This Row],[Odleglosc]]</f>
        <v>3.7553956834532376</v>
      </c>
      <c r="H51">
        <f>IF(AND(kursy4[[#This Row],[Data]]-A50=1,C50=kursy4[[#This Row],[Poczatek]]),H50+1,1)</f>
        <v>2</v>
      </c>
    </row>
    <row r="52" spans="1:8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 s="3">
        <v>446</v>
      </c>
      <c r="G52" s="3">
        <f>kursy4[[#This Row],[Cena]]/kursy4[[#This Row],[Odleglosc]]</f>
        <v>3.6859504132231407</v>
      </c>
      <c r="H52">
        <f>IF(AND(kursy4[[#This Row],[Data]]-A51=1,C51=kursy4[[#This Row],[Poczatek]]),H51+1,1)</f>
        <v>3</v>
      </c>
    </row>
    <row r="53" spans="1:8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 s="3">
        <v>928</v>
      </c>
      <c r="G53" s="3">
        <f>kursy4[[#This Row],[Cena]]/kursy4[[#This Row],[Odleglosc]]</f>
        <v>4</v>
      </c>
      <c r="H53">
        <f>IF(AND(kursy4[[#This Row],[Data]]-A52=1,C52=kursy4[[#This Row],[Poczatek]]),H52+1,1)</f>
        <v>1</v>
      </c>
    </row>
    <row r="54" spans="1:8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 s="3">
        <v>330</v>
      </c>
      <c r="G54" s="3">
        <f>kursy4[[#This Row],[Cena]]/kursy4[[#This Row],[Odleglosc]]</f>
        <v>2.2602739726027399</v>
      </c>
      <c r="H54">
        <f>IF(AND(kursy4[[#This Row],[Data]]-A53=1,C53=kursy4[[#This Row],[Poczatek]]),H53+1,1)</f>
        <v>1</v>
      </c>
    </row>
    <row r="55" spans="1:8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 s="3">
        <v>374</v>
      </c>
      <c r="G55" s="3">
        <f>kursy4[[#This Row],[Cena]]/kursy4[[#This Row],[Odleglosc]]</f>
        <v>3.1694915254237288</v>
      </c>
      <c r="H55">
        <f>IF(AND(kursy4[[#This Row],[Data]]-A54=1,C54=kursy4[[#This Row],[Poczatek]]),H54+1,1)</f>
        <v>2</v>
      </c>
    </row>
    <row r="56" spans="1:8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 s="3">
        <v>197</v>
      </c>
      <c r="G56" s="3">
        <f>kursy4[[#This Row],[Cena]]/kursy4[[#This Row],[Odleglosc]]</f>
        <v>2.0736842105263156</v>
      </c>
      <c r="H56">
        <f>IF(AND(kursy4[[#This Row],[Data]]-A55=1,C55=kursy4[[#This Row],[Poczatek]]),H55+1,1)</f>
        <v>3</v>
      </c>
    </row>
    <row r="57" spans="1:8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 s="3">
        <v>418</v>
      </c>
      <c r="G57" s="3">
        <f>kursy4[[#This Row],[Cena]]/kursy4[[#This Row],[Odleglosc]]</f>
        <v>3.0735294117647061</v>
      </c>
      <c r="H57">
        <f>IF(AND(kursy4[[#This Row],[Data]]-A56=1,C56=kursy4[[#This Row],[Poczatek]]),H56+1,1)</f>
        <v>4</v>
      </c>
    </row>
    <row r="58" spans="1:8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 s="3">
        <v>215</v>
      </c>
      <c r="G58" s="3">
        <f>kursy4[[#This Row],[Cena]]/kursy4[[#This Row],[Odleglosc]]</f>
        <v>1.7479674796747968</v>
      </c>
      <c r="H58">
        <f>IF(AND(kursy4[[#This Row],[Data]]-A57=1,C57=kursy4[[#This Row],[Poczatek]]),H57+1,1)</f>
        <v>5</v>
      </c>
    </row>
    <row r="59" spans="1:8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 s="3">
        <v>924</v>
      </c>
      <c r="G59" s="3">
        <f>kursy4[[#This Row],[Cena]]/kursy4[[#This Row],[Odleglosc]]</f>
        <v>3.335740072202166</v>
      </c>
      <c r="H59">
        <f>IF(AND(kursy4[[#This Row],[Data]]-A58=1,C58=kursy4[[#This Row],[Poczatek]]),H58+1,1)</f>
        <v>1</v>
      </c>
    </row>
    <row r="60" spans="1:8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 s="3">
        <v>247</v>
      </c>
      <c r="G60" s="3">
        <f>kursy4[[#This Row],[Cena]]/kursy4[[#This Row],[Odleglosc]]</f>
        <v>2.7142857142857144</v>
      </c>
      <c r="H60">
        <f>IF(AND(kursy4[[#This Row],[Data]]-A59=1,C59=kursy4[[#This Row],[Poczatek]]),H59+1,1)</f>
        <v>1</v>
      </c>
    </row>
    <row r="61" spans="1:8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 s="3">
        <v>278</v>
      </c>
      <c r="G61" s="3">
        <f>kursy4[[#This Row],[Cena]]/kursy4[[#This Row],[Odleglosc]]</f>
        <v>1.8289473684210527</v>
      </c>
      <c r="H61">
        <f>IF(AND(kursy4[[#This Row],[Data]]-A60=1,C60=kursy4[[#This Row],[Poczatek]]),H60+1,1)</f>
        <v>1</v>
      </c>
    </row>
    <row r="62" spans="1:8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 s="3">
        <v>365</v>
      </c>
      <c r="G62" s="3">
        <f>kursy4[[#This Row],[Cena]]/kursy4[[#This Row],[Odleglosc]]</f>
        <v>2.0621468926553672</v>
      </c>
      <c r="H62">
        <f>IF(AND(kursy4[[#This Row],[Data]]-A61=1,C61=kursy4[[#This Row],[Poczatek]]),H61+1,1)</f>
        <v>2</v>
      </c>
    </row>
    <row r="63" spans="1:8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 s="3">
        <v>409</v>
      </c>
      <c r="G63" s="3">
        <f>kursy4[[#This Row],[Cena]]/kursy4[[#This Row],[Odleglosc]]</f>
        <v>4.260416666666667</v>
      </c>
      <c r="H63">
        <f>IF(AND(kursy4[[#This Row],[Data]]-A62=1,C62=kursy4[[#This Row],[Poczatek]]),H62+1,1)</f>
        <v>3</v>
      </c>
    </row>
    <row r="64" spans="1:8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 s="3">
        <v>501</v>
      </c>
      <c r="G64" s="3">
        <f>kursy4[[#This Row],[Cena]]/kursy4[[#This Row],[Odleglosc]]</f>
        <v>3.5034965034965033</v>
      </c>
      <c r="H64">
        <f>IF(AND(kursy4[[#This Row],[Data]]-A63=1,C63=kursy4[[#This Row],[Poczatek]]),H63+1,1)</f>
        <v>1</v>
      </c>
    </row>
    <row r="65" spans="1:8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 s="3">
        <v>227</v>
      </c>
      <c r="G65" s="3">
        <f>kursy4[[#This Row],[Cena]]/kursy4[[#This Row],[Odleglosc]]</f>
        <v>1.860655737704918</v>
      </c>
      <c r="H65">
        <f>IF(AND(kursy4[[#This Row],[Data]]-A64=1,C64=kursy4[[#This Row],[Poczatek]]),H64+1,1)</f>
        <v>2</v>
      </c>
    </row>
    <row r="66" spans="1:8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 s="3">
        <v>158</v>
      </c>
      <c r="G66" s="3">
        <f>kursy4[[#This Row],[Cena]]/kursy4[[#This Row],[Odleglosc]]</f>
        <v>1.3504273504273505</v>
      </c>
      <c r="H66">
        <f>IF(AND(kursy4[[#This Row],[Data]]-A65=1,C65=kursy4[[#This Row],[Poczatek]]),H65+1,1)</f>
        <v>3</v>
      </c>
    </row>
    <row r="67" spans="1:8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 s="3">
        <v>495</v>
      </c>
      <c r="G67" s="3">
        <f>kursy4[[#This Row],[Cena]]/kursy4[[#This Row],[Odleglosc]]</f>
        <v>3.8976377952755907</v>
      </c>
      <c r="H67">
        <f>IF(AND(kursy4[[#This Row],[Data]]-A66=1,C66=kursy4[[#This Row],[Poczatek]]),H66+1,1)</f>
        <v>4</v>
      </c>
    </row>
    <row r="68" spans="1:8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 s="3">
        <v>443</v>
      </c>
      <c r="G68" s="3">
        <f>kursy4[[#This Row],[Cena]]/kursy4[[#This Row],[Odleglosc]]</f>
        <v>3.0136054421768708</v>
      </c>
      <c r="H68">
        <f>IF(AND(kursy4[[#This Row],[Data]]-A67=1,C67=kursy4[[#This Row],[Poczatek]]),H67+1,1)</f>
        <v>1</v>
      </c>
    </row>
    <row r="69" spans="1:8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 s="3">
        <v>261</v>
      </c>
      <c r="G69" s="3">
        <f>kursy4[[#This Row],[Cena]]/kursy4[[#This Row],[Odleglosc]]</f>
        <v>1.6838709677419355</v>
      </c>
      <c r="H69">
        <f>IF(AND(kursy4[[#This Row],[Data]]-A68=1,C68=kursy4[[#This Row],[Poczatek]]),H68+1,1)</f>
        <v>1</v>
      </c>
    </row>
    <row r="70" spans="1:8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 s="3">
        <v>242</v>
      </c>
      <c r="G70" s="3">
        <f>kursy4[[#This Row],[Cena]]/kursy4[[#This Row],[Odleglosc]]</f>
        <v>2.0862068965517242</v>
      </c>
      <c r="H70">
        <f>IF(AND(kursy4[[#This Row],[Data]]-A69=1,C69=kursy4[[#This Row],[Poczatek]]),H69+1,1)</f>
        <v>2</v>
      </c>
    </row>
    <row r="71" spans="1:8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 s="3">
        <v>517</v>
      </c>
      <c r="G71" s="3">
        <f>kursy4[[#This Row],[Cena]]/kursy4[[#This Row],[Odleglosc]]</f>
        <v>4.2032520325203251</v>
      </c>
      <c r="H71">
        <f>IF(AND(kursy4[[#This Row],[Data]]-A70=1,C70=kursy4[[#This Row],[Poczatek]]),H70+1,1)</f>
        <v>3</v>
      </c>
    </row>
    <row r="72" spans="1:8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 s="3">
        <v>205</v>
      </c>
      <c r="G72" s="3">
        <f>kursy4[[#This Row],[Cena]]/kursy4[[#This Row],[Odleglosc]]</f>
        <v>1.6015625</v>
      </c>
      <c r="H72">
        <f>IF(AND(kursy4[[#This Row],[Data]]-A71=1,C71=kursy4[[#This Row],[Poczatek]]),H71+1,1)</f>
        <v>4</v>
      </c>
    </row>
    <row r="73" spans="1:8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 s="3">
        <v>145</v>
      </c>
      <c r="G73" s="3">
        <f>kursy4[[#This Row],[Cena]]/kursy4[[#This Row],[Odleglosc]]</f>
        <v>1.3809523809523809</v>
      </c>
      <c r="H73">
        <f>IF(AND(kursy4[[#This Row],[Data]]-A72=1,C72=kursy4[[#This Row],[Poczatek]]),H72+1,1)</f>
        <v>5</v>
      </c>
    </row>
    <row r="74" spans="1:8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 s="3">
        <v>117</v>
      </c>
      <c r="G74" s="3">
        <f>kursy4[[#This Row],[Cena]]/kursy4[[#This Row],[Odleglosc]]</f>
        <v>1.073394495412844</v>
      </c>
      <c r="H74">
        <f>IF(AND(kursy4[[#This Row],[Data]]-A73=1,C73=kursy4[[#This Row],[Poczatek]]),H73+1,1)</f>
        <v>1</v>
      </c>
    </row>
    <row r="75" spans="1:8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 s="3">
        <v>172</v>
      </c>
      <c r="G75" s="3">
        <f>kursy4[[#This Row],[Cena]]/kursy4[[#This Row],[Odleglosc]]</f>
        <v>1.4956521739130435</v>
      </c>
      <c r="H75">
        <f>IF(AND(kursy4[[#This Row],[Data]]-A74=1,C74=kursy4[[#This Row],[Poczatek]]),H74+1,1)</f>
        <v>2</v>
      </c>
    </row>
    <row r="76" spans="1:8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 s="3">
        <v>377</v>
      </c>
      <c r="G76" s="3">
        <f>kursy4[[#This Row],[Cena]]/kursy4[[#This Row],[Odleglosc]]</f>
        <v>3.065040650406504</v>
      </c>
      <c r="H76">
        <f>IF(AND(kursy4[[#This Row],[Data]]-A75=1,C75=kursy4[[#This Row],[Poczatek]]),H75+1,1)</f>
        <v>3</v>
      </c>
    </row>
    <row r="77" spans="1:8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 s="3">
        <v>258</v>
      </c>
      <c r="G77" s="3">
        <f>kursy4[[#This Row],[Cena]]/kursy4[[#This Row],[Odleglosc]]</f>
        <v>2.3669724770642202</v>
      </c>
      <c r="H77">
        <f>IF(AND(kursy4[[#This Row],[Data]]-A76=1,C76=kursy4[[#This Row],[Poczatek]]),H76+1,1)</f>
        <v>4</v>
      </c>
    </row>
    <row r="78" spans="1:8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 s="3">
        <v>354</v>
      </c>
      <c r="G78" s="3">
        <f>kursy4[[#This Row],[Cena]]/kursy4[[#This Row],[Odleglosc]]</f>
        <v>2.2838709677419353</v>
      </c>
      <c r="H78">
        <f>IF(AND(kursy4[[#This Row],[Data]]-A77=1,C77=kursy4[[#This Row],[Poczatek]]),H77+1,1)</f>
        <v>5</v>
      </c>
    </row>
    <row r="79" spans="1:8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 s="3">
        <v>254</v>
      </c>
      <c r="G79" s="3">
        <f>kursy4[[#This Row],[Cena]]/kursy4[[#This Row],[Odleglosc]]</f>
        <v>1.3956043956043955</v>
      </c>
      <c r="H79">
        <f>IF(AND(kursy4[[#This Row],[Data]]-A78=1,C78=kursy4[[#This Row],[Poczatek]]),H78+1,1)</f>
        <v>1</v>
      </c>
    </row>
    <row r="80" spans="1:8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 s="3">
        <v>599</v>
      </c>
      <c r="G80" s="3">
        <f>kursy4[[#This Row],[Cena]]/kursy4[[#This Row],[Odleglosc]]</f>
        <v>3.9407894736842106</v>
      </c>
      <c r="H80">
        <f>IF(AND(kursy4[[#This Row],[Data]]-A79=1,C79=kursy4[[#This Row],[Poczatek]]),H79+1,1)</f>
        <v>2</v>
      </c>
    </row>
    <row r="81" spans="1:8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 s="3">
        <v>481</v>
      </c>
      <c r="G81" s="3">
        <f>kursy4[[#This Row],[Cena]]/kursy4[[#This Row],[Odleglosc]]</f>
        <v>2.702247191011236</v>
      </c>
      <c r="H81">
        <f>IF(AND(kursy4[[#This Row],[Data]]-A80=1,C80=kursy4[[#This Row],[Poczatek]]),H80+1,1)</f>
        <v>1</v>
      </c>
    </row>
    <row r="82" spans="1:8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 s="3">
        <v>507</v>
      </c>
      <c r="G82" s="3">
        <f>kursy4[[#This Row],[Cena]]/kursy4[[#This Row],[Odleglosc]]</f>
        <v>2.103734439834025</v>
      </c>
      <c r="H82">
        <f>IF(AND(kursy4[[#This Row],[Data]]-A81=1,C81=kursy4[[#This Row],[Poczatek]]),H81+1,1)</f>
        <v>1</v>
      </c>
    </row>
    <row r="83" spans="1:8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 s="3">
        <v>536</v>
      </c>
      <c r="G83" s="3">
        <f>kursy4[[#This Row],[Cena]]/kursy4[[#This Row],[Odleglosc]]</f>
        <v>2.5402843601895735</v>
      </c>
      <c r="H83">
        <f>IF(AND(kursy4[[#This Row],[Data]]-A82=1,C82=kursy4[[#This Row],[Poczatek]]),H82+1,1)</f>
        <v>1</v>
      </c>
    </row>
    <row r="84" spans="1:8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 s="3">
        <v>163</v>
      </c>
      <c r="G84" s="3">
        <f>kursy4[[#This Row],[Cena]]/kursy4[[#This Row],[Odleglosc]]</f>
        <v>1.3360655737704918</v>
      </c>
      <c r="H84">
        <f>IF(AND(kursy4[[#This Row],[Data]]-A83=1,C83=kursy4[[#This Row],[Poczatek]]),H83+1,1)</f>
        <v>2</v>
      </c>
    </row>
    <row r="85" spans="1:8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 s="3">
        <v>349</v>
      </c>
      <c r="G85" s="3">
        <f>kursy4[[#This Row],[Cena]]/kursy4[[#This Row],[Odleglosc]]</f>
        <v>2.2371794871794872</v>
      </c>
      <c r="H85">
        <f>IF(AND(kursy4[[#This Row],[Data]]-A84=1,C84=kursy4[[#This Row],[Poczatek]]),H84+1,1)</f>
        <v>1</v>
      </c>
    </row>
    <row r="86" spans="1:8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 s="3">
        <v>888</v>
      </c>
      <c r="G86" s="3">
        <f>kursy4[[#This Row],[Cena]]/kursy4[[#This Row],[Odleglosc]]</f>
        <v>2.1294964028776979</v>
      </c>
      <c r="H86">
        <f>IF(AND(kursy4[[#This Row],[Data]]-A85=1,C85=kursy4[[#This Row],[Poczatek]]),H85+1,1)</f>
        <v>1</v>
      </c>
    </row>
    <row r="87" spans="1:8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 s="3">
        <v>301</v>
      </c>
      <c r="G87" s="3">
        <f>kursy4[[#This Row],[Cena]]/kursy4[[#This Row],[Odleglosc]]</f>
        <v>2.0758620689655172</v>
      </c>
      <c r="H87">
        <f>IF(AND(kursy4[[#This Row],[Data]]-A86=1,C86=kursy4[[#This Row],[Poczatek]]),H86+1,1)</f>
        <v>2</v>
      </c>
    </row>
    <row r="88" spans="1:8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 s="3">
        <v>297</v>
      </c>
      <c r="G88" s="3">
        <f>kursy4[[#This Row],[Cena]]/kursy4[[#This Row],[Odleglosc]]</f>
        <v>2.1838235294117645</v>
      </c>
      <c r="H88">
        <f>IF(AND(kursy4[[#This Row],[Data]]-A87=1,C87=kursy4[[#This Row],[Poczatek]]),H87+1,1)</f>
        <v>3</v>
      </c>
    </row>
    <row r="89" spans="1:8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 s="3">
        <v>660</v>
      </c>
      <c r="G89" s="3">
        <f>kursy4[[#This Row],[Cena]]/kursy4[[#This Row],[Odleglosc]]</f>
        <v>3.5869565217391304</v>
      </c>
      <c r="H89">
        <f>IF(AND(kursy4[[#This Row],[Data]]-A88=1,C88=kursy4[[#This Row],[Poczatek]]),H88+1,1)</f>
        <v>1</v>
      </c>
    </row>
    <row r="90" spans="1:8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 s="3">
        <v>28</v>
      </c>
      <c r="G90" s="3">
        <f>kursy4[[#This Row],[Cena]]/kursy4[[#This Row],[Odleglosc]]</f>
        <v>1.6470588235294117</v>
      </c>
      <c r="H90">
        <f>IF(AND(kursy4[[#This Row],[Data]]-A89=1,C89=kursy4[[#This Row],[Poczatek]]),H89+1,1)</f>
        <v>1</v>
      </c>
    </row>
    <row r="91" spans="1:8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 s="3">
        <v>569</v>
      </c>
      <c r="G91" s="3">
        <f>kursy4[[#This Row],[Cena]]/kursy4[[#This Row],[Odleglosc]]</f>
        <v>3.5123456790123457</v>
      </c>
      <c r="H91">
        <f>IF(AND(kursy4[[#This Row],[Data]]-A90=1,C90=kursy4[[#This Row],[Poczatek]]),H90+1,1)</f>
        <v>2</v>
      </c>
    </row>
    <row r="92" spans="1:8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 s="3">
        <v>356</v>
      </c>
      <c r="G92" s="3">
        <f>kursy4[[#This Row],[Cena]]/kursy4[[#This Row],[Odleglosc]]</f>
        <v>2.3267973856209152</v>
      </c>
      <c r="H92">
        <f>IF(AND(kursy4[[#This Row],[Data]]-A91=1,C91=kursy4[[#This Row],[Poczatek]]),H91+1,1)</f>
        <v>1</v>
      </c>
    </row>
    <row r="93" spans="1:8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 s="3">
        <v>1392</v>
      </c>
      <c r="G93" s="3">
        <f>kursy4[[#This Row],[Cena]]/kursy4[[#This Row],[Odleglosc]]</f>
        <v>3.5510204081632653</v>
      </c>
      <c r="H93">
        <f>IF(AND(kursy4[[#This Row],[Data]]-A92=1,C92=kursy4[[#This Row],[Poczatek]]),H92+1,1)</f>
        <v>1</v>
      </c>
    </row>
    <row r="94" spans="1:8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 s="3">
        <v>323</v>
      </c>
      <c r="G94" s="3">
        <f>kursy4[[#This Row],[Cena]]/kursy4[[#This Row],[Odleglosc]]</f>
        <v>1.8563218390804597</v>
      </c>
      <c r="H94">
        <f>IF(AND(kursy4[[#This Row],[Data]]-A93=1,C93=kursy4[[#This Row],[Poczatek]]),H93+1,1)</f>
        <v>1</v>
      </c>
    </row>
    <row r="95" spans="1:8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 s="3">
        <v>530</v>
      </c>
      <c r="G95" s="3">
        <f>kursy4[[#This Row],[Cena]]/kursy4[[#This Row],[Odleglosc]]</f>
        <v>3.6301369863013697</v>
      </c>
      <c r="H95">
        <f>IF(AND(kursy4[[#This Row],[Data]]-A94=1,C94=kursy4[[#This Row],[Poczatek]]),H94+1,1)</f>
        <v>2</v>
      </c>
    </row>
    <row r="96" spans="1:8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 s="3">
        <v>569</v>
      </c>
      <c r="G96" s="3">
        <f>kursy4[[#This Row],[Cena]]/kursy4[[#This Row],[Odleglosc]]</f>
        <v>3.3869047619047619</v>
      </c>
      <c r="H96">
        <f>IF(AND(kursy4[[#This Row],[Data]]-A95=1,C95=kursy4[[#This Row],[Poczatek]]),H95+1,1)</f>
        <v>1</v>
      </c>
    </row>
    <row r="97" spans="1:8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 s="3">
        <v>240</v>
      </c>
      <c r="G97" s="3">
        <f>kursy4[[#This Row],[Cena]]/kursy4[[#This Row],[Odleglosc]]</f>
        <v>1.5789473684210527</v>
      </c>
      <c r="H97">
        <f>IF(AND(kursy4[[#This Row],[Data]]-A96=1,C96=kursy4[[#This Row],[Poczatek]]),H96+1,1)</f>
        <v>1</v>
      </c>
    </row>
    <row r="98" spans="1:8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 s="3">
        <v>754</v>
      </c>
      <c r="G98" s="3">
        <f>kursy4[[#This Row],[Cena]]/kursy4[[#This Row],[Odleglosc]]</f>
        <v>3.8274111675126905</v>
      </c>
      <c r="H98">
        <f>IF(AND(kursy4[[#This Row],[Data]]-A97=1,C97=kursy4[[#This Row],[Poczatek]]),H97+1,1)</f>
        <v>2</v>
      </c>
    </row>
    <row r="99" spans="1:8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 s="3">
        <v>171</v>
      </c>
      <c r="G99" s="3">
        <f>kursy4[[#This Row],[Cena]]/kursy4[[#This Row],[Odleglosc]]</f>
        <v>1.6442307692307692</v>
      </c>
      <c r="H99">
        <f>IF(AND(kursy4[[#This Row],[Data]]-A98=1,C98=kursy4[[#This Row],[Poczatek]]),H98+1,1)</f>
        <v>1</v>
      </c>
    </row>
    <row r="100" spans="1:8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 s="3">
        <v>190</v>
      </c>
      <c r="G100" s="3">
        <f>kursy4[[#This Row],[Cena]]/kursy4[[#This Row],[Odleglosc]]</f>
        <v>1.7117117117117118</v>
      </c>
      <c r="H100">
        <f>IF(AND(kursy4[[#This Row],[Data]]-A99=1,C99=kursy4[[#This Row],[Poczatek]]),H99+1,1)</f>
        <v>2</v>
      </c>
    </row>
    <row r="101" spans="1:8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 s="3">
        <v>395</v>
      </c>
      <c r="G101" s="3">
        <f>kursy4[[#This Row],[Cena]]/kursy4[[#This Row],[Odleglosc]]</f>
        <v>3.5585585585585586</v>
      </c>
      <c r="H101">
        <f>IF(AND(kursy4[[#This Row],[Data]]-A100=1,C100=kursy4[[#This Row],[Poczatek]]),H100+1,1)</f>
        <v>3</v>
      </c>
    </row>
    <row r="102" spans="1:8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 s="3">
        <v>223</v>
      </c>
      <c r="G102" s="3">
        <f>kursy4[[#This Row],[Cena]]/kursy4[[#This Row],[Odleglosc]]</f>
        <v>1.8130081300813008</v>
      </c>
      <c r="H102">
        <f>IF(AND(kursy4[[#This Row],[Data]]-A101=1,C101=kursy4[[#This Row],[Poczatek]]),H101+1,1)</f>
        <v>4</v>
      </c>
    </row>
    <row r="103" spans="1:8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 s="3">
        <v>143</v>
      </c>
      <c r="G103" s="3">
        <f>kursy4[[#This Row],[Cena]]/kursy4[[#This Row],[Odleglosc]]</f>
        <v>1.3364485981308412</v>
      </c>
      <c r="H103">
        <f>IF(AND(kursy4[[#This Row],[Data]]-A102=1,C102=kursy4[[#This Row],[Poczatek]]),H102+1,1)</f>
        <v>5</v>
      </c>
    </row>
    <row r="104" spans="1:8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 s="3">
        <v>312</v>
      </c>
      <c r="G104" s="3">
        <f>kursy4[[#This Row],[Cena]]/kursy4[[#This Row],[Odleglosc]]</f>
        <v>2.9158878504672896</v>
      </c>
      <c r="H104">
        <f>IF(AND(kursy4[[#This Row],[Data]]-A103=1,C103=kursy4[[#This Row],[Poczatek]]),H103+1,1)</f>
        <v>1</v>
      </c>
    </row>
    <row r="105" spans="1:8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 s="3">
        <v>248</v>
      </c>
      <c r="G105" s="3">
        <f>kursy4[[#This Row],[Cena]]/kursy4[[#This Row],[Odleglosc]]</f>
        <v>1.3626373626373627</v>
      </c>
      <c r="H105">
        <f>IF(AND(kursy4[[#This Row],[Data]]-A104=1,C104=kursy4[[#This Row],[Poczatek]]),H104+1,1)</f>
        <v>1</v>
      </c>
    </row>
    <row r="106" spans="1:8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 s="3">
        <v>200</v>
      </c>
      <c r="G106" s="3">
        <f>kursy4[[#This Row],[Cena]]/kursy4[[#This Row],[Odleglosc]]</f>
        <v>1.5503875968992249</v>
      </c>
      <c r="H106">
        <f>IF(AND(kursy4[[#This Row],[Data]]-A105=1,C105=kursy4[[#This Row],[Poczatek]]),H105+1,1)</f>
        <v>2</v>
      </c>
    </row>
    <row r="107" spans="1:8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 s="3">
        <v>444</v>
      </c>
      <c r="G107" s="3">
        <f>kursy4[[#This Row],[Cena]]/kursy4[[#This Row],[Odleglosc]]</f>
        <v>3.1489361702127661</v>
      </c>
      <c r="H107">
        <f>IF(AND(kursy4[[#This Row],[Data]]-A106=1,C106=kursy4[[#This Row],[Poczatek]]),H106+1,1)</f>
        <v>3</v>
      </c>
    </row>
    <row r="108" spans="1:8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 s="3">
        <v>479</v>
      </c>
      <c r="G108" s="3">
        <f>kursy4[[#This Row],[Cena]]/kursy4[[#This Row],[Odleglosc]]</f>
        <v>1.4298507462686567</v>
      </c>
      <c r="H108">
        <f>IF(AND(kursy4[[#This Row],[Data]]-A107=1,C107=kursy4[[#This Row],[Poczatek]]),H107+1,1)</f>
        <v>1</v>
      </c>
    </row>
    <row r="109" spans="1:8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 s="3">
        <v>1087</v>
      </c>
      <c r="G109" s="3">
        <f>kursy4[[#This Row],[Cena]]/kursy4[[#This Row],[Odleglosc]]</f>
        <v>2.6512195121951221</v>
      </c>
      <c r="H109">
        <f>IF(AND(kursy4[[#This Row],[Data]]-A108=1,C108=kursy4[[#This Row],[Poczatek]]),H108+1,1)</f>
        <v>1</v>
      </c>
    </row>
    <row r="110" spans="1:8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 s="3">
        <v>646</v>
      </c>
      <c r="G110" s="3">
        <f>kursy4[[#This Row],[Cena]]/kursy4[[#This Row],[Odleglosc]]</f>
        <v>3.7777777777777777</v>
      </c>
      <c r="H110">
        <f>IF(AND(kursy4[[#This Row],[Data]]-A109=1,C109=kursy4[[#This Row],[Poczatek]]),H109+1,1)</f>
        <v>2</v>
      </c>
    </row>
    <row r="111" spans="1:8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 s="3">
        <v>175</v>
      </c>
      <c r="G111" s="3">
        <f>kursy4[[#This Row],[Cena]]/kursy4[[#This Row],[Odleglosc]]</f>
        <v>1.1437908496732025</v>
      </c>
      <c r="H111">
        <f>IF(AND(kursy4[[#This Row],[Data]]-A110=1,C110=kursy4[[#This Row],[Poczatek]]),H110+1,1)</f>
        <v>1</v>
      </c>
    </row>
    <row r="112" spans="1:8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 s="3">
        <v>1406</v>
      </c>
      <c r="G112" s="3">
        <f>kursy4[[#This Row],[Cena]]/kursy4[[#This Row],[Odleglosc]]</f>
        <v>3.5959079283887467</v>
      </c>
      <c r="H112">
        <f>IF(AND(kursy4[[#This Row],[Data]]-A111=1,C111=kursy4[[#This Row],[Poczatek]]),H111+1,1)</f>
        <v>1</v>
      </c>
    </row>
    <row r="113" spans="1:8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 s="3">
        <v>453</v>
      </c>
      <c r="G113" s="3">
        <f>kursy4[[#This Row],[Cena]]/kursy4[[#This Row],[Odleglosc]]</f>
        <v>1.51</v>
      </c>
      <c r="H113">
        <f>IF(AND(kursy4[[#This Row],[Data]]-A112=1,C112=kursy4[[#This Row],[Poczatek]]),H112+1,1)</f>
        <v>1</v>
      </c>
    </row>
    <row r="114" spans="1:8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 s="3">
        <v>185</v>
      </c>
      <c r="G114" s="3">
        <f>kursy4[[#This Row],[Cena]]/kursy4[[#This Row],[Odleglosc]]</f>
        <v>1.25</v>
      </c>
      <c r="H114">
        <f>IF(AND(kursy4[[#This Row],[Data]]-A113=1,C113=kursy4[[#This Row],[Poczatek]]),H113+1,1)</f>
        <v>1</v>
      </c>
    </row>
    <row r="115" spans="1:8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 s="3">
        <v>399</v>
      </c>
      <c r="G115" s="3">
        <f>kursy4[[#This Row],[Cena]]/kursy4[[#This Row],[Odleglosc]]</f>
        <v>3.8365384615384617</v>
      </c>
      <c r="H115">
        <f>IF(AND(kursy4[[#This Row],[Data]]-A114=1,C114=kursy4[[#This Row],[Poczatek]]),H114+1,1)</f>
        <v>2</v>
      </c>
    </row>
    <row r="116" spans="1:8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 s="3">
        <v>1964</v>
      </c>
      <c r="G116" s="3">
        <f>kursy4[[#This Row],[Cena]]/kursy4[[#This Row],[Odleglosc]]</f>
        <v>3.5579710144927534</v>
      </c>
      <c r="H116">
        <f>IF(AND(kursy4[[#This Row],[Data]]-A115=1,C115=kursy4[[#This Row],[Poczatek]]),H115+1,1)</f>
        <v>1</v>
      </c>
    </row>
    <row r="117" spans="1:8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 s="3">
        <v>347</v>
      </c>
      <c r="G117" s="3">
        <f>kursy4[[#This Row],[Cena]]/kursy4[[#This Row],[Odleglosc]]</f>
        <v>1.7093596059113301</v>
      </c>
      <c r="H117">
        <f>IF(AND(kursy4[[#This Row],[Data]]-A116=1,C116=kursy4[[#This Row],[Poczatek]]),H116+1,1)</f>
        <v>2</v>
      </c>
    </row>
    <row r="118" spans="1:8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 s="3">
        <v>376</v>
      </c>
      <c r="G118" s="3">
        <f>kursy4[[#This Row],[Cena]]/kursy4[[#This Row],[Odleglosc]]</f>
        <v>3.650485436893204</v>
      </c>
      <c r="H118">
        <f>IF(AND(kursy4[[#This Row],[Data]]-A117=1,C117=kursy4[[#This Row],[Poczatek]]),H117+1,1)</f>
        <v>3</v>
      </c>
    </row>
    <row r="119" spans="1:8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 s="3">
        <v>542</v>
      </c>
      <c r="G119" s="3">
        <f>kursy4[[#This Row],[Cena]]/kursy4[[#This Row],[Odleglosc]]</f>
        <v>3.4967741935483869</v>
      </c>
      <c r="H119">
        <f>IF(AND(kursy4[[#This Row],[Data]]-A118=1,C118=kursy4[[#This Row],[Poczatek]]),H118+1,1)</f>
        <v>4</v>
      </c>
    </row>
    <row r="120" spans="1:8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 s="3">
        <v>577</v>
      </c>
      <c r="G120" s="3">
        <f>kursy4[[#This Row],[Cena]]/kursy4[[#This Row],[Odleglosc]]</f>
        <v>3.7467532467532467</v>
      </c>
      <c r="H120">
        <f>IF(AND(kursy4[[#This Row],[Data]]-A119=1,C119=kursy4[[#This Row],[Poczatek]]),H119+1,1)</f>
        <v>5</v>
      </c>
    </row>
    <row r="121" spans="1:8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 s="3">
        <v>407</v>
      </c>
      <c r="G121" s="3">
        <f>kursy4[[#This Row],[Cena]]/kursy4[[#This Row],[Odleglosc]]</f>
        <v>3.7</v>
      </c>
      <c r="H121">
        <f>IF(AND(kursy4[[#This Row],[Data]]-A120=1,C120=kursy4[[#This Row],[Poczatek]]),H120+1,1)</f>
        <v>6</v>
      </c>
    </row>
    <row r="122" spans="1:8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 s="3">
        <v>168</v>
      </c>
      <c r="G122" s="3">
        <f>kursy4[[#This Row],[Cena]]/kursy4[[#This Row],[Odleglosc]]</f>
        <v>1.1586206896551725</v>
      </c>
      <c r="H122">
        <f>IF(AND(kursy4[[#This Row],[Data]]-A121=1,C121=kursy4[[#This Row],[Poczatek]]),H121+1,1)</f>
        <v>1</v>
      </c>
    </row>
    <row r="123" spans="1:8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 s="3">
        <v>288</v>
      </c>
      <c r="G123" s="3">
        <f>kursy4[[#This Row],[Cena]]/kursy4[[#This Row],[Odleglosc]]</f>
        <v>1.5401069518716577</v>
      </c>
      <c r="H123">
        <f>IF(AND(kursy4[[#This Row],[Data]]-A122=1,C122=kursy4[[#This Row],[Poczatek]]),H122+1,1)</f>
        <v>1</v>
      </c>
    </row>
    <row r="124" spans="1:8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 s="3">
        <v>567</v>
      </c>
      <c r="G124" s="3">
        <f>kursy4[[#This Row],[Cena]]/kursy4[[#This Row],[Odleglosc]]</f>
        <v>3.9103448275862069</v>
      </c>
      <c r="H124">
        <f>IF(AND(kursy4[[#This Row],[Data]]-A123=1,C123=kursy4[[#This Row],[Poczatek]]),H123+1,1)</f>
        <v>1</v>
      </c>
    </row>
    <row r="125" spans="1:8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 s="3">
        <v>135</v>
      </c>
      <c r="G125" s="3">
        <f>kursy4[[#This Row],[Cena]]/kursy4[[#This Row],[Odleglosc]]</f>
        <v>1.2162162162162162</v>
      </c>
      <c r="H125">
        <f>IF(AND(kursy4[[#This Row],[Data]]-A124=1,C124=kursy4[[#This Row],[Poczatek]]),H124+1,1)</f>
        <v>2</v>
      </c>
    </row>
    <row r="126" spans="1:8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 s="3">
        <v>398</v>
      </c>
      <c r="G126" s="3">
        <f>kursy4[[#This Row],[Cena]]/kursy4[[#This Row],[Odleglosc]]</f>
        <v>3.3445378151260505</v>
      </c>
      <c r="H126">
        <f>IF(AND(kursy4[[#This Row],[Data]]-A125=1,C125=kursy4[[#This Row],[Poczatek]]),H125+1,1)</f>
        <v>3</v>
      </c>
    </row>
    <row r="127" spans="1:8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 s="3">
        <v>490</v>
      </c>
      <c r="G127" s="3">
        <f>kursy4[[#This Row],[Cena]]/kursy4[[#This Row],[Odleglosc]]</f>
        <v>3.5766423357664232</v>
      </c>
      <c r="H127">
        <f>IF(AND(kursy4[[#This Row],[Data]]-A126=1,C126=kursy4[[#This Row],[Poczatek]]),H126+1,1)</f>
        <v>4</v>
      </c>
    </row>
    <row r="128" spans="1:8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 s="3">
        <v>277</v>
      </c>
      <c r="G128" s="3">
        <f>kursy4[[#This Row],[Cena]]/kursy4[[#This Row],[Odleglosc]]</f>
        <v>2.4513274336283186</v>
      </c>
      <c r="H128">
        <f>IF(AND(kursy4[[#This Row],[Data]]-A127=1,C127=kursy4[[#This Row],[Poczatek]]),H127+1,1)</f>
        <v>1</v>
      </c>
    </row>
    <row r="129" spans="1:8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 s="3">
        <v>499</v>
      </c>
      <c r="G129" s="3">
        <f>kursy4[[#This Row],[Cena]]/kursy4[[#This Row],[Odleglosc]]</f>
        <v>2.2995391705069124</v>
      </c>
      <c r="H129">
        <f>IF(AND(kursy4[[#This Row],[Data]]-A128=1,C128=kursy4[[#This Row],[Poczatek]]),H128+1,1)</f>
        <v>1</v>
      </c>
    </row>
    <row r="130" spans="1:8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 s="3">
        <v>154</v>
      </c>
      <c r="G130" s="3">
        <f>kursy4[[#This Row],[Cena]]/kursy4[[#This Row],[Odleglosc]]</f>
        <v>1.6041666666666667</v>
      </c>
      <c r="H130">
        <f>IF(AND(kursy4[[#This Row],[Data]]-A129=1,C129=kursy4[[#This Row],[Poczatek]]),H129+1,1)</f>
        <v>2</v>
      </c>
    </row>
    <row r="131" spans="1:8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 s="3">
        <v>653</v>
      </c>
      <c r="G131" s="3">
        <f>kursy4[[#This Row],[Cena]]/kursy4[[#This Row],[Odleglosc]]</f>
        <v>4.1329113924050631</v>
      </c>
      <c r="H131">
        <f>IF(AND(kursy4[[#This Row],[Data]]-A130=1,C130=kursy4[[#This Row],[Poczatek]]),H130+1,1)</f>
        <v>3</v>
      </c>
    </row>
    <row r="132" spans="1:8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 s="3">
        <v>522</v>
      </c>
      <c r="G132" s="3">
        <f>kursy4[[#This Row],[Cena]]/kursy4[[#This Row],[Odleglosc]]</f>
        <v>3.2625000000000002</v>
      </c>
      <c r="H132">
        <f>IF(AND(kursy4[[#This Row],[Data]]-A131=1,C131=kursy4[[#This Row],[Poczatek]]),H131+1,1)</f>
        <v>1</v>
      </c>
    </row>
    <row r="133" spans="1:8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 s="3">
        <v>524</v>
      </c>
      <c r="G133" s="3">
        <f>kursy4[[#This Row],[Cena]]/kursy4[[#This Row],[Odleglosc]]</f>
        <v>2.5560975609756098</v>
      </c>
      <c r="H133">
        <f>IF(AND(kursy4[[#This Row],[Data]]-A132=1,C132=kursy4[[#This Row],[Poczatek]]),H132+1,1)</f>
        <v>2</v>
      </c>
    </row>
    <row r="134" spans="1:8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 s="3">
        <v>136</v>
      </c>
      <c r="G134" s="3">
        <f>kursy4[[#This Row],[Cena]]/kursy4[[#This Row],[Odleglosc]]</f>
        <v>0.97142857142857142</v>
      </c>
      <c r="H134">
        <f>IF(AND(kursy4[[#This Row],[Data]]-A133=1,C133=kursy4[[#This Row],[Poczatek]]),H133+1,1)</f>
        <v>3</v>
      </c>
    </row>
    <row r="135" spans="1:8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 s="3">
        <v>382</v>
      </c>
      <c r="G135" s="3">
        <f>kursy4[[#This Row],[Cena]]/kursy4[[#This Row],[Odleglosc]]</f>
        <v>4.0210526315789474</v>
      </c>
      <c r="H135">
        <f>IF(AND(kursy4[[#This Row],[Data]]-A134=1,C134=kursy4[[#This Row],[Poczatek]]),H134+1,1)</f>
        <v>4</v>
      </c>
    </row>
    <row r="136" spans="1:8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 s="3">
        <v>468</v>
      </c>
      <c r="G136" s="3">
        <f>kursy4[[#This Row],[Cena]]/kursy4[[#This Row],[Odleglosc]]</f>
        <v>2.4</v>
      </c>
      <c r="H136">
        <f>IF(AND(kursy4[[#This Row],[Data]]-A135=1,C135=kursy4[[#This Row],[Poczatek]]),H135+1,1)</f>
        <v>1</v>
      </c>
    </row>
    <row r="137" spans="1:8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 s="3">
        <v>295</v>
      </c>
      <c r="G137" s="3">
        <f>kursy4[[#This Row],[Cena]]/kursy4[[#This Row],[Odleglosc]]</f>
        <v>2.3983739837398375</v>
      </c>
      <c r="H137">
        <f>IF(AND(kursy4[[#This Row],[Data]]-A136=1,C136=kursy4[[#This Row],[Poczatek]]),H136+1,1)</f>
        <v>1</v>
      </c>
    </row>
    <row r="138" spans="1:8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 s="3">
        <v>558</v>
      </c>
      <c r="G138" s="3">
        <f>kursy4[[#This Row],[Cena]]/kursy4[[#This Row],[Odleglosc]]</f>
        <v>3.6953642384105962</v>
      </c>
      <c r="H138">
        <f>IF(AND(kursy4[[#This Row],[Data]]-A137=1,C137=kursy4[[#This Row],[Poczatek]]),H137+1,1)</f>
        <v>2</v>
      </c>
    </row>
    <row r="139" spans="1:8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 s="3">
        <v>610</v>
      </c>
      <c r="G139" s="3">
        <f>kursy4[[#This Row],[Cena]]/kursy4[[#This Row],[Odleglosc]]</f>
        <v>3.7423312883435584</v>
      </c>
      <c r="H139">
        <f>IF(AND(kursy4[[#This Row],[Data]]-A138=1,C138=kursy4[[#This Row],[Poczatek]]),H138+1,1)</f>
        <v>3</v>
      </c>
    </row>
    <row r="140" spans="1:8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 s="3">
        <v>256</v>
      </c>
      <c r="G140" s="3">
        <f>kursy4[[#This Row],[Cena]]/kursy4[[#This Row],[Odleglosc]]</f>
        <v>1.7777777777777777</v>
      </c>
      <c r="H140">
        <f>IF(AND(kursy4[[#This Row],[Data]]-A139=1,C139=kursy4[[#This Row],[Poczatek]]),H139+1,1)</f>
        <v>4</v>
      </c>
    </row>
    <row r="141" spans="1:8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 s="3">
        <v>270</v>
      </c>
      <c r="G141" s="3">
        <f>kursy4[[#This Row],[Cena]]/kursy4[[#This Row],[Odleglosc]]</f>
        <v>1.9708029197080292</v>
      </c>
      <c r="H141">
        <f>IF(AND(kursy4[[#This Row],[Data]]-A140=1,C140=kursy4[[#This Row],[Poczatek]]),H140+1,1)</f>
        <v>1</v>
      </c>
    </row>
    <row r="142" spans="1:8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 s="3">
        <v>245</v>
      </c>
      <c r="G142" s="3">
        <f>kursy4[[#This Row],[Cena]]/kursy4[[#This Row],[Odleglosc]]</f>
        <v>1.8992248062015504</v>
      </c>
      <c r="H142">
        <f>IF(AND(kursy4[[#This Row],[Data]]-A141=1,C141=kursy4[[#This Row],[Poczatek]]),H141+1,1)</f>
        <v>2</v>
      </c>
    </row>
    <row r="143" spans="1:8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 s="3">
        <v>213</v>
      </c>
      <c r="G143" s="3">
        <f>kursy4[[#This Row],[Cena]]/kursy4[[#This Row],[Odleglosc]]</f>
        <v>1</v>
      </c>
      <c r="H143">
        <f>IF(AND(kursy4[[#This Row],[Data]]-A142=1,C142=kursy4[[#This Row],[Poczatek]]),H142+1,1)</f>
        <v>3</v>
      </c>
    </row>
    <row r="144" spans="1:8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 s="3">
        <v>336</v>
      </c>
      <c r="G144" s="3">
        <f>kursy4[[#This Row],[Cena]]/kursy4[[#This Row],[Odleglosc]]</f>
        <v>2</v>
      </c>
      <c r="H144">
        <f>IF(AND(kursy4[[#This Row],[Data]]-A143=1,C143=kursy4[[#This Row],[Poczatek]]),H143+1,1)</f>
        <v>4</v>
      </c>
    </row>
    <row r="145" spans="1:8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 s="3">
        <v>525</v>
      </c>
      <c r="G145" s="3">
        <f>kursy4[[#This Row],[Cena]]/kursy4[[#This Row],[Odleglosc]]</f>
        <v>3.0882352941176472</v>
      </c>
      <c r="H145">
        <f>IF(AND(kursy4[[#This Row],[Data]]-A144=1,C144=kursy4[[#This Row],[Poczatek]]),H144+1,1)</f>
        <v>5</v>
      </c>
    </row>
    <row r="146" spans="1:8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 s="3">
        <v>546</v>
      </c>
      <c r="G146" s="3">
        <f>kursy4[[#This Row],[Cena]]/kursy4[[#This Row],[Odleglosc]]</f>
        <v>3.7655172413793103</v>
      </c>
      <c r="H146">
        <f>IF(AND(kursy4[[#This Row],[Data]]-A145=1,C145=kursy4[[#This Row],[Poczatek]]),H145+1,1)</f>
        <v>1</v>
      </c>
    </row>
    <row r="147" spans="1:8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 s="3">
        <v>315</v>
      </c>
      <c r="G147" s="3">
        <f>kursy4[[#This Row],[Cena]]/kursy4[[#This Row],[Odleglosc]]</f>
        <v>2.1575342465753424</v>
      </c>
      <c r="H147">
        <f>IF(AND(kursy4[[#This Row],[Data]]-A146=1,C146=kursy4[[#This Row],[Poczatek]]),H146+1,1)</f>
        <v>1</v>
      </c>
    </row>
    <row r="148" spans="1:8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 s="3">
        <v>288</v>
      </c>
      <c r="G148" s="3">
        <f>kursy4[[#This Row],[Cena]]/kursy4[[#This Row],[Odleglosc]]</f>
        <v>2.4</v>
      </c>
      <c r="H148">
        <f>IF(AND(kursy4[[#This Row],[Data]]-A147=1,C147=kursy4[[#This Row],[Poczatek]]),H147+1,1)</f>
        <v>2</v>
      </c>
    </row>
    <row r="149" spans="1:8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 s="3">
        <v>215</v>
      </c>
      <c r="G149" s="3">
        <f>kursy4[[#This Row],[Cena]]/kursy4[[#This Row],[Odleglosc]]</f>
        <v>1.5925925925925926</v>
      </c>
      <c r="H149">
        <f>IF(AND(kursy4[[#This Row],[Data]]-A148=1,C148=kursy4[[#This Row],[Poczatek]]),H148+1,1)</f>
        <v>3</v>
      </c>
    </row>
    <row r="150" spans="1:8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 s="3">
        <v>222</v>
      </c>
      <c r="G150" s="3">
        <f>kursy4[[#This Row],[Cena]]/kursy4[[#This Row],[Odleglosc]]</f>
        <v>1.8813559322033899</v>
      </c>
      <c r="H150">
        <f>IF(AND(kursy4[[#This Row],[Data]]-A149=1,C149=kursy4[[#This Row],[Poczatek]]),H149+1,1)</f>
        <v>4</v>
      </c>
    </row>
    <row r="151" spans="1:8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 s="3">
        <v>108</v>
      </c>
      <c r="G151" s="3">
        <f>kursy4[[#This Row],[Cena]]/kursy4[[#This Row],[Odleglosc]]</f>
        <v>1.1020408163265305</v>
      </c>
      <c r="H151">
        <f>IF(AND(kursy4[[#This Row],[Data]]-A150=1,C150=kursy4[[#This Row],[Poczatek]]),H150+1,1)</f>
        <v>1</v>
      </c>
    </row>
    <row r="152" spans="1:8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 s="3">
        <v>179</v>
      </c>
      <c r="G152" s="3">
        <f>kursy4[[#This Row],[Cena]]/kursy4[[#This Row],[Odleglosc]]</f>
        <v>1.2971014492753623</v>
      </c>
      <c r="H152">
        <f>IF(AND(kursy4[[#This Row],[Data]]-A151=1,C151=kursy4[[#This Row],[Poczatek]]),H151+1,1)</f>
        <v>2</v>
      </c>
    </row>
    <row r="153" spans="1:8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 s="3">
        <v>141</v>
      </c>
      <c r="G153" s="3">
        <f>kursy4[[#This Row],[Cena]]/kursy4[[#This Row],[Odleglosc]]</f>
        <v>1.2155172413793103</v>
      </c>
      <c r="H153">
        <f>IF(AND(kursy4[[#This Row],[Data]]-A152=1,C152=kursy4[[#This Row],[Poczatek]]),H152+1,1)</f>
        <v>3</v>
      </c>
    </row>
    <row r="154" spans="1:8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 s="3">
        <v>438</v>
      </c>
      <c r="G154" s="3">
        <f>kursy4[[#This Row],[Cena]]/kursy4[[#This Row],[Odleglosc]]</f>
        <v>3.65</v>
      </c>
      <c r="H154">
        <f>IF(AND(kursy4[[#This Row],[Data]]-A153=1,C153=kursy4[[#This Row],[Poczatek]]),H153+1,1)</f>
        <v>4</v>
      </c>
    </row>
    <row r="155" spans="1:8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 s="3">
        <v>2887</v>
      </c>
      <c r="G155" s="3">
        <f>kursy4[[#This Row],[Cena]]/kursy4[[#This Row],[Odleglosc]]</f>
        <v>3.8803763440860215</v>
      </c>
      <c r="H155">
        <f>IF(AND(kursy4[[#This Row],[Data]]-A154=1,C154=kursy4[[#This Row],[Poczatek]]),H154+1,1)</f>
        <v>1</v>
      </c>
    </row>
    <row r="156" spans="1:8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 s="3">
        <v>301</v>
      </c>
      <c r="G156" s="3">
        <f>kursy4[[#This Row],[Cena]]/kursy4[[#This Row],[Odleglosc]]</f>
        <v>2.6403508771929824</v>
      </c>
      <c r="H156">
        <f>IF(AND(kursy4[[#This Row],[Data]]-A155=1,C155=kursy4[[#This Row],[Poczatek]]),H155+1,1)</f>
        <v>1</v>
      </c>
    </row>
    <row r="157" spans="1:8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 s="3">
        <v>614</v>
      </c>
      <c r="G157" s="3">
        <f>kursy4[[#This Row],[Cena]]/kursy4[[#This Row],[Odleglosc]]</f>
        <v>3.0098039215686274</v>
      </c>
      <c r="H157">
        <f>IF(AND(kursy4[[#This Row],[Data]]-A156=1,C156=kursy4[[#This Row],[Poczatek]]),H156+1,1)</f>
        <v>1</v>
      </c>
    </row>
    <row r="158" spans="1:8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 s="3">
        <v>518</v>
      </c>
      <c r="G158" s="3">
        <f>kursy4[[#This Row],[Cena]]/kursy4[[#This Row],[Odleglosc]]</f>
        <v>2.5643564356435644</v>
      </c>
      <c r="H158">
        <f>IF(AND(kursy4[[#This Row],[Data]]-A157=1,C157=kursy4[[#This Row],[Poczatek]]),H157+1,1)</f>
        <v>2</v>
      </c>
    </row>
    <row r="159" spans="1:8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 s="3">
        <v>454</v>
      </c>
      <c r="G159" s="3">
        <f>kursy4[[#This Row],[Cena]]/kursy4[[#This Row],[Odleglosc]]</f>
        <v>3.0675675675675675</v>
      </c>
      <c r="H159">
        <f>IF(AND(kursy4[[#This Row],[Data]]-A158=1,C158=kursy4[[#This Row],[Poczatek]]),H158+1,1)</f>
        <v>1</v>
      </c>
    </row>
    <row r="160" spans="1:8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 s="3">
        <v>1446</v>
      </c>
      <c r="G160" s="3">
        <f>kursy4[[#This Row],[Cena]]/kursy4[[#This Row],[Odleglosc]]</f>
        <v>2.3940397350993377</v>
      </c>
      <c r="H160">
        <f>IF(AND(kursy4[[#This Row],[Data]]-A159=1,C159=kursy4[[#This Row],[Poczatek]]),H159+1,1)</f>
        <v>1</v>
      </c>
    </row>
    <row r="161" spans="1:8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 s="3">
        <v>125</v>
      </c>
      <c r="G161" s="3">
        <f>kursy4[[#This Row],[Cena]]/kursy4[[#This Row],[Odleglosc]]</f>
        <v>1.0964912280701755</v>
      </c>
      <c r="H161">
        <f>IF(AND(kursy4[[#This Row],[Data]]-A160=1,C160=kursy4[[#This Row],[Poczatek]]),H160+1,1)</f>
        <v>2</v>
      </c>
    </row>
    <row r="162" spans="1:8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 s="3">
        <v>396</v>
      </c>
      <c r="G162" s="3">
        <f>kursy4[[#This Row],[Cena]]/kursy4[[#This Row],[Odleglosc]]</f>
        <v>1.6569037656903767</v>
      </c>
      <c r="H162">
        <f>IF(AND(kursy4[[#This Row],[Data]]-A161=1,C161=kursy4[[#This Row],[Poczatek]]),H161+1,1)</f>
        <v>1</v>
      </c>
    </row>
    <row r="163" spans="1:8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 s="3">
        <v>899</v>
      </c>
      <c r="G163" s="3">
        <f>kursy4[[#This Row],[Cena]]/kursy4[[#This Row],[Odleglosc]]</f>
        <v>2.0525114155251143</v>
      </c>
      <c r="H163">
        <f>IF(AND(kursy4[[#This Row],[Data]]-A162=1,C162=kursy4[[#This Row],[Poczatek]]),H162+1,1)</f>
        <v>1</v>
      </c>
    </row>
    <row r="164" spans="1:8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 s="3">
        <v>317</v>
      </c>
      <c r="G164" s="3">
        <f>kursy4[[#This Row],[Cena]]/kursy4[[#This Row],[Odleglosc]]</f>
        <v>2.556451612903226</v>
      </c>
      <c r="H164">
        <f>IF(AND(kursy4[[#This Row],[Data]]-A163=1,C163=kursy4[[#This Row],[Poczatek]]),H163+1,1)</f>
        <v>2</v>
      </c>
    </row>
    <row r="165" spans="1:8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 s="3">
        <v>308</v>
      </c>
      <c r="G165" s="3">
        <f>kursy4[[#This Row],[Cena]]/kursy4[[#This Row],[Odleglosc]]</f>
        <v>2.2481751824817517</v>
      </c>
      <c r="H165">
        <f>IF(AND(kursy4[[#This Row],[Data]]-A164=1,C164=kursy4[[#This Row],[Poczatek]]),H164+1,1)</f>
        <v>3</v>
      </c>
    </row>
    <row r="166" spans="1:8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 s="3">
        <v>280</v>
      </c>
      <c r="G166" s="3">
        <f>kursy4[[#This Row],[Cena]]/kursy4[[#This Row],[Odleglosc]]</f>
        <v>2.2950819672131146</v>
      </c>
      <c r="H166">
        <f>IF(AND(kursy4[[#This Row],[Data]]-A165=1,C165=kursy4[[#This Row],[Poczatek]]),H165+1,1)</f>
        <v>1</v>
      </c>
    </row>
    <row r="167" spans="1:8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 s="3">
        <v>297</v>
      </c>
      <c r="G167" s="3">
        <f>kursy4[[#This Row],[Cena]]/kursy4[[#This Row],[Odleglosc]]</f>
        <v>1.6971428571428571</v>
      </c>
      <c r="H167">
        <f>IF(AND(kursy4[[#This Row],[Data]]-A166=1,C166=kursy4[[#This Row],[Poczatek]]),H166+1,1)</f>
        <v>2</v>
      </c>
    </row>
    <row r="168" spans="1:8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 s="3">
        <v>110</v>
      </c>
      <c r="G168" s="3">
        <f>kursy4[[#This Row],[Cena]]/kursy4[[#This Row],[Odleglosc]]</f>
        <v>0.97345132743362828</v>
      </c>
      <c r="H168">
        <f>IF(AND(kursy4[[#This Row],[Data]]-A167=1,C167=kursy4[[#This Row],[Poczatek]]),H167+1,1)</f>
        <v>3</v>
      </c>
    </row>
    <row r="169" spans="1:8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 s="3">
        <v>292</v>
      </c>
      <c r="G169" s="3">
        <f>kursy4[[#This Row],[Cena]]/kursy4[[#This Row],[Odleglosc]]</f>
        <v>1.8024691358024691</v>
      </c>
      <c r="H169">
        <f>IF(AND(kursy4[[#This Row],[Data]]-A168=1,C168=kursy4[[#This Row],[Poczatek]]),H168+1,1)</f>
        <v>1</v>
      </c>
    </row>
    <row r="170" spans="1:8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 s="3">
        <v>258</v>
      </c>
      <c r="G170" s="3">
        <f>kursy4[[#This Row],[Cena]]/kursy4[[#This Row],[Odleglosc]]</f>
        <v>2.4112149532710281</v>
      </c>
      <c r="H170">
        <f>IF(AND(kursy4[[#This Row],[Data]]-A169=1,C169=kursy4[[#This Row],[Poczatek]]),H169+1,1)</f>
        <v>2</v>
      </c>
    </row>
    <row r="171" spans="1:8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 s="3">
        <v>171</v>
      </c>
      <c r="G171" s="3">
        <f>kursy4[[#This Row],[Cena]]/kursy4[[#This Row],[Odleglosc]]</f>
        <v>1.5981308411214954</v>
      </c>
      <c r="H171">
        <f>IF(AND(kursy4[[#This Row],[Data]]-A170=1,C170=kursy4[[#This Row],[Poczatek]]),H170+1,1)</f>
        <v>3</v>
      </c>
    </row>
    <row r="172" spans="1:8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 s="3">
        <v>967</v>
      </c>
      <c r="G172" s="3">
        <f>kursy4[[#This Row],[Cena]]/kursy4[[#This Row],[Odleglosc]]</f>
        <v>3.8835341365461846</v>
      </c>
      <c r="H172">
        <f>IF(AND(kursy4[[#This Row],[Data]]-A171=1,C171=kursy4[[#This Row],[Poczatek]]),H171+1,1)</f>
        <v>1</v>
      </c>
    </row>
    <row r="173" spans="1:8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 s="3">
        <v>699</v>
      </c>
      <c r="G173" s="3">
        <f>kursy4[[#This Row],[Cena]]/kursy4[[#This Row],[Odleglosc]]</f>
        <v>3.3444976076555024</v>
      </c>
      <c r="H173">
        <f>IF(AND(kursy4[[#This Row],[Data]]-A172=1,C172=kursy4[[#This Row],[Poczatek]]),H172+1,1)</f>
        <v>2</v>
      </c>
    </row>
    <row r="174" spans="1:8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 s="3">
        <v>491</v>
      </c>
      <c r="G174" s="3">
        <f>kursy4[[#This Row],[Cena]]/kursy4[[#This Row],[Odleglosc]]</f>
        <v>4.0245901639344259</v>
      </c>
      <c r="H174">
        <f>IF(AND(kursy4[[#This Row],[Data]]-A173=1,C173=kursy4[[#This Row],[Poczatek]]),H173+1,1)</f>
        <v>3</v>
      </c>
    </row>
    <row r="175" spans="1:8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 s="3">
        <v>292</v>
      </c>
      <c r="G175" s="3">
        <f>kursy4[[#This Row],[Cena]]/kursy4[[#This Row],[Odleglosc]]</f>
        <v>2.1313868613138687</v>
      </c>
      <c r="H175">
        <f>IF(AND(kursy4[[#This Row],[Data]]-A174=1,C174=kursy4[[#This Row],[Poczatek]]),H174+1,1)</f>
        <v>4</v>
      </c>
    </row>
    <row r="176" spans="1:8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 s="3">
        <v>1891</v>
      </c>
      <c r="G176" s="3">
        <f>kursy4[[#This Row],[Cena]]/kursy4[[#This Row],[Odleglosc]]</f>
        <v>3.4889298892988929</v>
      </c>
      <c r="H176">
        <f>IF(AND(kursy4[[#This Row],[Data]]-A175=1,C175=kursy4[[#This Row],[Poczatek]]),H175+1,1)</f>
        <v>1</v>
      </c>
    </row>
    <row r="177" spans="1:8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 s="3">
        <v>405</v>
      </c>
      <c r="G177" s="3">
        <f>kursy4[[#This Row],[Cena]]/kursy4[[#This Row],[Odleglosc]]</f>
        <v>2.9347826086956523</v>
      </c>
      <c r="H177">
        <f>IF(AND(kursy4[[#This Row],[Data]]-A176=1,C176=kursy4[[#This Row],[Poczatek]]),H176+1,1)</f>
        <v>2</v>
      </c>
    </row>
    <row r="178" spans="1:8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 s="3">
        <v>115</v>
      </c>
      <c r="G178" s="3">
        <f>kursy4[[#This Row],[Cena]]/kursy4[[#This Row],[Odleglosc]]</f>
        <v>1.2105263157894737</v>
      </c>
      <c r="H178">
        <f>IF(AND(kursy4[[#This Row],[Data]]-A177=1,C177=kursy4[[#This Row],[Poczatek]]),H177+1,1)</f>
        <v>3</v>
      </c>
    </row>
    <row r="179" spans="1:8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 s="3">
        <v>275</v>
      </c>
      <c r="G179" s="3">
        <f>kursy4[[#This Row],[Cena]]/kursy4[[#This Row],[Odleglosc]]</f>
        <v>1.71875</v>
      </c>
      <c r="H179">
        <f>IF(AND(kursy4[[#This Row],[Data]]-A178=1,C178=kursy4[[#This Row],[Poczatek]]),H178+1,1)</f>
        <v>4</v>
      </c>
    </row>
    <row r="180" spans="1:8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 s="3">
        <v>147</v>
      </c>
      <c r="G180" s="3">
        <f>kursy4[[#This Row],[Cena]]/kursy4[[#This Row],[Odleglosc]]</f>
        <v>1.5806451612903225</v>
      </c>
      <c r="H180">
        <f>IF(AND(kursy4[[#This Row],[Data]]-A179=1,C179=kursy4[[#This Row],[Poczatek]]),H179+1,1)</f>
        <v>5</v>
      </c>
    </row>
    <row r="181" spans="1:8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 s="3">
        <v>516</v>
      </c>
      <c r="G181" s="3">
        <f>kursy4[[#This Row],[Cena]]/kursy4[[#This Row],[Odleglosc]]</f>
        <v>3.4864864864864864</v>
      </c>
      <c r="H181">
        <f>IF(AND(kursy4[[#This Row],[Data]]-A180=1,C180=kursy4[[#This Row],[Poczatek]]),H180+1,1)</f>
        <v>1</v>
      </c>
    </row>
    <row r="182" spans="1:8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 s="3">
        <v>398</v>
      </c>
      <c r="G182" s="3">
        <f>kursy4[[#This Row],[Cena]]/kursy4[[#This Row],[Odleglosc]]</f>
        <v>3.0615384615384613</v>
      </c>
      <c r="H182">
        <f>IF(AND(kursy4[[#This Row],[Data]]-A181=1,C181=kursy4[[#This Row],[Poczatek]]),H181+1,1)</f>
        <v>1</v>
      </c>
    </row>
    <row r="183" spans="1:8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 s="3">
        <v>699</v>
      </c>
      <c r="G183" s="3">
        <f>kursy4[[#This Row],[Cena]]/kursy4[[#This Row],[Odleglosc]]</f>
        <v>2.6278195488721803</v>
      </c>
      <c r="H183">
        <f>IF(AND(kursy4[[#This Row],[Data]]-A182=1,C182=kursy4[[#This Row],[Poczatek]]),H182+1,1)</f>
        <v>1</v>
      </c>
    </row>
    <row r="184" spans="1:8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 s="3">
        <v>256</v>
      </c>
      <c r="G184" s="3">
        <f>kursy4[[#This Row],[Cena]]/kursy4[[#This Row],[Odleglosc]]</f>
        <v>2.098360655737705</v>
      </c>
      <c r="H184">
        <f>IF(AND(kursy4[[#This Row],[Data]]-A183=1,C183=kursy4[[#This Row],[Poczatek]]),H183+1,1)</f>
        <v>2</v>
      </c>
    </row>
    <row r="185" spans="1:8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 s="3">
        <v>195</v>
      </c>
      <c r="G185" s="3">
        <f>kursy4[[#This Row],[Cena]]/kursy4[[#This Row],[Odleglosc]]</f>
        <v>1.2913907284768211</v>
      </c>
      <c r="H185">
        <f>IF(AND(kursy4[[#This Row],[Data]]-A184=1,C184=kursy4[[#This Row],[Poczatek]]),H184+1,1)</f>
        <v>3</v>
      </c>
    </row>
    <row r="186" spans="1:8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 s="3">
        <v>207</v>
      </c>
      <c r="G186" s="3">
        <f>kursy4[[#This Row],[Cena]]/kursy4[[#This Row],[Odleglosc]]</f>
        <v>1.7542372881355932</v>
      </c>
      <c r="H186">
        <f>IF(AND(kursy4[[#This Row],[Data]]-A185=1,C185=kursy4[[#This Row],[Poczatek]]),H185+1,1)</f>
        <v>4</v>
      </c>
    </row>
    <row r="187" spans="1:8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 s="3">
        <v>585</v>
      </c>
      <c r="G187" s="3">
        <f>kursy4[[#This Row],[Cena]]/kursy4[[#This Row],[Odleglosc]]</f>
        <v>2.9249999999999998</v>
      </c>
      <c r="H187">
        <f>IF(AND(kursy4[[#This Row],[Data]]-A186=1,C186=kursy4[[#This Row],[Poczatek]]),H186+1,1)</f>
        <v>1</v>
      </c>
    </row>
    <row r="188" spans="1:8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 s="3">
        <v>214</v>
      </c>
      <c r="G188" s="3">
        <f>kursy4[[#This Row],[Cena]]/kursy4[[#This Row],[Odleglosc]]</f>
        <v>1.4758620689655173</v>
      </c>
      <c r="H188">
        <f>IF(AND(kursy4[[#This Row],[Data]]-A187=1,C187=kursy4[[#This Row],[Poczatek]]),H187+1,1)</f>
        <v>2</v>
      </c>
    </row>
    <row r="189" spans="1:8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 s="3">
        <v>417</v>
      </c>
      <c r="G189" s="3">
        <f>kursy4[[#This Row],[Cena]]/kursy4[[#This Row],[Odleglosc]]</f>
        <v>3.0217391304347827</v>
      </c>
      <c r="H189">
        <f>IF(AND(kursy4[[#This Row],[Data]]-A188=1,C188=kursy4[[#This Row],[Poczatek]]),H188+1,1)</f>
        <v>1</v>
      </c>
    </row>
    <row r="190" spans="1:8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 s="3">
        <v>290</v>
      </c>
      <c r="G190" s="3">
        <f>kursy4[[#This Row],[Cena]]/kursy4[[#This Row],[Odleglosc]]</f>
        <v>1.8709677419354838</v>
      </c>
      <c r="H190">
        <f>IF(AND(kursy4[[#This Row],[Data]]-A189=1,C189=kursy4[[#This Row],[Poczatek]]),H189+1,1)</f>
        <v>2</v>
      </c>
    </row>
    <row r="191" spans="1:8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 s="3">
        <v>162</v>
      </c>
      <c r="G191" s="3">
        <f>kursy4[[#This Row],[Cena]]/kursy4[[#This Row],[Odleglosc]]</f>
        <v>1.1172413793103448</v>
      </c>
      <c r="H191">
        <f>IF(AND(kursy4[[#This Row],[Data]]-A190=1,C190=kursy4[[#This Row],[Poczatek]]),H190+1,1)</f>
        <v>3</v>
      </c>
    </row>
    <row r="192" spans="1:8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 s="3">
        <v>576</v>
      </c>
      <c r="G192" s="3">
        <f>kursy4[[#This Row],[Cena]]/kursy4[[#This Row],[Odleglosc]]</f>
        <v>3.3294797687861273</v>
      </c>
      <c r="H192">
        <f>IF(AND(kursy4[[#This Row],[Data]]-A191=1,C191=kursy4[[#This Row],[Poczatek]]),H191+1,1)</f>
        <v>1</v>
      </c>
    </row>
    <row r="193" spans="1:8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 s="3">
        <v>552</v>
      </c>
      <c r="G193" s="3">
        <f>kursy4[[#This Row],[Cena]]/kursy4[[#This Row],[Odleglosc]]</f>
        <v>3.7297297297297298</v>
      </c>
      <c r="H193">
        <f>IF(AND(kursy4[[#This Row],[Data]]-A192=1,C192=kursy4[[#This Row],[Poczatek]]),H192+1,1)</f>
        <v>2</v>
      </c>
    </row>
    <row r="194" spans="1:8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 s="3">
        <v>307</v>
      </c>
      <c r="G194" s="3">
        <f>kursy4[[#This Row],[Cena]]/kursy4[[#This Row],[Odleglosc]]</f>
        <v>2.456</v>
      </c>
      <c r="H194">
        <f>IF(AND(kursy4[[#This Row],[Data]]-A193=1,C193=kursy4[[#This Row],[Poczatek]]),H193+1,1)</f>
        <v>3</v>
      </c>
    </row>
    <row r="195" spans="1:8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 s="3">
        <v>472</v>
      </c>
      <c r="G195" s="3">
        <f>kursy4[[#This Row],[Cena]]/kursy4[[#This Row],[Odleglosc]]</f>
        <v>3.806451612903226</v>
      </c>
      <c r="H195">
        <f>IF(AND(kursy4[[#This Row],[Data]]-A194=1,C194=kursy4[[#This Row],[Poczatek]]),H194+1,1)</f>
        <v>4</v>
      </c>
    </row>
    <row r="196" spans="1:8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 s="3">
        <v>382</v>
      </c>
      <c r="G196" s="3">
        <f>kursy4[[#This Row],[Cena]]/kursy4[[#This Row],[Odleglosc]]</f>
        <v>2.2080924855491331</v>
      </c>
      <c r="H196">
        <f>IF(AND(kursy4[[#This Row],[Data]]-A195=1,C195=kursy4[[#This Row],[Poczatek]]),H195+1,1)</f>
        <v>5</v>
      </c>
    </row>
    <row r="197" spans="1:8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 s="3">
        <v>375</v>
      </c>
      <c r="G197" s="3">
        <f>kursy4[[#This Row],[Cena]]/kursy4[[#This Row],[Odleglosc]]</f>
        <v>2.3734177215189876</v>
      </c>
      <c r="H197">
        <f>IF(AND(kursy4[[#This Row],[Data]]-A196=1,C196=kursy4[[#This Row],[Poczatek]]),H196+1,1)</f>
        <v>6</v>
      </c>
    </row>
    <row r="198" spans="1:8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 s="3">
        <v>276</v>
      </c>
      <c r="G198" s="3">
        <f>kursy4[[#This Row],[Cena]]/kursy4[[#This Row],[Odleglosc]]</f>
        <v>1.6235294117647059</v>
      </c>
      <c r="H198">
        <f>IF(AND(kursy4[[#This Row],[Data]]-A197=1,C197=kursy4[[#This Row],[Poczatek]]),H197+1,1)</f>
        <v>7</v>
      </c>
    </row>
    <row r="199" spans="1:8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 s="3">
        <v>332</v>
      </c>
      <c r="G199" s="3">
        <f>kursy4[[#This Row],[Cena]]/kursy4[[#This Row],[Odleglosc]]</f>
        <v>1.8444444444444446</v>
      </c>
      <c r="H199">
        <f>IF(AND(kursy4[[#This Row],[Data]]-A198=1,C198=kursy4[[#This Row],[Poczatek]]),H198+1,1)</f>
        <v>8</v>
      </c>
    </row>
    <row r="200" spans="1:8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 s="3">
        <v>137</v>
      </c>
      <c r="G200" s="3">
        <f>kursy4[[#This Row],[Cena]]/kursy4[[#This Row],[Odleglosc]]</f>
        <v>1.2017543859649122</v>
      </c>
      <c r="H200">
        <f>IF(AND(kursy4[[#This Row],[Data]]-A199=1,C199=kursy4[[#This Row],[Poczatek]]),H199+1,1)</f>
        <v>1</v>
      </c>
    </row>
    <row r="201" spans="1:8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 s="3">
        <v>279</v>
      </c>
      <c r="G201" s="3">
        <f>kursy4[[#This Row],[Cena]]/kursy4[[#This Row],[Odleglosc]]</f>
        <v>2.70873786407767</v>
      </c>
      <c r="H201">
        <f>IF(AND(kursy4[[#This Row],[Data]]-A200=1,C200=kursy4[[#This Row],[Poczatek]]),H200+1,1)</f>
        <v>1</v>
      </c>
    </row>
    <row r="202" spans="1:8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 s="3">
        <v>501</v>
      </c>
      <c r="G202" s="3">
        <f>kursy4[[#This Row],[Cena]]/kursy4[[#This Row],[Odleglosc]]</f>
        <v>2.2567567567567566</v>
      </c>
      <c r="H202">
        <f>IF(AND(kursy4[[#This Row],[Data]]-A201=1,C201=kursy4[[#This Row],[Poczatek]]),H201+1,1)</f>
        <v>1</v>
      </c>
    </row>
    <row r="203" spans="1:8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 s="3">
        <v>422</v>
      </c>
      <c r="G203" s="3">
        <f>kursy4[[#This Row],[Cena]]/kursy4[[#This Row],[Odleglosc]]</f>
        <v>2.9305555555555554</v>
      </c>
      <c r="H203">
        <f>IF(AND(kursy4[[#This Row],[Data]]-A202=1,C202=kursy4[[#This Row],[Poczatek]]),H202+1,1)</f>
        <v>2</v>
      </c>
    </row>
    <row r="204" spans="1:8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 s="3">
        <v>556</v>
      </c>
      <c r="G204" s="3">
        <f>kursy4[[#This Row],[Cena]]/kursy4[[#This Row],[Odleglosc]]</f>
        <v>2.8958333333333335</v>
      </c>
      <c r="H204">
        <f>IF(AND(kursy4[[#This Row],[Data]]-A203=1,C203=kursy4[[#This Row],[Poczatek]]),H203+1,1)</f>
        <v>3</v>
      </c>
    </row>
    <row r="205" spans="1:8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 s="3">
        <v>162</v>
      </c>
      <c r="G205" s="3">
        <f>kursy4[[#This Row],[Cena]]/kursy4[[#This Row],[Odleglosc]]</f>
        <v>1.1911764705882353</v>
      </c>
      <c r="H205">
        <f>IF(AND(kursy4[[#This Row],[Data]]-A204=1,C204=kursy4[[#This Row],[Poczatek]]),H204+1,1)</f>
        <v>1</v>
      </c>
    </row>
    <row r="206" spans="1:8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 s="3">
        <v>319</v>
      </c>
      <c r="G206" s="3">
        <f>kursy4[[#This Row],[Cena]]/kursy4[[#This Row],[Odleglosc]]</f>
        <v>3.1584158415841586</v>
      </c>
      <c r="H206">
        <f>IF(AND(kursy4[[#This Row],[Data]]-A205=1,C205=kursy4[[#This Row],[Poczatek]]),H205+1,1)</f>
        <v>2</v>
      </c>
    </row>
    <row r="207" spans="1:8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 s="3">
        <v>585</v>
      </c>
      <c r="G207" s="3">
        <f>kursy4[[#This Row],[Cena]]/kursy4[[#This Row],[Odleglosc]]</f>
        <v>3.6792452830188678</v>
      </c>
      <c r="H207">
        <f>IF(AND(kursy4[[#This Row],[Data]]-A206=1,C206=kursy4[[#This Row],[Poczatek]]),H206+1,1)</f>
        <v>1</v>
      </c>
    </row>
    <row r="208" spans="1:8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 s="3">
        <v>288</v>
      </c>
      <c r="G208" s="3">
        <f>kursy4[[#This Row],[Cena]]/kursy4[[#This Row],[Odleglosc]]</f>
        <v>2.2325581395348837</v>
      </c>
      <c r="H208">
        <f>IF(AND(kursy4[[#This Row],[Data]]-A207=1,C207=kursy4[[#This Row],[Poczatek]]),H207+1,1)</f>
        <v>1</v>
      </c>
    </row>
    <row r="209" spans="1:8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 s="3">
        <v>572</v>
      </c>
      <c r="G209" s="3">
        <f>kursy4[[#This Row],[Cena]]/kursy4[[#This Row],[Odleglosc]]</f>
        <v>3.5308641975308643</v>
      </c>
      <c r="H209">
        <f>IF(AND(kursy4[[#This Row],[Data]]-A208=1,C208=kursy4[[#This Row],[Poczatek]]),H208+1,1)</f>
        <v>2</v>
      </c>
    </row>
    <row r="210" spans="1:8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 s="3">
        <v>224</v>
      </c>
      <c r="G210" s="3">
        <f>kursy4[[#This Row],[Cena]]/kursy4[[#This Row],[Odleglosc]]</f>
        <v>1.2727272727272727</v>
      </c>
      <c r="H210">
        <f>IF(AND(kursy4[[#This Row],[Data]]-A209=1,C209=kursy4[[#This Row],[Poczatek]]),H209+1,1)</f>
        <v>1</v>
      </c>
    </row>
    <row r="211" spans="1:8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 s="3">
        <v>993</v>
      </c>
      <c r="G211" s="3">
        <f>kursy4[[#This Row],[Cena]]/kursy4[[#This Row],[Odleglosc]]</f>
        <v>2.8130311614730878</v>
      </c>
      <c r="H211">
        <f>IF(AND(kursy4[[#This Row],[Data]]-A210=1,C210=kursy4[[#This Row],[Poczatek]]),H210+1,1)</f>
        <v>1</v>
      </c>
    </row>
    <row r="212" spans="1:8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 s="3">
        <v>1107</v>
      </c>
      <c r="G212" s="3">
        <f>kursy4[[#This Row],[Cena]]/kursy4[[#This Row],[Odleglosc]]</f>
        <v>2.1411992263056092</v>
      </c>
      <c r="H212">
        <f>IF(AND(kursy4[[#This Row],[Data]]-A211=1,C211=kursy4[[#This Row],[Poczatek]]),H211+1,1)</f>
        <v>1</v>
      </c>
    </row>
    <row r="213" spans="1:8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 s="3">
        <v>1849</v>
      </c>
      <c r="G213" s="3">
        <f>kursy4[[#This Row],[Cena]]/kursy4[[#This Row],[Odleglosc]]</f>
        <v>3.8520833333333333</v>
      </c>
      <c r="H213">
        <f>IF(AND(kursy4[[#This Row],[Data]]-A212=1,C212=kursy4[[#This Row],[Poczatek]]),H212+1,1)</f>
        <v>1</v>
      </c>
    </row>
    <row r="214" spans="1:8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 s="3">
        <v>275</v>
      </c>
      <c r="G214" s="3">
        <f>kursy4[[#This Row],[Cena]]/kursy4[[#This Row],[Odleglosc]]</f>
        <v>2.6442307692307692</v>
      </c>
      <c r="H214">
        <f>IF(AND(kursy4[[#This Row],[Data]]-A213=1,C213=kursy4[[#This Row],[Poczatek]]),H213+1,1)</f>
        <v>2</v>
      </c>
    </row>
    <row r="215" spans="1:8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 s="3">
        <v>396</v>
      </c>
      <c r="G215" s="3">
        <f>kursy4[[#This Row],[Cena]]/kursy4[[#This Row],[Odleglosc]]</f>
        <v>3.7358490566037736</v>
      </c>
      <c r="H215">
        <f>IF(AND(kursy4[[#This Row],[Data]]-A214=1,C214=kursy4[[#This Row],[Poczatek]]),H214+1,1)</f>
        <v>3</v>
      </c>
    </row>
    <row r="216" spans="1:8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 s="3">
        <v>551</v>
      </c>
      <c r="G216" s="3">
        <f>kursy4[[#This Row],[Cena]]/kursy4[[#This Row],[Odleglosc]]</f>
        <v>1.3538083538083538</v>
      </c>
      <c r="H216">
        <f>IF(AND(kursy4[[#This Row],[Data]]-A215=1,C215=kursy4[[#This Row],[Poczatek]]),H215+1,1)</f>
        <v>1</v>
      </c>
    </row>
    <row r="217" spans="1:8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 s="3">
        <v>832</v>
      </c>
      <c r="G217" s="3">
        <f>kursy4[[#This Row],[Cena]]/kursy4[[#This Row],[Odleglosc]]</f>
        <v>3.6651982378854626</v>
      </c>
      <c r="H217">
        <f>IF(AND(kursy4[[#This Row],[Data]]-A216=1,C216=kursy4[[#This Row],[Poczatek]]),H216+1,1)</f>
        <v>1</v>
      </c>
    </row>
    <row r="218" spans="1:8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 s="3">
        <v>653</v>
      </c>
      <c r="G218" s="3">
        <f>kursy4[[#This Row],[Cena]]/kursy4[[#This Row],[Odleglosc]]</f>
        <v>3.4919786096256686</v>
      </c>
      <c r="H218">
        <f>IF(AND(kursy4[[#This Row],[Data]]-A217=1,C217=kursy4[[#This Row],[Poczatek]]),H217+1,1)</f>
        <v>2</v>
      </c>
    </row>
    <row r="219" spans="1:8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 s="3">
        <v>174</v>
      </c>
      <c r="G219" s="3">
        <f>kursy4[[#This Row],[Cena]]/kursy4[[#This Row],[Odleglosc]]</f>
        <v>1.5263157894736843</v>
      </c>
      <c r="H219">
        <f>IF(AND(kursy4[[#This Row],[Data]]-A218=1,C218=kursy4[[#This Row],[Poczatek]]),H218+1,1)</f>
        <v>3</v>
      </c>
    </row>
    <row r="220" spans="1:8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 s="3">
        <v>513</v>
      </c>
      <c r="G220" s="3">
        <f>kursy4[[#This Row],[Cena]]/kursy4[[#This Row],[Odleglosc]]</f>
        <v>3.0903614457831323</v>
      </c>
      <c r="H220">
        <f>IF(AND(kursy4[[#This Row],[Data]]-A219=1,C219=kursy4[[#This Row],[Poczatek]]),H219+1,1)</f>
        <v>4</v>
      </c>
    </row>
    <row r="221" spans="1:8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 s="3">
        <v>194</v>
      </c>
      <c r="G221" s="3">
        <f>kursy4[[#This Row],[Cena]]/kursy4[[#This Row],[Odleglosc]]</f>
        <v>1.9795918367346939</v>
      </c>
      <c r="H221">
        <f>IF(AND(kursy4[[#This Row],[Data]]-A220=1,C220=kursy4[[#This Row],[Poczatek]]),H220+1,1)</f>
        <v>5</v>
      </c>
    </row>
    <row r="222" spans="1:8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 s="3">
        <v>134</v>
      </c>
      <c r="G222" s="3">
        <f>kursy4[[#This Row],[Cena]]/kursy4[[#This Row],[Odleglosc]]</f>
        <v>0.95714285714285718</v>
      </c>
      <c r="H222">
        <f>IF(AND(kursy4[[#This Row],[Data]]-A221=1,C221=kursy4[[#This Row],[Poczatek]]),H221+1,1)</f>
        <v>6</v>
      </c>
    </row>
    <row r="223" spans="1:8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 s="3">
        <v>231</v>
      </c>
      <c r="G223" s="3">
        <f>kursy4[[#This Row],[Cena]]/kursy4[[#This Row],[Odleglosc]]</f>
        <v>1.8629032258064515</v>
      </c>
      <c r="H223">
        <f>IF(AND(kursy4[[#This Row],[Data]]-A222=1,C222=kursy4[[#This Row],[Poczatek]]),H222+1,1)</f>
        <v>1</v>
      </c>
    </row>
    <row r="224" spans="1:8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 s="3">
        <v>356</v>
      </c>
      <c r="G224" s="3">
        <f>kursy4[[#This Row],[Cena]]/kursy4[[#This Row],[Odleglosc]]</f>
        <v>2.8479999999999999</v>
      </c>
      <c r="H224">
        <f>IF(AND(kursy4[[#This Row],[Data]]-A223=1,C223=kursy4[[#This Row],[Poczatek]]),H223+1,1)</f>
        <v>1</v>
      </c>
    </row>
    <row r="225" spans="1:8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 s="3">
        <v>145</v>
      </c>
      <c r="G225" s="3">
        <f>kursy4[[#This Row],[Cena]]/kursy4[[#This Row],[Odleglosc]]</f>
        <v>1.2608695652173914</v>
      </c>
      <c r="H225">
        <f>IF(AND(kursy4[[#This Row],[Data]]-A224=1,C224=kursy4[[#This Row],[Poczatek]]),H224+1,1)</f>
        <v>2</v>
      </c>
    </row>
    <row r="226" spans="1:8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 s="3">
        <v>218</v>
      </c>
      <c r="G226" s="3">
        <f>kursy4[[#This Row],[Cena]]/kursy4[[#This Row],[Odleglosc]]</f>
        <v>1.5683453237410072</v>
      </c>
      <c r="H226">
        <f>IF(AND(kursy4[[#This Row],[Data]]-A225=1,C225=kursy4[[#This Row],[Poczatek]]),H225+1,1)</f>
        <v>3</v>
      </c>
    </row>
    <row r="227" spans="1:8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 s="3">
        <v>280</v>
      </c>
      <c r="G227" s="3">
        <f>kursy4[[#This Row],[Cena]]/kursy4[[#This Row],[Odleglosc]]</f>
        <v>2.3333333333333335</v>
      </c>
      <c r="H227">
        <f>IF(AND(kursy4[[#This Row],[Data]]-A226=1,C226=kursy4[[#This Row],[Poczatek]]),H226+1,1)</f>
        <v>4</v>
      </c>
    </row>
    <row r="228" spans="1:8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 s="3">
        <v>252</v>
      </c>
      <c r="G228" s="3">
        <f>kursy4[[#This Row],[Cena]]/kursy4[[#This Row],[Odleglosc]]</f>
        <v>1.75</v>
      </c>
      <c r="H228">
        <f>IF(AND(kursy4[[#This Row],[Data]]-A227=1,C227=kursy4[[#This Row],[Poczatek]]),H227+1,1)</f>
        <v>5</v>
      </c>
    </row>
    <row r="229" spans="1:8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 s="3">
        <v>501</v>
      </c>
      <c r="G229" s="3">
        <f>kursy4[[#This Row],[Cena]]/kursy4[[#This Row],[Odleglosc]]</f>
        <v>3.528169014084507</v>
      </c>
      <c r="H229">
        <f>IF(AND(kursy4[[#This Row],[Data]]-A228=1,C228=kursy4[[#This Row],[Poczatek]]),H228+1,1)</f>
        <v>6</v>
      </c>
    </row>
    <row r="230" spans="1:8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 s="3">
        <v>289</v>
      </c>
      <c r="G230" s="3">
        <f>kursy4[[#This Row],[Cena]]/kursy4[[#This Row],[Odleglosc]]</f>
        <v>1.5966850828729282</v>
      </c>
      <c r="H230">
        <f>IF(AND(kursy4[[#This Row],[Data]]-A229=1,C229=kursy4[[#This Row],[Poczatek]]),H229+1,1)</f>
        <v>1</v>
      </c>
    </row>
    <row r="231" spans="1:8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 s="3">
        <v>254</v>
      </c>
      <c r="G231" s="3">
        <f>kursy4[[#This Row],[Cena]]/kursy4[[#This Row],[Odleglosc]]</f>
        <v>2.3090909090909091</v>
      </c>
      <c r="H231">
        <f>IF(AND(kursy4[[#This Row],[Data]]-A230=1,C230=kursy4[[#This Row],[Poczatek]]),H230+1,1)</f>
        <v>2</v>
      </c>
    </row>
    <row r="232" spans="1:8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 s="3">
        <v>213</v>
      </c>
      <c r="G232" s="3">
        <f>kursy4[[#This Row],[Cena]]/kursy4[[#This Row],[Odleglosc]]</f>
        <v>1.6640625</v>
      </c>
      <c r="H232">
        <f>IF(AND(kursy4[[#This Row],[Data]]-A231=1,C231=kursy4[[#This Row],[Poczatek]]),H231+1,1)</f>
        <v>1</v>
      </c>
    </row>
    <row r="233" spans="1:8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 s="3">
        <v>248</v>
      </c>
      <c r="G233" s="3">
        <f>kursy4[[#This Row],[Cena]]/kursy4[[#This Row],[Odleglosc]]</f>
        <v>1.4090909090909092</v>
      </c>
      <c r="H233">
        <f>IF(AND(kursy4[[#This Row],[Data]]-A232=1,C232=kursy4[[#This Row],[Poczatek]]),H232+1,1)</f>
        <v>2</v>
      </c>
    </row>
    <row r="234" spans="1:8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 s="3">
        <v>550</v>
      </c>
      <c r="G234" s="3">
        <f>kursy4[[#This Row],[Cena]]/kursy4[[#This Row],[Odleglosc]]</f>
        <v>3.3950617283950617</v>
      </c>
      <c r="H234">
        <f>IF(AND(kursy4[[#This Row],[Data]]-A233=1,C233=kursy4[[#This Row],[Poczatek]]),H233+1,1)</f>
        <v>1</v>
      </c>
    </row>
    <row r="235" spans="1:8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 s="3">
        <v>182</v>
      </c>
      <c r="G235" s="3">
        <f>kursy4[[#This Row],[Cena]]/kursy4[[#This Row],[Odleglosc]]</f>
        <v>1.5826086956521739</v>
      </c>
      <c r="H235">
        <f>IF(AND(kursy4[[#This Row],[Data]]-A234=1,C234=kursy4[[#This Row],[Poczatek]]),H234+1,1)</f>
        <v>2</v>
      </c>
    </row>
    <row r="236" spans="1:8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 s="3">
        <v>312</v>
      </c>
      <c r="G236" s="3">
        <f>kursy4[[#This Row],[Cena]]/kursy4[[#This Row],[Odleglosc]]</f>
        <v>2.6666666666666665</v>
      </c>
      <c r="H236">
        <f>IF(AND(kursy4[[#This Row],[Data]]-A235=1,C235=kursy4[[#This Row],[Poczatek]]),H235+1,1)</f>
        <v>3</v>
      </c>
    </row>
    <row r="237" spans="1:8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 s="3">
        <v>255</v>
      </c>
      <c r="G237" s="3">
        <f>kursy4[[#This Row],[Cena]]/kursy4[[#This Row],[Odleglosc]]</f>
        <v>1.1643835616438356</v>
      </c>
      <c r="H237">
        <f>IF(AND(kursy4[[#This Row],[Data]]-A236=1,C236=kursy4[[#This Row],[Poczatek]]),H236+1,1)</f>
        <v>4</v>
      </c>
    </row>
    <row r="238" spans="1:8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 s="3">
        <v>630</v>
      </c>
      <c r="G238" s="3">
        <f>kursy4[[#This Row],[Cena]]/kursy4[[#This Row],[Odleglosc]]</f>
        <v>3.8414634146341462</v>
      </c>
      <c r="H238">
        <f>IF(AND(kursy4[[#This Row],[Data]]-A237=1,C237=kursy4[[#This Row],[Poczatek]]),H237+1,1)</f>
        <v>5</v>
      </c>
    </row>
    <row r="239" spans="1:8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 s="3">
        <v>240</v>
      </c>
      <c r="G239" s="3">
        <f>kursy4[[#This Row],[Cena]]/kursy4[[#This Row],[Odleglosc]]</f>
        <v>1.7021276595744681</v>
      </c>
      <c r="H239">
        <f>IF(AND(kursy4[[#This Row],[Data]]-A238=1,C238=kursy4[[#This Row],[Poczatek]]),H238+1,1)</f>
        <v>1</v>
      </c>
    </row>
    <row r="240" spans="1:8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 s="3">
        <v>464</v>
      </c>
      <c r="G240" s="3">
        <f>kursy4[[#This Row],[Cena]]/kursy4[[#This Row],[Odleglosc]]</f>
        <v>3.1140939597315436</v>
      </c>
      <c r="H240">
        <f>IF(AND(kursy4[[#This Row],[Data]]-A239=1,C239=kursy4[[#This Row],[Poczatek]]),H239+1,1)</f>
        <v>2</v>
      </c>
    </row>
    <row r="241" spans="1:8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 s="3">
        <v>577</v>
      </c>
      <c r="G241" s="3">
        <f>kursy4[[#This Row],[Cena]]/kursy4[[#This Row],[Odleglosc]]</f>
        <v>3.4759036144578315</v>
      </c>
      <c r="H241">
        <f>IF(AND(kursy4[[#This Row],[Data]]-A240=1,C240=kursy4[[#This Row],[Poczatek]]),H240+1,1)</f>
        <v>1</v>
      </c>
    </row>
    <row r="242" spans="1:8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 s="3">
        <v>469</v>
      </c>
      <c r="G242" s="3">
        <f>kursy4[[#This Row],[Cena]]/kursy4[[#This Row],[Odleglosc]]</f>
        <v>3.4233576642335768</v>
      </c>
      <c r="H242">
        <f>IF(AND(kursy4[[#This Row],[Data]]-A241=1,C241=kursy4[[#This Row],[Poczatek]]),H241+1,1)</f>
        <v>2</v>
      </c>
    </row>
    <row r="243" spans="1:8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 s="3">
        <v>528</v>
      </c>
      <c r="G243" s="3">
        <f>kursy4[[#This Row],[Cena]]/kursy4[[#This Row],[Odleglosc]]</f>
        <v>1.3894736842105264</v>
      </c>
      <c r="H243">
        <f>IF(AND(kursy4[[#This Row],[Data]]-A242=1,C242=kursy4[[#This Row],[Poczatek]]),H242+1,1)</f>
        <v>1</v>
      </c>
    </row>
    <row r="244" spans="1:8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 s="3">
        <v>134</v>
      </c>
      <c r="G244" s="3">
        <f>kursy4[[#This Row],[Cena]]/kursy4[[#This Row],[Odleglosc]]</f>
        <v>1.2293577981651376</v>
      </c>
      <c r="H244">
        <f>IF(AND(kursy4[[#This Row],[Data]]-A243=1,C243=kursy4[[#This Row],[Poczatek]]),H243+1,1)</f>
        <v>2</v>
      </c>
    </row>
    <row r="245" spans="1:8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 s="3">
        <v>345</v>
      </c>
      <c r="G245" s="3">
        <f>kursy4[[#This Row],[Cena]]/kursy4[[#This Row],[Odleglosc]]</f>
        <v>2.5555555555555554</v>
      </c>
      <c r="H245">
        <f>IF(AND(kursy4[[#This Row],[Data]]-A244=1,C244=kursy4[[#This Row],[Poczatek]]),H244+1,1)</f>
        <v>3</v>
      </c>
    </row>
    <row r="246" spans="1:8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 s="3">
        <v>163</v>
      </c>
      <c r="G246" s="3">
        <f>kursy4[[#This Row],[Cena]]/kursy4[[#This Row],[Odleglosc]]</f>
        <v>1.8953488372093024</v>
      </c>
      <c r="H246">
        <f>IF(AND(kursy4[[#This Row],[Data]]-A245=1,C245=kursy4[[#This Row],[Poczatek]]),H245+1,1)</f>
        <v>1</v>
      </c>
    </row>
    <row r="247" spans="1:8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 s="3">
        <v>54</v>
      </c>
      <c r="G247" s="3">
        <f>kursy4[[#This Row],[Cena]]/kursy4[[#This Row],[Odleglosc]]</f>
        <v>1.7419354838709677</v>
      </c>
      <c r="H247">
        <f>IF(AND(kursy4[[#This Row],[Data]]-A246=1,C246=kursy4[[#This Row],[Poczatek]]),H246+1,1)</f>
        <v>1</v>
      </c>
    </row>
    <row r="248" spans="1:8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 s="3">
        <v>301</v>
      </c>
      <c r="G248" s="3">
        <f>kursy4[[#This Row],[Cena]]/kursy4[[#This Row],[Odleglosc]]</f>
        <v>1.9802631578947369</v>
      </c>
      <c r="H248">
        <f>IF(AND(kursy4[[#This Row],[Data]]-A247=1,C247=kursy4[[#This Row],[Poczatek]]),H247+1,1)</f>
        <v>2</v>
      </c>
    </row>
    <row r="249" spans="1:8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 s="3">
        <v>275</v>
      </c>
      <c r="G249" s="3">
        <f>kursy4[[#This Row],[Cena]]/kursy4[[#This Row],[Odleglosc]]</f>
        <v>2.6442307692307692</v>
      </c>
      <c r="H249">
        <f>IF(AND(kursy4[[#This Row],[Data]]-A248=1,C248=kursy4[[#This Row],[Poczatek]]),H248+1,1)</f>
        <v>3</v>
      </c>
    </row>
    <row r="250" spans="1:8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 s="3">
        <v>193</v>
      </c>
      <c r="G250" s="3">
        <f>kursy4[[#This Row],[Cena]]/kursy4[[#This Row],[Odleglosc]]</f>
        <v>1.128654970760234</v>
      </c>
      <c r="H250">
        <f>IF(AND(kursy4[[#This Row],[Data]]-A249=1,C249=kursy4[[#This Row],[Poczatek]]),H249+1,1)</f>
        <v>1</v>
      </c>
    </row>
    <row r="251" spans="1:8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 s="3">
        <v>170</v>
      </c>
      <c r="G251" s="3">
        <f>kursy4[[#This Row],[Cena]]/kursy4[[#This Row],[Odleglosc]]</f>
        <v>1.36</v>
      </c>
      <c r="H251">
        <f>IF(AND(kursy4[[#This Row],[Data]]-A250=1,C250=kursy4[[#This Row],[Poczatek]]),H250+1,1)</f>
        <v>1</v>
      </c>
    </row>
    <row r="252" spans="1:8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 s="3">
        <v>245</v>
      </c>
      <c r="G252" s="3">
        <f>kursy4[[#This Row],[Cena]]/kursy4[[#This Row],[Odleglosc]]</f>
        <v>1.8702290076335877</v>
      </c>
      <c r="H252">
        <f>IF(AND(kursy4[[#This Row],[Data]]-A251=1,C251=kursy4[[#This Row],[Poczatek]]),H251+1,1)</f>
        <v>1</v>
      </c>
    </row>
    <row r="253" spans="1:8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 s="3">
        <v>115</v>
      </c>
      <c r="G253" s="3">
        <f>kursy4[[#This Row],[Cena]]/kursy4[[#This Row],[Odleglosc]]</f>
        <v>1.1386138613861385</v>
      </c>
      <c r="H253">
        <f>IF(AND(kursy4[[#This Row],[Data]]-A252=1,C252=kursy4[[#This Row],[Poczatek]]),H252+1,1)</f>
        <v>1</v>
      </c>
    </row>
    <row r="254" spans="1:8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 s="3">
        <v>670</v>
      </c>
      <c r="G254" s="3">
        <f>kursy4[[#This Row],[Cena]]/kursy4[[#This Row],[Odleglosc]]</f>
        <v>3.175355450236967</v>
      </c>
      <c r="H254">
        <f>IF(AND(kursy4[[#This Row],[Data]]-A253=1,C253=kursy4[[#This Row],[Poczatek]]),H253+1,1)</f>
        <v>1</v>
      </c>
    </row>
    <row r="255" spans="1:8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 s="3">
        <v>254</v>
      </c>
      <c r="G255" s="3">
        <f>kursy4[[#This Row],[Cena]]/kursy4[[#This Row],[Odleglosc]]</f>
        <v>2.134453781512605</v>
      </c>
      <c r="H255">
        <f>IF(AND(kursy4[[#This Row],[Data]]-A254=1,C254=kursy4[[#This Row],[Poczatek]]),H254+1,1)</f>
        <v>2</v>
      </c>
    </row>
    <row r="256" spans="1:8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 s="3">
        <v>192</v>
      </c>
      <c r="G256" s="3">
        <f>kursy4[[#This Row],[Cena]]/kursy4[[#This Row],[Odleglosc]]</f>
        <v>1.2075471698113207</v>
      </c>
      <c r="H256">
        <f>IF(AND(kursy4[[#This Row],[Data]]-A255=1,C255=kursy4[[#This Row],[Poczatek]]),H255+1,1)</f>
        <v>3</v>
      </c>
    </row>
    <row r="257" spans="1:8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 s="3">
        <v>390</v>
      </c>
      <c r="G257" s="3">
        <f>kursy4[[#This Row],[Cena]]/kursy4[[#This Row],[Odleglosc]]</f>
        <v>3.0708661417322833</v>
      </c>
      <c r="H257">
        <f>IF(AND(kursy4[[#This Row],[Data]]-A256=1,C256=kursy4[[#This Row],[Poczatek]]),H256+1,1)</f>
        <v>4</v>
      </c>
    </row>
    <row r="258" spans="1:8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 s="3">
        <v>688</v>
      </c>
      <c r="G258" s="3">
        <f>kursy4[[#This Row],[Cena]]/kursy4[[#This Row],[Odleglosc]]</f>
        <v>2.4571428571428573</v>
      </c>
      <c r="H258">
        <f>IF(AND(kursy4[[#This Row],[Data]]-A257=1,C257=kursy4[[#This Row],[Poczatek]]),H257+1,1)</f>
        <v>1</v>
      </c>
    </row>
    <row r="259" spans="1:8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 s="3">
        <v>547</v>
      </c>
      <c r="G259" s="3">
        <f>kursy4[[#This Row],[Cena]]/kursy4[[#This Row],[Odleglosc]]</f>
        <v>3.8794326241134751</v>
      </c>
      <c r="H259">
        <f>IF(AND(kursy4[[#This Row],[Data]]-A258=1,C258=kursy4[[#This Row],[Poczatek]]),H258+1,1)</f>
        <v>2</v>
      </c>
    </row>
    <row r="260" spans="1:8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 s="3">
        <v>363</v>
      </c>
      <c r="G260" s="3">
        <f>kursy4[[#This Row],[Cena]]/kursy4[[#This Row],[Odleglosc]]</f>
        <v>2.9754098360655736</v>
      </c>
      <c r="H260">
        <f>IF(AND(kursy4[[#This Row],[Data]]-A259=1,C259=kursy4[[#This Row],[Poczatek]]),H259+1,1)</f>
        <v>3</v>
      </c>
    </row>
    <row r="261" spans="1:8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 s="3">
        <v>240</v>
      </c>
      <c r="G261" s="3">
        <f>kursy4[[#This Row],[Cena]]/kursy4[[#This Row],[Odleglosc]]</f>
        <v>1.4906832298136645</v>
      </c>
      <c r="H261">
        <f>IF(AND(kursy4[[#This Row],[Data]]-A260=1,C260=kursy4[[#This Row],[Poczatek]]),H260+1,1)</f>
        <v>4</v>
      </c>
    </row>
    <row r="262" spans="1:8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 s="3">
        <v>579</v>
      </c>
      <c r="G262" s="3">
        <f>kursy4[[#This Row],[Cena]]/kursy4[[#This Row],[Odleglosc]]</f>
        <v>2.5848214285714284</v>
      </c>
      <c r="H262">
        <f>IF(AND(kursy4[[#This Row],[Data]]-A261=1,C261=kursy4[[#This Row],[Poczatek]]),H261+1,1)</f>
        <v>1</v>
      </c>
    </row>
    <row r="263" spans="1:8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 s="3">
        <v>574</v>
      </c>
      <c r="G263" s="3">
        <f>kursy4[[#This Row],[Cena]]/kursy4[[#This Row],[Odleglosc]]</f>
        <v>3.4578313253012047</v>
      </c>
      <c r="H263">
        <f>IF(AND(kursy4[[#This Row],[Data]]-A262=1,C262=kursy4[[#This Row],[Poczatek]]),H262+1,1)</f>
        <v>2</v>
      </c>
    </row>
    <row r="264" spans="1:8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 s="3">
        <v>202</v>
      </c>
      <c r="G264" s="3">
        <f>kursy4[[#This Row],[Cena]]/kursy4[[#This Row],[Odleglosc]]</f>
        <v>1.8878504672897196</v>
      </c>
      <c r="H264">
        <f>IF(AND(kursy4[[#This Row],[Data]]-A263=1,C263=kursy4[[#This Row],[Poczatek]]),H263+1,1)</f>
        <v>3</v>
      </c>
    </row>
    <row r="265" spans="1:8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 s="3">
        <v>325</v>
      </c>
      <c r="G265" s="3">
        <f>kursy4[[#This Row],[Cena]]/kursy4[[#This Row],[Odleglosc]]</f>
        <v>2.3897058823529411</v>
      </c>
      <c r="H265">
        <f>IF(AND(kursy4[[#This Row],[Data]]-A264=1,C264=kursy4[[#This Row],[Poczatek]]),H264+1,1)</f>
        <v>4</v>
      </c>
    </row>
    <row r="266" spans="1:8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 s="3">
        <v>634</v>
      </c>
      <c r="G266" s="3">
        <f>kursy4[[#This Row],[Cena]]/kursy4[[#This Row],[Odleglosc]]</f>
        <v>3.5617977528089888</v>
      </c>
      <c r="H266">
        <f>IF(AND(kursy4[[#This Row],[Data]]-A265=1,C265=kursy4[[#This Row],[Poczatek]]),H265+1,1)</f>
        <v>5</v>
      </c>
    </row>
    <row r="267" spans="1:8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 s="3">
        <v>408</v>
      </c>
      <c r="G267" s="3">
        <f>kursy4[[#This Row],[Cena]]/kursy4[[#This Row],[Odleglosc]]</f>
        <v>2.5185185185185186</v>
      </c>
      <c r="H267">
        <f>IF(AND(kursy4[[#This Row],[Data]]-A266=1,C266=kursy4[[#This Row],[Poczatek]]),H266+1,1)</f>
        <v>6</v>
      </c>
    </row>
    <row r="268" spans="1:8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 s="3">
        <v>1098</v>
      </c>
      <c r="G268" s="3">
        <f>kursy4[[#This Row],[Cena]]/kursy4[[#This Row],[Odleglosc]]</f>
        <v>2.4785553047404063</v>
      </c>
      <c r="H268">
        <f>IF(AND(kursy4[[#This Row],[Data]]-A267=1,C267=kursy4[[#This Row],[Poczatek]]),H267+1,1)</f>
        <v>1</v>
      </c>
    </row>
    <row r="269" spans="1:8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 s="3">
        <v>432</v>
      </c>
      <c r="G269" s="3">
        <f>kursy4[[#This Row],[Cena]]/kursy4[[#This Row],[Odleglosc]]</f>
        <v>2.9387755102040818</v>
      </c>
      <c r="H269">
        <f>IF(AND(kursy4[[#This Row],[Data]]-A268=1,C268=kursy4[[#This Row],[Poczatek]]),H268+1,1)</f>
        <v>2</v>
      </c>
    </row>
    <row r="270" spans="1:8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 s="3">
        <v>1185</v>
      </c>
      <c r="G270" s="3">
        <f>kursy4[[#This Row],[Cena]]/kursy4[[#This Row],[Odleglosc]]</f>
        <v>2.3987854251012144</v>
      </c>
      <c r="H270">
        <f>IF(AND(kursy4[[#This Row],[Data]]-A269=1,C269=kursy4[[#This Row],[Poczatek]]),H269+1,1)</f>
        <v>1</v>
      </c>
    </row>
    <row r="271" spans="1:8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 s="3">
        <v>181</v>
      </c>
      <c r="G271" s="3">
        <f>kursy4[[#This Row],[Cena]]/kursy4[[#This Row],[Odleglosc]]</f>
        <v>1.946236559139785</v>
      </c>
      <c r="H271">
        <f>IF(AND(kursy4[[#This Row],[Data]]-A270=1,C270=kursy4[[#This Row],[Poczatek]]),H270+1,1)</f>
        <v>2</v>
      </c>
    </row>
    <row r="272" spans="1:8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 s="3">
        <v>366</v>
      </c>
      <c r="G272" s="3">
        <f>kursy4[[#This Row],[Cena]]/kursy4[[#This Row],[Odleglosc]]</f>
        <v>3.3577981651376145</v>
      </c>
      <c r="H272">
        <f>IF(AND(kursy4[[#This Row],[Data]]-A271=1,C271=kursy4[[#This Row],[Poczatek]]),H271+1,1)</f>
        <v>1</v>
      </c>
    </row>
    <row r="273" spans="1:8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 s="3">
        <v>263</v>
      </c>
      <c r="G273" s="3">
        <f>kursy4[[#This Row],[Cena]]/kursy4[[#This Row],[Odleglosc]]</f>
        <v>2.3482142857142856</v>
      </c>
      <c r="H273">
        <f>IF(AND(kursy4[[#This Row],[Data]]-A272=1,C272=kursy4[[#This Row],[Poczatek]]),H272+1,1)</f>
        <v>2</v>
      </c>
    </row>
    <row r="274" spans="1:8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 s="3">
        <v>196</v>
      </c>
      <c r="G274" s="3">
        <f>kursy4[[#This Row],[Cena]]/kursy4[[#This Row],[Odleglosc]]</f>
        <v>1.798165137614679</v>
      </c>
      <c r="H274">
        <f>IF(AND(kursy4[[#This Row],[Data]]-A273=1,C273=kursy4[[#This Row],[Poczatek]]),H273+1,1)</f>
        <v>3</v>
      </c>
    </row>
    <row r="275" spans="1:8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 s="3">
        <v>150</v>
      </c>
      <c r="G275" s="3">
        <f>kursy4[[#This Row],[Cena]]/kursy4[[#This Row],[Odleglosc]]</f>
        <v>1.2096774193548387</v>
      </c>
      <c r="H275">
        <f>IF(AND(kursy4[[#This Row],[Data]]-A274=1,C274=kursy4[[#This Row],[Poczatek]]),H274+1,1)</f>
        <v>1</v>
      </c>
    </row>
    <row r="276" spans="1:8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 s="3">
        <v>435</v>
      </c>
      <c r="G276" s="3">
        <f>kursy4[[#This Row],[Cena]]/kursy4[[#This Row],[Odleglosc]]</f>
        <v>4.1826923076923075</v>
      </c>
      <c r="H276">
        <f>IF(AND(kursy4[[#This Row],[Data]]-A275=1,C275=kursy4[[#This Row],[Poczatek]]),H275+1,1)</f>
        <v>2</v>
      </c>
    </row>
    <row r="277" spans="1:8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 s="3">
        <v>717</v>
      </c>
      <c r="G277" s="3">
        <f>kursy4[[#This Row],[Cena]]/kursy4[[#This Row],[Odleglosc]]</f>
        <v>2.7898832684824901</v>
      </c>
      <c r="H277">
        <f>IF(AND(kursy4[[#This Row],[Data]]-A276=1,C276=kursy4[[#This Row],[Poczatek]]),H276+1,1)</f>
        <v>1</v>
      </c>
    </row>
    <row r="278" spans="1:8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 s="3">
        <v>310</v>
      </c>
      <c r="G278" s="3">
        <f>kursy4[[#This Row],[Cena]]/kursy4[[#This Row],[Odleglosc]]</f>
        <v>2.7433628318584069</v>
      </c>
      <c r="H278">
        <f>IF(AND(kursy4[[#This Row],[Data]]-A277=1,C277=kursy4[[#This Row],[Poczatek]]),H277+1,1)</f>
        <v>2</v>
      </c>
    </row>
    <row r="279" spans="1:8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 s="3">
        <v>1436</v>
      </c>
      <c r="G279" s="3">
        <f>kursy4[[#This Row],[Cena]]/kursy4[[#This Row],[Odleglosc]]</f>
        <v>3.511002444987775</v>
      </c>
      <c r="H279">
        <f>IF(AND(kursy4[[#This Row],[Data]]-A278=1,C278=kursy4[[#This Row],[Poczatek]]),H278+1,1)</f>
        <v>1</v>
      </c>
    </row>
    <row r="280" spans="1:8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 s="3">
        <v>400</v>
      </c>
      <c r="G280" s="3">
        <f>kursy4[[#This Row],[Cena]]/kursy4[[#This Row],[Odleglosc]]</f>
        <v>3.6363636363636362</v>
      </c>
      <c r="H280">
        <f>IF(AND(kursy4[[#This Row],[Data]]-A279=1,C279=kursy4[[#This Row],[Poczatek]]),H279+1,1)</f>
        <v>2</v>
      </c>
    </row>
    <row r="281" spans="1:8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 s="3">
        <v>163</v>
      </c>
      <c r="G281" s="3">
        <f>kursy4[[#This Row],[Cena]]/kursy4[[#This Row],[Odleglosc]]</f>
        <v>1.2348484848484849</v>
      </c>
      <c r="H281">
        <f>IF(AND(kursy4[[#This Row],[Data]]-A280=1,C280=kursy4[[#This Row],[Poczatek]]),H280+1,1)</f>
        <v>3</v>
      </c>
    </row>
    <row r="282" spans="1:8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 s="3">
        <v>273</v>
      </c>
      <c r="G282" s="3">
        <f>kursy4[[#This Row],[Cena]]/kursy4[[#This Row],[Odleglosc]]</f>
        <v>1.6058823529411765</v>
      </c>
      <c r="H282">
        <f>IF(AND(kursy4[[#This Row],[Data]]-A281=1,C281=kursy4[[#This Row],[Poczatek]]),H281+1,1)</f>
        <v>1</v>
      </c>
    </row>
    <row r="283" spans="1:8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 s="3">
        <v>279</v>
      </c>
      <c r="G283" s="3">
        <f>kursy4[[#This Row],[Cena]]/kursy4[[#This Row],[Odleglosc]]</f>
        <v>2.5363636363636362</v>
      </c>
      <c r="H283">
        <f>IF(AND(kursy4[[#This Row],[Data]]-A282=1,C282=kursy4[[#This Row],[Poczatek]]),H282+1,1)</f>
        <v>1</v>
      </c>
    </row>
    <row r="284" spans="1:8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 s="3">
        <v>455</v>
      </c>
      <c r="G284" s="3">
        <f>kursy4[[#This Row],[Cena]]/kursy4[[#This Row],[Odleglosc]]</f>
        <v>3.2971014492753623</v>
      </c>
      <c r="H284">
        <f>IF(AND(kursy4[[#This Row],[Data]]-A283=1,C283=kursy4[[#This Row],[Poczatek]]),H283+1,1)</f>
        <v>2</v>
      </c>
    </row>
    <row r="285" spans="1:8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 s="3">
        <v>370</v>
      </c>
      <c r="G285" s="3">
        <f>kursy4[[#This Row],[Cena]]/kursy4[[#This Row],[Odleglosc]]</f>
        <v>3.2456140350877192</v>
      </c>
      <c r="H285">
        <f>IF(AND(kursy4[[#This Row],[Data]]-A284=1,C284=kursy4[[#This Row],[Poczatek]]),H284+1,1)</f>
        <v>3</v>
      </c>
    </row>
    <row r="286" spans="1:8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 s="3">
        <v>319</v>
      </c>
      <c r="G286" s="3">
        <f>kursy4[[#This Row],[Cena]]/kursy4[[#This Row],[Odleglosc]]</f>
        <v>2.2624113475177303</v>
      </c>
      <c r="H286">
        <f>IF(AND(kursy4[[#This Row],[Data]]-A285=1,C285=kursy4[[#This Row],[Poczatek]]),H285+1,1)</f>
        <v>4</v>
      </c>
    </row>
    <row r="287" spans="1:8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 s="3">
        <v>396</v>
      </c>
      <c r="G287" s="3">
        <f>kursy4[[#This Row],[Cena]]/kursy4[[#This Row],[Odleglosc]]</f>
        <v>3.1428571428571428</v>
      </c>
      <c r="H287">
        <f>IF(AND(kursy4[[#This Row],[Data]]-A286=1,C286=kursy4[[#This Row],[Poczatek]]),H286+1,1)</f>
        <v>5</v>
      </c>
    </row>
    <row r="288" spans="1:8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 s="3">
        <v>158</v>
      </c>
      <c r="G288" s="3">
        <f>kursy4[[#This Row],[Cena]]/kursy4[[#This Row],[Odleglosc]]</f>
        <v>1.2061068702290076</v>
      </c>
      <c r="H288">
        <f>IF(AND(kursy4[[#This Row],[Data]]-A287=1,C287=kursy4[[#This Row],[Poczatek]]),H287+1,1)</f>
        <v>6</v>
      </c>
    </row>
    <row r="289" spans="1:8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 s="3">
        <v>280</v>
      </c>
      <c r="G289" s="3">
        <f>kursy4[[#This Row],[Cena]]/kursy4[[#This Row],[Odleglosc]]</f>
        <v>1.7948717948717949</v>
      </c>
      <c r="H289">
        <f>IF(AND(kursy4[[#This Row],[Data]]-A288=1,C288=kursy4[[#This Row],[Poczatek]]),H288+1,1)</f>
        <v>7</v>
      </c>
    </row>
    <row r="290" spans="1:8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 s="3">
        <v>475</v>
      </c>
      <c r="G290" s="3">
        <f>kursy4[[#This Row],[Cena]]/kursy4[[#This Row],[Odleglosc]]</f>
        <v>3.4172661870503598</v>
      </c>
      <c r="H290">
        <f>IF(AND(kursy4[[#This Row],[Data]]-A289=1,C289=kursy4[[#This Row],[Poczatek]]),H289+1,1)</f>
        <v>8</v>
      </c>
    </row>
    <row r="291" spans="1:8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 s="3">
        <v>193</v>
      </c>
      <c r="G291" s="3">
        <f>kursy4[[#This Row],[Cena]]/kursy4[[#This Row],[Odleglosc]]</f>
        <v>1.5950413223140496</v>
      </c>
      <c r="H291">
        <f>IF(AND(kursy4[[#This Row],[Data]]-A290=1,C290=kursy4[[#This Row],[Poczatek]]),H290+1,1)</f>
        <v>9</v>
      </c>
    </row>
    <row r="292" spans="1:8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 s="3">
        <v>476</v>
      </c>
      <c r="G292" s="3">
        <f>kursy4[[#This Row],[Cena]]/kursy4[[#This Row],[Odleglosc]]</f>
        <v>2.9937106918238992</v>
      </c>
      <c r="H292">
        <f>IF(AND(kursy4[[#This Row],[Data]]-A291=1,C291=kursy4[[#This Row],[Poczatek]]),H291+1,1)</f>
        <v>10</v>
      </c>
    </row>
    <row r="293" spans="1:8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 s="3">
        <v>338</v>
      </c>
      <c r="G293" s="3">
        <f>kursy4[[#This Row],[Cena]]/kursy4[[#This Row],[Odleglosc]]</f>
        <v>2.1124999999999998</v>
      </c>
      <c r="H293">
        <f>IF(AND(kursy4[[#This Row],[Data]]-A292=1,C292=kursy4[[#This Row],[Poczatek]]),H292+1,1)</f>
        <v>11</v>
      </c>
    </row>
    <row r="294" spans="1:8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 s="3">
        <v>359</v>
      </c>
      <c r="G294" s="3">
        <f>kursy4[[#This Row],[Cena]]/kursy4[[#This Row],[Odleglosc]]</f>
        <v>2.2024539877300615</v>
      </c>
      <c r="H294">
        <f>IF(AND(kursy4[[#This Row],[Data]]-A293=1,C293=kursy4[[#This Row],[Poczatek]]),H293+1,1)</f>
        <v>1</v>
      </c>
    </row>
    <row r="295" spans="1:8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 s="3">
        <v>760</v>
      </c>
      <c r="G295" s="3">
        <f>kursy4[[#This Row],[Cena]]/kursy4[[#This Row],[Odleglosc]]</f>
        <v>4.1758241758241761</v>
      </c>
      <c r="H295">
        <f>IF(AND(kursy4[[#This Row],[Data]]-A294=1,C294=kursy4[[#This Row],[Poczatek]]),H294+1,1)</f>
        <v>1</v>
      </c>
    </row>
    <row r="296" spans="1:8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 s="3">
        <v>1198</v>
      </c>
      <c r="G296" s="3">
        <f>kursy4[[#This Row],[Cena]]/kursy4[[#This Row],[Odleglosc]]</f>
        <v>2.2144177449168208</v>
      </c>
      <c r="H296">
        <f>IF(AND(kursy4[[#This Row],[Data]]-A295=1,C295=kursy4[[#This Row],[Poczatek]]),H295+1,1)</f>
        <v>1</v>
      </c>
    </row>
    <row r="297" spans="1:8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 s="3">
        <v>168</v>
      </c>
      <c r="G297" s="3">
        <f>kursy4[[#This Row],[Cena]]/kursy4[[#This Row],[Odleglosc]]</f>
        <v>1.1125827814569536</v>
      </c>
      <c r="H297">
        <f>IF(AND(kursy4[[#This Row],[Data]]-A296=1,C296=kursy4[[#This Row],[Poczatek]]),H296+1,1)</f>
        <v>2</v>
      </c>
    </row>
    <row r="298" spans="1:8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 s="3">
        <v>323</v>
      </c>
      <c r="G298" s="3">
        <f>kursy4[[#This Row],[Cena]]/kursy4[[#This Row],[Odleglosc]]</f>
        <v>2.3576642335766422</v>
      </c>
      <c r="H298">
        <f>IF(AND(kursy4[[#This Row],[Data]]-A297=1,C297=kursy4[[#This Row],[Poczatek]]),H297+1,1)</f>
        <v>3</v>
      </c>
    </row>
    <row r="299" spans="1:8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 s="3">
        <v>341</v>
      </c>
      <c r="G299" s="3">
        <f>kursy4[[#This Row],[Cena]]/kursy4[[#This Row],[Odleglosc]]</f>
        <v>2.2885906040268456</v>
      </c>
      <c r="H299">
        <f>IF(AND(kursy4[[#This Row],[Data]]-A298=1,C298=kursy4[[#This Row],[Poczatek]]),H298+1,1)</f>
        <v>4</v>
      </c>
    </row>
    <row r="300" spans="1:8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 s="3">
        <v>491</v>
      </c>
      <c r="G300" s="3">
        <f>kursy4[[#This Row],[Cena]]/kursy4[[#This Row],[Odleglosc]]</f>
        <v>3.2302631578947367</v>
      </c>
      <c r="H300">
        <f>IF(AND(kursy4[[#This Row],[Data]]-A299=1,C299=kursy4[[#This Row],[Poczatek]]),H299+1,1)</f>
        <v>5</v>
      </c>
    </row>
    <row r="301" spans="1:8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 s="3">
        <v>219</v>
      </c>
      <c r="G301" s="3">
        <f>kursy4[[#This Row],[Cena]]/kursy4[[#This Row],[Odleglosc]]</f>
        <v>1.7380952380952381</v>
      </c>
      <c r="H301">
        <f>IF(AND(kursy4[[#This Row],[Data]]-A300=1,C300=kursy4[[#This Row],[Poczatek]]),H300+1,1)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6CD15-FC3F-4B75-9485-BBB7E99C23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6_1 i 6_2</vt:lpstr>
      <vt:lpstr>6_3_6_4_pom</vt:lpstr>
      <vt:lpstr>6_3</vt:lpstr>
      <vt:lpstr>6_4_pom</vt:lpstr>
      <vt:lpstr>6_4</vt:lpstr>
      <vt:lpstr>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2020-03-06T18:35:52Z</dcterms:modified>
</cp:coreProperties>
</file>