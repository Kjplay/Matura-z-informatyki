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D:\Szkoła\Liceum\Infa zadanka\dane_2020\Zadanie 5\"/>
    </mc:Choice>
  </mc:AlternateContent>
  <xr:revisionPtr revIDLastSave="0" documentId="13_ncr:1_{5FCD524E-5D2B-4CE4-9B1C-EB96D5B69214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5_1 i 5_2 i 5_4" sheetId="1" r:id="rId1"/>
    <sheet name="5_3" sheetId="4" r:id="rId2"/>
    <sheet name="5_5" sheetId="6" r:id="rId3"/>
    <sheet name="5_6" sheetId="5" r:id="rId4"/>
  </sheets>
  <calcPr calcId="191029"/>
  <pivotCaches>
    <pivotCache cacheId="8" r:id="rId5"/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5" l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3" i="5"/>
  <c r="L5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3" i="5"/>
  <c r="G483" i="5"/>
  <c r="C483" i="5"/>
  <c r="G482" i="5"/>
  <c r="C482" i="5"/>
  <c r="G481" i="5"/>
  <c r="C481" i="5"/>
  <c r="G480" i="5"/>
  <c r="C480" i="5"/>
  <c r="G479" i="5"/>
  <c r="C479" i="5"/>
  <c r="G478" i="5"/>
  <c r="C478" i="5"/>
  <c r="G477" i="5"/>
  <c r="C477" i="5"/>
  <c r="G476" i="5"/>
  <c r="C476" i="5"/>
  <c r="G475" i="5"/>
  <c r="C475" i="5"/>
  <c r="G474" i="5"/>
  <c r="C474" i="5"/>
  <c r="G473" i="5"/>
  <c r="C473" i="5"/>
  <c r="G472" i="5"/>
  <c r="C472" i="5"/>
  <c r="G471" i="5"/>
  <c r="C471" i="5"/>
  <c r="G470" i="5"/>
  <c r="C470" i="5"/>
  <c r="G469" i="5"/>
  <c r="C469" i="5"/>
  <c r="G468" i="5"/>
  <c r="C468" i="5"/>
  <c r="G467" i="5"/>
  <c r="C467" i="5"/>
  <c r="G466" i="5"/>
  <c r="C466" i="5"/>
  <c r="G465" i="5"/>
  <c r="C465" i="5"/>
  <c r="G464" i="5"/>
  <c r="C464" i="5"/>
  <c r="G463" i="5"/>
  <c r="C463" i="5"/>
  <c r="G462" i="5"/>
  <c r="C462" i="5"/>
  <c r="G461" i="5"/>
  <c r="C461" i="5"/>
  <c r="G460" i="5"/>
  <c r="C460" i="5"/>
  <c r="G459" i="5"/>
  <c r="C459" i="5"/>
  <c r="G458" i="5"/>
  <c r="C458" i="5"/>
  <c r="G457" i="5"/>
  <c r="C457" i="5"/>
  <c r="G456" i="5"/>
  <c r="C456" i="5"/>
  <c r="G455" i="5"/>
  <c r="C455" i="5"/>
  <c r="G454" i="5"/>
  <c r="C454" i="5"/>
  <c r="G453" i="5"/>
  <c r="C453" i="5"/>
  <c r="G452" i="5"/>
  <c r="C452" i="5"/>
  <c r="G451" i="5"/>
  <c r="C451" i="5"/>
  <c r="G450" i="5"/>
  <c r="C450" i="5"/>
  <c r="G449" i="5"/>
  <c r="C449" i="5"/>
  <c r="G448" i="5"/>
  <c r="C448" i="5"/>
  <c r="G447" i="5"/>
  <c r="C447" i="5"/>
  <c r="G446" i="5"/>
  <c r="C446" i="5"/>
  <c r="G445" i="5"/>
  <c r="C445" i="5"/>
  <c r="G444" i="5"/>
  <c r="C444" i="5"/>
  <c r="G443" i="5"/>
  <c r="C443" i="5"/>
  <c r="G442" i="5"/>
  <c r="C442" i="5"/>
  <c r="G441" i="5"/>
  <c r="C441" i="5"/>
  <c r="G440" i="5"/>
  <c r="C440" i="5"/>
  <c r="G439" i="5"/>
  <c r="C439" i="5"/>
  <c r="G438" i="5"/>
  <c r="C438" i="5"/>
  <c r="G437" i="5"/>
  <c r="C437" i="5"/>
  <c r="G436" i="5"/>
  <c r="C436" i="5"/>
  <c r="G435" i="5"/>
  <c r="C435" i="5"/>
  <c r="G434" i="5"/>
  <c r="C434" i="5"/>
  <c r="G433" i="5"/>
  <c r="C433" i="5"/>
  <c r="G432" i="5"/>
  <c r="C432" i="5"/>
  <c r="G431" i="5"/>
  <c r="C431" i="5"/>
  <c r="G430" i="5"/>
  <c r="C430" i="5"/>
  <c r="G429" i="5"/>
  <c r="C429" i="5"/>
  <c r="G428" i="5"/>
  <c r="C428" i="5"/>
  <c r="G427" i="5"/>
  <c r="C427" i="5"/>
  <c r="G426" i="5"/>
  <c r="C426" i="5"/>
  <c r="G425" i="5"/>
  <c r="C425" i="5"/>
  <c r="G424" i="5"/>
  <c r="C424" i="5"/>
  <c r="G423" i="5"/>
  <c r="C423" i="5"/>
  <c r="G422" i="5"/>
  <c r="C422" i="5"/>
  <c r="G421" i="5"/>
  <c r="C421" i="5"/>
  <c r="G420" i="5"/>
  <c r="C420" i="5"/>
  <c r="G419" i="5"/>
  <c r="C419" i="5"/>
  <c r="G418" i="5"/>
  <c r="C418" i="5"/>
  <c r="G417" i="5"/>
  <c r="C417" i="5"/>
  <c r="G416" i="5"/>
  <c r="C416" i="5"/>
  <c r="G415" i="5"/>
  <c r="C415" i="5"/>
  <c r="G414" i="5"/>
  <c r="C414" i="5"/>
  <c r="G413" i="5"/>
  <c r="C413" i="5"/>
  <c r="G412" i="5"/>
  <c r="C412" i="5"/>
  <c r="G411" i="5"/>
  <c r="C411" i="5"/>
  <c r="G410" i="5"/>
  <c r="C410" i="5"/>
  <c r="G409" i="5"/>
  <c r="C409" i="5"/>
  <c r="G408" i="5"/>
  <c r="C408" i="5"/>
  <c r="G407" i="5"/>
  <c r="C407" i="5"/>
  <c r="G406" i="5"/>
  <c r="C406" i="5"/>
  <c r="G405" i="5"/>
  <c r="C405" i="5"/>
  <c r="G404" i="5"/>
  <c r="C404" i="5"/>
  <c r="G403" i="5"/>
  <c r="C403" i="5"/>
  <c r="G402" i="5"/>
  <c r="C402" i="5"/>
  <c r="G401" i="5"/>
  <c r="C401" i="5"/>
  <c r="G400" i="5"/>
  <c r="C400" i="5"/>
  <c r="G399" i="5"/>
  <c r="C399" i="5"/>
  <c r="G398" i="5"/>
  <c r="C398" i="5"/>
  <c r="G397" i="5"/>
  <c r="C397" i="5"/>
  <c r="G396" i="5"/>
  <c r="C396" i="5"/>
  <c r="G395" i="5"/>
  <c r="C395" i="5"/>
  <c r="G394" i="5"/>
  <c r="C394" i="5"/>
  <c r="G393" i="5"/>
  <c r="C393" i="5"/>
  <c r="G392" i="5"/>
  <c r="C392" i="5"/>
  <c r="G391" i="5"/>
  <c r="C391" i="5"/>
  <c r="G390" i="5"/>
  <c r="C390" i="5"/>
  <c r="G389" i="5"/>
  <c r="C389" i="5"/>
  <c r="G388" i="5"/>
  <c r="C388" i="5"/>
  <c r="G387" i="5"/>
  <c r="C387" i="5"/>
  <c r="G386" i="5"/>
  <c r="C386" i="5"/>
  <c r="G385" i="5"/>
  <c r="C385" i="5"/>
  <c r="G384" i="5"/>
  <c r="C384" i="5"/>
  <c r="G383" i="5"/>
  <c r="C383" i="5"/>
  <c r="G382" i="5"/>
  <c r="C382" i="5"/>
  <c r="G381" i="5"/>
  <c r="C381" i="5"/>
  <c r="G380" i="5"/>
  <c r="C380" i="5"/>
  <c r="G379" i="5"/>
  <c r="C379" i="5"/>
  <c r="G378" i="5"/>
  <c r="C378" i="5"/>
  <c r="G377" i="5"/>
  <c r="C377" i="5"/>
  <c r="G376" i="5"/>
  <c r="C376" i="5"/>
  <c r="G375" i="5"/>
  <c r="C375" i="5"/>
  <c r="G374" i="5"/>
  <c r="C374" i="5"/>
  <c r="G373" i="5"/>
  <c r="C373" i="5"/>
  <c r="G372" i="5"/>
  <c r="C372" i="5"/>
  <c r="G371" i="5"/>
  <c r="C371" i="5"/>
  <c r="G370" i="5"/>
  <c r="C370" i="5"/>
  <c r="G369" i="5"/>
  <c r="C369" i="5"/>
  <c r="G368" i="5"/>
  <c r="C368" i="5"/>
  <c r="G367" i="5"/>
  <c r="C367" i="5"/>
  <c r="G366" i="5"/>
  <c r="C366" i="5"/>
  <c r="G365" i="5"/>
  <c r="C365" i="5"/>
  <c r="G364" i="5"/>
  <c r="C364" i="5"/>
  <c r="G363" i="5"/>
  <c r="C363" i="5"/>
  <c r="G362" i="5"/>
  <c r="C362" i="5"/>
  <c r="G361" i="5"/>
  <c r="C361" i="5"/>
  <c r="G360" i="5"/>
  <c r="C360" i="5"/>
  <c r="G359" i="5"/>
  <c r="C359" i="5"/>
  <c r="G358" i="5"/>
  <c r="C358" i="5"/>
  <c r="G357" i="5"/>
  <c r="C357" i="5"/>
  <c r="G356" i="5"/>
  <c r="C356" i="5"/>
  <c r="G355" i="5"/>
  <c r="C355" i="5"/>
  <c r="G354" i="5"/>
  <c r="C354" i="5"/>
  <c r="G353" i="5"/>
  <c r="C353" i="5"/>
  <c r="G352" i="5"/>
  <c r="C352" i="5"/>
  <c r="G351" i="5"/>
  <c r="C351" i="5"/>
  <c r="G350" i="5"/>
  <c r="C350" i="5"/>
  <c r="G349" i="5"/>
  <c r="C349" i="5"/>
  <c r="G348" i="5"/>
  <c r="C348" i="5"/>
  <c r="G347" i="5"/>
  <c r="C347" i="5"/>
  <c r="G346" i="5"/>
  <c r="C346" i="5"/>
  <c r="G345" i="5"/>
  <c r="C345" i="5"/>
  <c r="G344" i="5"/>
  <c r="C344" i="5"/>
  <c r="G343" i="5"/>
  <c r="C343" i="5"/>
  <c r="G342" i="5"/>
  <c r="C342" i="5"/>
  <c r="G341" i="5"/>
  <c r="C341" i="5"/>
  <c r="G340" i="5"/>
  <c r="C340" i="5"/>
  <c r="G339" i="5"/>
  <c r="C339" i="5"/>
  <c r="G338" i="5"/>
  <c r="C338" i="5"/>
  <c r="G337" i="5"/>
  <c r="C337" i="5"/>
  <c r="G336" i="5"/>
  <c r="C336" i="5"/>
  <c r="G335" i="5"/>
  <c r="C335" i="5"/>
  <c r="G334" i="5"/>
  <c r="C334" i="5"/>
  <c r="G333" i="5"/>
  <c r="C333" i="5"/>
  <c r="G332" i="5"/>
  <c r="C332" i="5"/>
  <c r="G331" i="5"/>
  <c r="C331" i="5"/>
  <c r="G330" i="5"/>
  <c r="C330" i="5"/>
  <c r="G329" i="5"/>
  <c r="C329" i="5"/>
  <c r="G328" i="5"/>
  <c r="C328" i="5"/>
  <c r="G327" i="5"/>
  <c r="C327" i="5"/>
  <c r="G326" i="5"/>
  <c r="C326" i="5"/>
  <c r="G325" i="5"/>
  <c r="C325" i="5"/>
  <c r="G324" i="5"/>
  <c r="C324" i="5"/>
  <c r="G323" i="5"/>
  <c r="C323" i="5"/>
  <c r="G322" i="5"/>
  <c r="C322" i="5"/>
  <c r="G321" i="5"/>
  <c r="C321" i="5"/>
  <c r="G320" i="5"/>
  <c r="C320" i="5"/>
  <c r="G319" i="5"/>
  <c r="C319" i="5"/>
  <c r="G318" i="5"/>
  <c r="C318" i="5"/>
  <c r="G317" i="5"/>
  <c r="C317" i="5"/>
  <c r="G316" i="5"/>
  <c r="C316" i="5"/>
  <c r="G315" i="5"/>
  <c r="C315" i="5"/>
  <c r="G314" i="5"/>
  <c r="C314" i="5"/>
  <c r="G313" i="5"/>
  <c r="C313" i="5"/>
  <c r="G312" i="5"/>
  <c r="C312" i="5"/>
  <c r="G311" i="5"/>
  <c r="C311" i="5"/>
  <c r="G310" i="5"/>
  <c r="C310" i="5"/>
  <c r="G309" i="5"/>
  <c r="C309" i="5"/>
  <c r="G308" i="5"/>
  <c r="C308" i="5"/>
  <c r="G307" i="5"/>
  <c r="C307" i="5"/>
  <c r="G306" i="5"/>
  <c r="C306" i="5"/>
  <c r="G305" i="5"/>
  <c r="C305" i="5"/>
  <c r="G304" i="5"/>
  <c r="C304" i="5"/>
  <c r="G303" i="5"/>
  <c r="C303" i="5"/>
  <c r="G302" i="5"/>
  <c r="C302" i="5"/>
  <c r="G301" i="5"/>
  <c r="C301" i="5"/>
  <c r="G300" i="5"/>
  <c r="C300" i="5"/>
  <c r="G299" i="5"/>
  <c r="C299" i="5"/>
  <c r="G298" i="5"/>
  <c r="C298" i="5"/>
  <c r="G297" i="5"/>
  <c r="C297" i="5"/>
  <c r="G296" i="5"/>
  <c r="C296" i="5"/>
  <c r="G295" i="5"/>
  <c r="C295" i="5"/>
  <c r="G294" i="5"/>
  <c r="C294" i="5"/>
  <c r="G293" i="5"/>
  <c r="C293" i="5"/>
  <c r="G292" i="5"/>
  <c r="C292" i="5"/>
  <c r="G291" i="5"/>
  <c r="C291" i="5"/>
  <c r="G290" i="5"/>
  <c r="C290" i="5"/>
  <c r="G289" i="5"/>
  <c r="C289" i="5"/>
  <c r="G288" i="5"/>
  <c r="C288" i="5"/>
  <c r="G287" i="5"/>
  <c r="C287" i="5"/>
  <c r="G286" i="5"/>
  <c r="C286" i="5"/>
  <c r="G285" i="5"/>
  <c r="C285" i="5"/>
  <c r="G284" i="5"/>
  <c r="C284" i="5"/>
  <c r="G283" i="5"/>
  <c r="C283" i="5"/>
  <c r="G282" i="5"/>
  <c r="C282" i="5"/>
  <c r="G281" i="5"/>
  <c r="C281" i="5"/>
  <c r="G280" i="5"/>
  <c r="C280" i="5"/>
  <c r="G279" i="5"/>
  <c r="C279" i="5"/>
  <c r="G278" i="5"/>
  <c r="C278" i="5"/>
  <c r="G277" i="5"/>
  <c r="C277" i="5"/>
  <c r="G276" i="5"/>
  <c r="C276" i="5"/>
  <c r="G275" i="5"/>
  <c r="C275" i="5"/>
  <c r="G274" i="5"/>
  <c r="C274" i="5"/>
  <c r="G273" i="5"/>
  <c r="C273" i="5"/>
  <c r="G272" i="5"/>
  <c r="C272" i="5"/>
  <c r="G271" i="5"/>
  <c r="C271" i="5"/>
  <c r="G270" i="5"/>
  <c r="C270" i="5"/>
  <c r="G269" i="5"/>
  <c r="C269" i="5"/>
  <c r="G268" i="5"/>
  <c r="C268" i="5"/>
  <c r="G267" i="5"/>
  <c r="C267" i="5"/>
  <c r="G266" i="5"/>
  <c r="C266" i="5"/>
  <c r="G265" i="5"/>
  <c r="C265" i="5"/>
  <c r="G264" i="5"/>
  <c r="C264" i="5"/>
  <c r="G263" i="5"/>
  <c r="C263" i="5"/>
  <c r="G262" i="5"/>
  <c r="C262" i="5"/>
  <c r="G261" i="5"/>
  <c r="C261" i="5"/>
  <c r="G260" i="5"/>
  <c r="C260" i="5"/>
  <c r="G259" i="5"/>
  <c r="C259" i="5"/>
  <c r="G258" i="5"/>
  <c r="C258" i="5"/>
  <c r="G257" i="5"/>
  <c r="C257" i="5"/>
  <c r="G256" i="5"/>
  <c r="C256" i="5"/>
  <c r="G255" i="5"/>
  <c r="C255" i="5"/>
  <c r="G254" i="5"/>
  <c r="C254" i="5"/>
  <c r="G253" i="5"/>
  <c r="C253" i="5"/>
  <c r="G252" i="5"/>
  <c r="C252" i="5"/>
  <c r="G251" i="5"/>
  <c r="C251" i="5"/>
  <c r="G250" i="5"/>
  <c r="C250" i="5"/>
  <c r="G249" i="5"/>
  <c r="C249" i="5"/>
  <c r="G248" i="5"/>
  <c r="C248" i="5"/>
  <c r="G247" i="5"/>
  <c r="C247" i="5"/>
  <c r="G246" i="5"/>
  <c r="C246" i="5"/>
  <c r="G245" i="5"/>
  <c r="C245" i="5"/>
  <c r="G244" i="5"/>
  <c r="C244" i="5"/>
  <c r="G243" i="5"/>
  <c r="C243" i="5"/>
  <c r="G242" i="5"/>
  <c r="C242" i="5"/>
  <c r="G241" i="5"/>
  <c r="C241" i="5"/>
  <c r="G240" i="5"/>
  <c r="C240" i="5"/>
  <c r="G239" i="5"/>
  <c r="C239" i="5"/>
  <c r="G238" i="5"/>
  <c r="C238" i="5"/>
  <c r="G237" i="5"/>
  <c r="C237" i="5"/>
  <c r="G236" i="5"/>
  <c r="C236" i="5"/>
  <c r="G235" i="5"/>
  <c r="C235" i="5"/>
  <c r="G234" i="5"/>
  <c r="C234" i="5"/>
  <c r="G233" i="5"/>
  <c r="C233" i="5"/>
  <c r="G232" i="5"/>
  <c r="C232" i="5"/>
  <c r="G231" i="5"/>
  <c r="C231" i="5"/>
  <c r="G230" i="5"/>
  <c r="C230" i="5"/>
  <c r="G229" i="5"/>
  <c r="C229" i="5"/>
  <c r="G228" i="5"/>
  <c r="C228" i="5"/>
  <c r="G227" i="5"/>
  <c r="C227" i="5"/>
  <c r="G226" i="5"/>
  <c r="C226" i="5"/>
  <c r="G225" i="5"/>
  <c r="C225" i="5"/>
  <c r="G224" i="5"/>
  <c r="C224" i="5"/>
  <c r="G223" i="5"/>
  <c r="C223" i="5"/>
  <c r="G222" i="5"/>
  <c r="C222" i="5"/>
  <c r="G221" i="5"/>
  <c r="C221" i="5"/>
  <c r="G220" i="5"/>
  <c r="C220" i="5"/>
  <c r="G219" i="5"/>
  <c r="C219" i="5"/>
  <c r="G218" i="5"/>
  <c r="C218" i="5"/>
  <c r="G217" i="5"/>
  <c r="C217" i="5"/>
  <c r="G216" i="5"/>
  <c r="C216" i="5"/>
  <c r="G215" i="5"/>
  <c r="C215" i="5"/>
  <c r="G214" i="5"/>
  <c r="C214" i="5"/>
  <c r="G213" i="5"/>
  <c r="C213" i="5"/>
  <c r="G212" i="5"/>
  <c r="C212" i="5"/>
  <c r="G211" i="5"/>
  <c r="C211" i="5"/>
  <c r="G210" i="5"/>
  <c r="C210" i="5"/>
  <c r="G209" i="5"/>
  <c r="C209" i="5"/>
  <c r="G208" i="5"/>
  <c r="C208" i="5"/>
  <c r="G207" i="5"/>
  <c r="C207" i="5"/>
  <c r="G206" i="5"/>
  <c r="C206" i="5"/>
  <c r="G205" i="5"/>
  <c r="C205" i="5"/>
  <c r="G204" i="5"/>
  <c r="C204" i="5"/>
  <c r="G203" i="5"/>
  <c r="C203" i="5"/>
  <c r="G202" i="5"/>
  <c r="C202" i="5"/>
  <c r="G201" i="5"/>
  <c r="C201" i="5"/>
  <c r="G200" i="5"/>
  <c r="C200" i="5"/>
  <c r="G199" i="5"/>
  <c r="C199" i="5"/>
  <c r="G198" i="5"/>
  <c r="C198" i="5"/>
  <c r="G197" i="5"/>
  <c r="C197" i="5"/>
  <c r="G196" i="5"/>
  <c r="C196" i="5"/>
  <c r="G195" i="5"/>
  <c r="C195" i="5"/>
  <c r="G194" i="5"/>
  <c r="C194" i="5"/>
  <c r="G193" i="5"/>
  <c r="C193" i="5"/>
  <c r="G192" i="5"/>
  <c r="C192" i="5"/>
  <c r="G191" i="5"/>
  <c r="C191" i="5"/>
  <c r="G190" i="5"/>
  <c r="C190" i="5"/>
  <c r="G189" i="5"/>
  <c r="C189" i="5"/>
  <c r="G188" i="5"/>
  <c r="C188" i="5"/>
  <c r="G187" i="5"/>
  <c r="C187" i="5"/>
  <c r="G186" i="5"/>
  <c r="C186" i="5"/>
  <c r="G185" i="5"/>
  <c r="C185" i="5"/>
  <c r="G184" i="5"/>
  <c r="C184" i="5"/>
  <c r="G183" i="5"/>
  <c r="C183" i="5"/>
  <c r="G182" i="5"/>
  <c r="C182" i="5"/>
  <c r="G181" i="5"/>
  <c r="C181" i="5"/>
  <c r="G180" i="5"/>
  <c r="C180" i="5"/>
  <c r="G179" i="5"/>
  <c r="C179" i="5"/>
  <c r="G178" i="5"/>
  <c r="C178" i="5"/>
  <c r="G177" i="5"/>
  <c r="C177" i="5"/>
  <c r="G176" i="5"/>
  <c r="C176" i="5"/>
  <c r="G175" i="5"/>
  <c r="C175" i="5"/>
  <c r="G174" i="5"/>
  <c r="C174" i="5"/>
  <c r="G173" i="5"/>
  <c r="C173" i="5"/>
  <c r="G172" i="5"/>
  <c r="C172" i="5"/>
  <c r="G171" i="5"/>
  <c r="C171" i="5"/>
  <c r="G170" i="5"/>
  <c r="C170" i="5"/>
  <c r="G169" i="5"/>
  <c r="C169" i="5"/>
  <c r="G168" i="5"/>
  <c r="C168" i="5"/>
  <c r="G167" i="5"/>
  <c r="C167" i="5"/>
  <c r="G166" i="5"/>
  <c r="C166" i="5"/>
  <c r="G165" i="5"/>
  <c r="C165" i="5"/>
  <c r="G164" i="5"/>
  <c r="C164" i="5"/>
  <c r="G163" i="5"/>
  <c r="C163" i="5"/>
  <c r="G162" i="5"/>
  <c r="C162" i="5"/>
  <c r="G161" i="5"/>
  <c r="C161" i="5"/>
  <c r="G160" i="5"/>
  <c r="C160" i="5"/>
  <c r="G159" i="5"/>
  <c r="C159" i="5"/>
  <c r="G158" i="5"/>
  <c r="C158" i="5"/>
  <c r="G157" i="5"/>
  <c r="C157" i="5"/>
  <c r="G156" i="5"/>
  <c r="C156" i="5"/>
  <c r="G155" i="5"/>
  <c r="C155" i="5"/>
  <c r="G154" i="5"/>
  <c r="C154" i="5"/>
  <c r="G153" i="5"/>
  <c r="C153" i="5"/>
  <c r="G152" i="5"/>
  <c r="C152" i="5"/>
  <c r="G151" i="5"/>
  <c r="C151" i="5"/>
  <c r="G150" i="5"/>
  <c r="C150" i="5"/>
  <c r="G149" i="5"/>
  <c r="C149" i="5"/>
  <c r="G148" i="5"/>
  <c r="C148" i="5"/>
  <c r="G147" i="5"/>
  <c r="C147" i="5"/>
  <c r="G146" i="5"/>
  <c r="C146" i="5"/>
  <c r="G145" i="5"/>
  <c r="C145" i="5"/>
  <c r="G144" i="5"/>
  <c r="C144" i="5"/>
  <c r="G143" i="5"/>
  <c r="C143" i="5"/>
  <c r="G142" i="5"/>
  <c r="C142" i="5"/>
  <c r="G141" i="5"/>
  <c r="C141" i="5"/>
  <c r="G140" i="5"/>
  <c r="C140" i="5"/>
  <c r="G139" i="5"/>
  <c r="C139" i="5"/>
  <c r="G138" i="5"/>
  <c r="C138" i="5"/>
  <c r="G137" i="5"/>
  <c r="C137" i="5"/>
  <c r="G136" i="5"/>
  <c r="C136" i="5"/>
  <c r="G135" i="5"/>
  <c r="C135" i="5"/>
  <c r="G134" i="5"/>
  <c r="C134" i="5"/>
  <c r="G133" i="5"/>
  <c r="C133" i="5"/>
  <c r="G132" i="5"/>
  <c r="C132" i="5"/>
  <c r="G131" i="5"/>
  <c r="C131" i="5"/>
  <c r="G130" i="5"/>
  <c r="C130" i="5"/>
  <c r="G129" i="5"/>
  <c r="C129" i="5"/>
  <c r="G128" i="5"/>
  <c r="C128" i="5"/>
  <c r="G127" i="5"/>
  <c r="C127" i="5"/>
  <c r="G126" i="5"/>
  <c r="C126" i="5"/>
  <c r="G125" i="5"/>
  <c r="C125" i="5"/>
  <c r="G124" i="5"/>
  <c r="C124" i="5"/>
  <c r="G123" i="5"/>
  <c r="C123" i="5"/>
  <c r="G122" i="5"/>
  <c r="C122" i="5"/>
  <c r="G121" i="5"/>
  <c r="C121" i="5"/>
  <c r="G120" i="5"/>
  <c r="C120" i="5"/>
  <c r="G119" i="5"/>
  <c r="C119" i="5"/>
  <c r="G118" i="5"/>
  <c r="C118" i="5"/>
  <c r="G117" i="5"/>
  <c r="C117" i="5"/>
  <c r="G116" i="5"/>
  <c r="C116" i="5"/>
  <c r="G115" i="5"/>
  <c r="C115" i="5"/>
  <c r="G114" i="5"/>
  <c r="C114" i="5"/>
  <c r="G113" i="5"/>
  <c r="C113" i="5"/>
  <c r="G112" i="5"/>
  <c r="C112" i="5"/>
  <c r="G111" i="5"/>
  <c r="C111" i="5"/>
  <c r="G110" i="5"/>
  <c r="C110" i="5"/>
  <c r="G109" i="5"/>
  <c r="C109" i="5"/>
  <c r="G108" i="5"/>
  <c r="C108" i="5"/>
  <c r="G107" i="5"/>
  <c r="C107" i="5"/>
  <c r="G106" i="5"/>
  <c r="C106" i="5"/>
  <c r="G105" i="5"/>
  <c r="C105" i="5"/>
  <c r="G104" i="5"/>
  <c r="C104" i="5"/>
  <c r="G103" i="5"/>
  <c r="C103" i="5"/>
  <c r="G102" i="5"/>
  <c r="C102" i="5"/>
  <c r="G101" i="5"/>
  <c r="C101" i="5"/>
  <c r="G100" i="5"/>
  <c r="C100" i="5"/>
  <c r="G99" i="5"/>
  <c r="C99" i="5"/>
  <c r="G98" i="5"/>
  <c r="C98" i="5"/>
  <c r="G97" i="5"/>
  <c r="C97" i="5"/>
  <c r="G96" i="5"/>
  <c r="C96" i="5"/>
  <c r="G95" i="5"/>
  <c r="C95" i="5"/>
  <c r="G94" i="5"/>
  <c r="C94" i="5"/>
  <c r="G93" i="5"/>
  <c r="C93" i="5"/>
  <c r="G92" i="5"/>
  <c r="C92" i="5"/>
  <c r="G91" i="5"/>
  <c r="C91" i="5"/>
  <c r="G90" i="5"/>
  <c r="C90" i="5"/>
  <c r="G89" i="5"/>
  <c r="C89" i="5"/>
  <c r="G88" i="5"/>
  <c r="C88" i="5"/>
  <c r="G87" i="5"/>
  <c r="C87" i="5"/>
  <c r="G86" i="5"/>
  <c r="C86" i="5"/>
  <c r="G85" i="5"/>
  <c r="C85" i="5"/>
  <c r="G84" i="5"/>
  <c r="C84" i="5"/>
  <c r="G83" i="5"/>
  <c r="C83" i="5"/>
  <c r="G82" i="5"/>
  <c r="C82" i="5"/>
  <c r="G81" i="5"/>
  <c r="C81" i="5"/>
  <c r="G80" i="5"/>
  <c r="C80" i="5"/>
  <c r="G79" i="5"/>
  <c r="C79" i="5"/>
  <c r="G78" i="5"/>
  <c r="C78" i="5"/>
  <c r="G77" i="5"/>
  <c r="C77" i="5"/>
  <c r="G76" i="5"/>
  <c r="C76" i="5"/>
  <c r="G75" i="5"/>
  <c r="C75" i="5"/>
  <c r="G74" i="5"/>
  <c r="C74" i="5"/>
  <c r="G73" i="5"/>
  <c r="C73" i="5"/>
  <c r="G72" i="5"/>
  <c r="C72" i="5"/>
  <c r="G71" i="5"/>
  <c r="C71" i="5"/>
  <c r="G70" i="5"/>
  <c r="C70" i="5"/>
  <c r="G69" i="5"/>
  <c r="C69" i="5"/>
  <c r="G68" i="5"/>
  <c r="C68" i="5"/>
  <c r="G67" i="5"/>
  <c r="C67" i="5"/>
  <c r="G66" i="5"/>
  <c r="C66" i="5"/>
  <c r="G65" i="5"/>
  <c r="C65" i="5"/>
  <c r="G64" i="5"/>
  <c r="C64" i="5"/>
  <c r="G63" i="5"/>
  <c r="C63" i="5"/>
  <c r="G62" i="5"/>
  <c r="C62" i="5"/>
  <c r="G61" i="5"/>
  <c r="C61" i="5"/>
  <c r="G60" i="5"/>
  <c r="C60" i="5"/>
  <c r="G59" i="5"/>
  <c r="C59" i="5"/>
  <c r="G58" i="5"/>
  <c r="C58" i="5"/>
  <c r="G57" i="5"/>
  <c r="C57" i="5"/>
  <c r="G56" i="5"/>
  <c r="C56" i="5"/>
  <c r="G55" i="5"/>
  <c r="C55" i="5"/>
  <c r="G54" i="5"/>
  <c r="C54" i="5"/>
  <c r="G53" i="5"/>
  <c r="C53" i="5"/>
  <c r="G52" i="5"/>
  <c r="C52" i="5"/>
  <c r="G51" i="5"/>
  <c r="C51" i="5"/>
  <c r="G50" i="5"/>
  <c r="C50" i="5"/>
  <c r="G49" i="5"/>
  <c r="C49" i="5"/>
  <c r="G48" i="5"/>
  <c r="C48" i="5"/>
  <c r="G47" i="5"/>
  <c r="C47" i="5"/>
  <c r="G46" i="5"/>
  <c r="C46" i="5"/>
  <c r="G45" i="5"/>
  <c r="C45" i="5"/>
  <c r="G44" i="5"/>
  <c r="C44" i="5"/>
  <c r="G43" i="5"/>
  <c r="C43" i="5"/>
  <c r="G42" i="5"/>
  <c r="C42" i="5"/>
  <c r="G41" i="5"/>
  <c r="C41" i="5"/>
  <c r="G40" i="5"/>
  <c r="C40" i="5"/>
  <c r="G39" i="5"/>
  <c r="C39" i="5"/>
  <c r="G38" i="5"/>
  <c r="C38" i="5"/>
  <c r="G37" i="5"/>
  <c r="C37" i="5"/>
  <c r="G36" i="5"/>
  <c r="C36" i="5"/>
  <c r="G35" i="5"/>
  <c r="C35" i="5"/>
  <c r="G34" i="5"/>
  <c r="C34" i="5"/>
  <c r="G33" i="5"/>
  <c r="C33" i="5"/>
  <c r="G32" i="5"/>
  <c r="C32" i="5"/>
  <c r="G31" i="5"/>
  <c r="C31" i="5"/>
  <c r="G30" i="5"/>
  <c r="C30" i="5"/>
  <c r="G29" i="5"/>
  <c r="C29" i="5"/>
  <c r="G28" i="5"/>
  <c r="C28" i="5"/>
  <c r="G27" i="5"/>
  <c r="C27" i="5"/>
  <c r="G26" i="5"/>
  <c r="C26" i="5"/>
  <c r="G25" i="5"/>
  <c r="C25" i="5"/>
  <c r="G24" i="5"/>
  <c r="C24" i="5"/>
  <c r="G23" i="5"/>
  <c r="C23" i="5"/>
  <c r="G22" i="5"/>
  <c r="C22" i="5"/>
  <c r="G21" i="5"/>
  <c r="C21" i="5"/>
  <c r="G20" i="5"/>
  <c r="C20" i="5"/>
  <c r="G19" i="5"/>
  <c r="C19" i="5"/>
  <c r="G18" i="5"/>
  <c r="C18" i="5"/>
  <c r="G17" i="5"/>
  <c r="C17" i="5"/>
  <c r="G16" i="5"/>
  <c r="C16" i="5"/>
  <c r="G15" i="5"/>
  <c r="C15" i="5"/>
  <c r="G14" i="5"/>
  <c r="C14" i="5"/>
  <c r="G13" i="5"/>
  <c r="C13" i="5"/>
  <c r="G12" i="5"/>
  <c r="C12" i="5"/>
  <c r="G11" i="5"/>
  <c r="C11" i="5"/>
  <c r="G10" i="5"/>
  <c r="C10" i="5"/>
  <c r="G9" i="5"/>
  <c r="C9" i="5"/>
  <c r="G8" i="5"/>
  <c r="C8" i="5"/>
  <c r="G7" i="5"/>
  <c r="C7" i="5"/>
  <c r="G6" i="5"/>
  <c r="C6" i="5"/>
  <c r="G5" i="5"/>
  <c r="C5" i="5"/>
  <c r="G4" i="5"/>
  <c r="D4" i="5"/>
  <c r="C4" i="5"/>
  <c r="B4" i="5"/>
  <c r="B5" i="5" s="1"/>
  <c r="G3" i="5"/>
  <c r="C3" i="5"/>
  <c r="D3" i="5" s="1"/>
  <c r="K11" i="1"/>
  <c r="K7" i="1"/>
  <c r="K4" i="1"/>
  <c r="H4" i="1"/>
  <c r="H5" i="1"/>
  <c r="H6" i="1"/>
  <c r="H7" i="1"/>
  <c r="H8" i="1" s="1"/>
  <c r="H9" i="1" s="1"/>
  <c r="H10" i="1" s="1"/>
  <c r="H11" i="1"/>
  <c r="H12" i="1" s="1"/>
  <c r="H13" i="1" s="1"/>
  <c r="H14" i="1" s="1"/>
  <c r="H15" i="1" s="1"/>
  <c r="H16" i="1" s="1"/>
  <c r="H17" i="1" s="1"/>
  <c r="H18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3" i="1"/>
  <c r="D3" i="1" s="1"/>
  <c r="B5" i="1"/>
  <c r="D5" i="1" s="1"/>
  <c r="B4" i="1"/>
  <c r="D4" i="1" s="1"/>
  <c r="K8" i="1"/>
  <c r="I3" i="5" l="1"/>
  <c r="I4" i="5" s="1"/>
  <c r="D5" i="5"/>
  <c r="B6" i="5"/>
  <c r="B6" i="1"/>
  <c r="I5" i="5" l="1"/>
  <c r="B7" i="5"/>
  <c r="D6" i="5"/>
  <c r="D6" i="1"/>
  <c r="B7" i="1"/>
  <c r="I6" i="5" l="1"/>
  <c r="B8" i="5"/>
  <c r="D7" i="5"/>
  <c r="D7" i="1"/>
  <c r="B8" i="1"/>
  <c r="B9" i="5" l="1"/>
  <c r="D8" i="5"/>
  <c r="I7" i="5"/>
  <c r="B9" i="1"/>
  <c r="D8" i="1"/>
  <c r="I8" i="5" l="1"/>
  <c r="D9" i="5"/>
  <c r="B10" i="5"/>
  <c r="B10" i="1"/>
  <c r="D9" i="1"/>
  <c r="I9" i="5" l="1"/>
  <c r="B11" i="5"/>
  <c r="D10" i="5"/>
  <c r="B11" i="1"/>
  <c r="D10" i="1"/>
  <c r="B12" i="5" l="1"/>
  <c r="D11" i="5"/>
  <c r="I10" i="5"/>
  <c r="B12" i="1"/>
  <c r="D11" i="1"/>
  <c r="I11" i="5" l="1"/>
  <c r="D12" i="5"/>
  <c r="B13" i="5"/>
  <c r="B13" i="1"/>
  <c r="D12" i="1"/>
  <c r="I12" i="5" l="1"/>
  <c r="D13" i="5"/>
  <c r="B14" i="5"/>
  <c r="B14" i="1"/>
  <c r="D13" i="1"/>
  <c r="I13" i="5" l="1"/>
  <c r="B15" i="5"/>
  <c r="D14" i="5"/>
  <c r="B15" i="1"/>
  <c r="D14" i="1"/>
  <c r="B16" i="5" l="1"/>
  <c r="D15" i="5"/>
  <c r="I14" i="5"/>
  <c r="B16" i="1"/>
  <c r="D15" i="1"/>
  <c r="I15" i="5" l="1"/>
  <c r="D16" i="5"/>
  <c r="B17" i="5"/>
  <c r="B17" i="1"/>
  <c r="D16" i="1"/>
  <c r="I16" i="5" l="1"/>
  <c r="D17" i="5"/>
  <c r="B18" i="5"/>
  <c r="B18" i="1"/>
  <c r="D17" i="1"/>
  <c r="I17" i="5" l="1"/>
  <c r="B19" i="5"/>
  <c r="D18" i="5"/>
  <c r="B19" i="1"/>
  <c r="D18" i="1"/>
  <c r="B20" i="5" l="1"/>
  <c r="D19" i="5"/>
  <c r="I18" i="5"/>
  <c r="B20" i="1"/>
  <c r="D19" i="1"/>
  <c r="D20" i="5" l="1"/>
  <c r="B21" i="5"/>
  <c r="I19" i="5"/>
  <c r="B21" i="1"/>
  <c r="D20" i="1"/>
  <c r="I20" i="5" l="1"/>
  <c r="D21" i="5"/>
  <c r="B22" i="5"/>
  <c r="B22" i="1"/>
  <c r="D21" i="1"/>
  <c r="I21" i="5" l="1"/>
  <c r="B23" i="5"/>
  <c r="D22" i="5"/>
  <c r="D22" i="1"/>
  <c r="B23" i="1"/>
  <c r="B24" i="5" l="1"/>
  <c r="D23" i="5"/>
  <c r="I22" i="5"/>
  <c r="B24" i="1"/>
  <c r="D23" i="1"/>
  <c r="I23" i="5" l="1"/>
  <c r="D24" i="5"/>
  <c r="B25" i="5"/>
  <c r="B25" i="1"/>
  <c r="D24" i="1"/>
  <c r="I24" i="5" l="1"/>
  <c r="D25" i="5"/>
  <c r="B26" i="5"/>
  <c r="B26" i="1"/>
  <c r="D25" i="1"/>
  <c r="I25" i="5" l="1"/>
  <c r="B27" i="5"/>
  <c r="D26" i="5"/>
  <c r="B27" i="1"/>
  <c r="D26" i="1"/>
  <c r="B28" i="5" l="1"/>
  <c r="D27" i="5"/>
  <c r="I26" i="5"/>
  <c r="B28" i="1"/>
  <c r="D27" i="1"/>
  <c r="D28" i="5" l="1"/>
  <c r="B29" i="5"/>
  <c r="I27" i="5"/>
  <c r="B29" i="1"/>
  <c r="D28" i="1"/>
  <c r="B30" i="5" l="1"/>
  <c r="D29" i="5"/>
  <c r="I28" i="5"/>
  <c r="B30" i="1"/>
  <c r="D29" i="1"/>
  <c r="I29" i="5" l="1"/>
  <c r="B31" i="5"/>
  <c r="D30" i="5"/>
  <c r="B31" i="1"/>
  <c r="D30" i="1"/>
  <c r="B32" i="5" l="1"/>
  <c r="D31" i="5"/>
  <c r="I30" i="5"/>
  <c r="B32" i="1"/>
  <c r="D31" i="1"/>
  <c r="D32" i="5" l="1"/>
  <c r="B33" i="5"/>
  <c r="I31" i="5"/>
  <c r="B33" i="1"/>
  <c r="D32" i="1"/>
  <c r="B34" i="5" l="1"/>
  <c r="D33" i="5"/>
  <c r="I32" i="5"/>
  <c r="B34" i="1"/>
  <c r="D33" i="1"/>
  <c r="D34" i="5" l="1"/>
  <c r="B35" i="5"/>
  <c r="I33" i="5"/>
  <c r="B35" i="1"/>
  <c r="D34" i="1"/>
  <c r="I34" i="5" l="1"/>
  <c r="B36" i="5"/>
  <c r="D35" i="5"/>
  <c r="B36" i="1"/>
  <c r="D35" i="1"/>
  <c r="D36" i="5" l="1"/>
  <c r="B37" i="5"/>
  <c r="I35" i="5"/>
  <c r="B37" i="1"/>
  <c r="D36" i="1"/>
  <c r="B38" i="5" l="1"/>
  <c r="D37" i="5"/>
  <c r="I36" i="5"/>
  <c r="B38" i="1"/>
  <c r="D37" i="1"/>
  <c r="B39" i="5" l="1"/>
  <c r="D38" i="5"/>
  <c r="I37" i="5"/>
  <c r="B39" i="1"/>
  <c r="D38" i="1"/>
  <c r="B40" i="5" l="1"/>
  <c r="D39" i="5"/>
  <c r="I38" i="5"/>
  <c r="B40" i="1"/>
  <c r="D39" i="1"/>
  <c r="I39" i="5" l="1"/>
  <c r="D40" i="5"/>
  <c r="B41" i="5"/>
  <c r="B41" i="1"/>
  <c r="D40" i="1"/>
  <c r="I40" i="5" l="1"/>
  <c r="B42" i="5"/>
  <c r="D41" i="5"/>
  <c r="B42" i="1"/>
  <c r="D41" i="1"/>
  <c r="B43" i="5" l="1"/>
  <c r="D42" i="5"/>
  <c r="I41" i="5"/>
  <c r="B43" i="1"/>
  <c r="D42" i="1"/>
  <c r="B44" i="5" l="1"/>
  <c r="D43" i="5"/>
  <c r="I42" i="5"/>
  <c r="B44" i="1"/>
  <c r="D43" i="1"/>
  <c r="D44" i="5" l="1"/>
  <c r="B45" i="5"/>
  <c r="I43" i="5"/>
  <c r="B45" i="1"/>
  <c r="D44" i="1"/>
  <c r="I44" i="5" l="1"/>
  <c r="B46" i="5"/>
  <c r="D45" i="5"/>
  <c r="B46" i="1"/>
  <c r="D45" i="1"/>
  <c r="B47" i="5" l="1"/>
  <c r="D46" i="5"/>
  <c r="I45" i="5"/>
  <c r="B47" i="1"/>
  <c r="D46" i="1"/>
  <c r="B48" i="5" l="1"/>
  <c r="D47" i="5"/>
  <c r="I46" i="5"/>
  <c r="B48" i="1"/>
  <c r="D47" i="1"/>
  <c r="D48" i="5" l="1"/>
  <c r="B49" i="5"/>
  <c r="I47" i="5"/>
  <c r="B49" i="1"/>
  <c r="D48" i="1"/>
  <c r="I48" i="5" l="1"/>
  <c r="B50" i="5"/>
  <c r="D49" i="5"/>
  <c r="B50" i="1"/>
  <c r="D49" i="1"/>
  <c r="B51" i="5" l="1"/>
  <c r="D50" i="5"/>
  <c r="I49" i="5"/>
  <c r="B51" i="1"/>
  <c r="D50" i="1"/>
  <c r="I50" i="5" l="1"/>
  <c r="B52" i="5"/>
  <c r="D51" i="5"/>
  <c r="B52" i="1"/>
  <c r="D51" i="1"/>
  <c r="D52" i="5" l="1"/>
  <c r="B53" i="5"/>
  <c r="I51" i="5"/>
  <c r="B53" i="1"/>
  <c r="D52" i="1"/>
  <c r="B54" i="5" l="1"/>
  <c r="D53" i="5"/>
  <c r="I52" i="5"/>
  <c r="B54" i="1"/>
  <c r="D53" i="1"/>
  <c r="B55" i="5" l="1"/>
  <c r="D54" i="5"/>
  <c r="I53" i="5"/>
  <c r="B55" i="1"/>
  <c r="D54" i="1"/>
  <c r="I54" i="5" l="1"/>
  <c r="B56" i="5"/>
  <c r="D55" i="5"/>
  <c r="B56" i="1"/>
  <c r="D55" i="1"/>
  <c r="D56" i="5" l="1"/>
  <c r="B57" i="5"/>
  <c r="I55" i="5"/>
  <c r="B57" i="1"/>
  <c r="D56" i="1"/>
  <c r="B58" i="5" l="1"/>
  <c r="D57" i="5"/>
  <c r="I56" i="5"/>
  <c r="B58" i="1"/>
  <c r="D57" i="1"/>
  <c r="I57" i="5" l="1"/>
  <c r="B59" i="5"/>
  <c r="D58" i="5"/>
  <c r="B59" i="1"/>
  <c r="D58" i="1"/>
  <c r="B60" i="5" l="1"/>
  <c r="D59" i="5"/>
  <c r="I58" i="5"/>
  <c r="B60" i="1"/>
  <c r="D59" i="1"/>
  <c r="I59" i="5" l="1"/>
  <c r="D60" i="5"/>
  <c r="B61" i="5"/>
  <c r="B61" i="1"/>
  <c r="D60" i="1"/>
  <c r="I60" i="5" l="1"/>
  <c r="B62" i="5"/>
  <c r="D61" i="5"/>
  <c r="B62" i="1"/>
  <c r="D61" i="1"/>
  <c r="B63" i="5" l="1"/>
  <c r="D62" i="5"/>
  <c r="I61" i="5"/>
  <c r="B63" i="1"/>
  <c r="D62" i="1"/>
  <c r="I62" i="5" l="1"/>
  <c r="B64" i="5"/>
  <c r="D63" i="5"/>
  <c r="B64" i="1"/>
  <c r="D63" i="1"/>
  <c r="D64" i="5" l="1"/>
  <c r="B65" i="5"/>
  <c r="I63" i="5"/>
  <c r="B65" i="1"/>
  <c r="D64" i="1"/>
  <c r="B66" i="5" l="1"/>
  <c r="D65" i="5"/>
  <c r="I64" i="5"/>
  <c r="B66" i="1"/>
  <c r="D65" i="1"/>
  <c r="I65" i="5" l="1"/>
  <c r="B67" i="5"/>
  <c r="D66" i="5"/>
  <c r="B67" i="1"/>
  <c r="D66" i="1"/>
  <c r="B68" i="5" l="1"/>
  <c r="D67" i="5"/>
  <c r="I66" i="5"/>
  <c r="B68" i="1"/>
  <c r="D67" i="1"/>
  <c r="I67" i="5" l="1"/>
  <c r="D68" i="5"/>
  <c r="B69" i="5"/>
  <c r="B69" i="1"/>
  <c r="D68" i="1"/>
  <c r="I68" i="5" l="1"/>
  <c r="B70" i="5"/>
  <c r="D69" i="5"/>
  <c r="B70" i="1"/>
  <c r="D69" i="1"/>
  <c r="B71" i="5" l="1"/>
  <c r="D70" i="5"/>
  <c r="I69" i="5"/>
  <c r="B71" i="1"/>
  <c r="D70" i="1"/>
  <c r="I70" i="5" l="1"/>
  <c r="B72" i="5"/>
  <c r="D71" i="5"/>
  <c r="B72" i="1"/>
  <c r="D71" i="1"/>
  <c r="D72" i="5" l="1"/>
  <c r="B73" i="5"/>
  <c r="I71" i="5"/>
  <c r="B73" i="1"/>
  <c r="D72" i="1"/>
  <c r="B74" i="5" l="1"/>
  <c r="D73" i="5"/>
  <c r="I72" i="5"/>
  <c r="B74" i="1"/>
  <c r="D73" i="1"/>
  <c r="I73" i="5" l="1"/>
  <c r="B75" i="5"/>
  <c r="D74" i="5"/>
  <c r="B75" i="1"/>
  <c r="D74" i="1"/>
  <c r="B76" i="5" l="1"/>
  <c r="D75" i="5"/>
  <c r="I74" i="5"/>
  <c r="B76" i="1"/>
  <c r="D75" i="1"/>
  <c r="I75" i="5" l="1"/>
  <c r="D76" i="5"/>
  <c r="B77" i="5"/>
  <c r="B77" i="1"/>
  <c r="D76" i="1"/>
  <c r="I76" i="5" l="1"/>
  <c r="B78" i="5"/>
  <c r="D77" i="5"/>
  <c r="B78" i="1"/>
  <c r="D77" i="1"/>
  <c r="B79" i="5" l="1"/>
  <c r="D78" i="5"/>
  <c r="I77" i="5"/>
  <c r="B79" i="1"/>
  <c r="D78" i="1"/>
  <c r="I78" i="5" l="1"/>
  <c r="B80" i="5"/>
  <c r="D79" i="5"/>
  <c r="B80" i="1"/>
  <c r="D79" i="1"/>
  <c r="D80" i="5" l="1"/>
  <c r="B81" i="5"/>
  <c r="I79" i="5"/>
  <c r="B81" i="1"/>
  <c r="D80" i="1"/>
  <c r="B82" i="5" l="1"/>
  <c r="D81" i="5"/>
  <c r="I80" i="5"/>
  <c r="B82" i="1"/>
  <c r="D81" i="1"/>
  <c r="B83" i="5" l="1"/>
  <c r="D82" i="5"/>
  <c r="I81" i="5"/>
  <c r="B83" i="1"/>
  <c r="D82" i="1"/>
  <c r="I82" i="5" l="1"/>
  <c r="B84" i="5"/>
  <c r="D83" i="5"/>
  <c r="B84" i="1"/>
  <c r="D83" i="1"/>
  <c r="D84" i="5" l="1"/>
  <c r="B85" i="5"/>
  <c r="I83" i="5"/>
  <c r="B85" i="1"/>
  <c r="D84" i="1"/>
  <c r="B86" i="5" l="1"/>
  <c r="D85" i="5"/>
  <c r="I84" i="5"/>
  <c r="B86" i="1"/>
  <c r="D85" i="1"/>
  <c r="I85" i="5" l="1"/>
  <c r="B87" i="5"/>
  <c r="D86" i="5"/>
  <c r="B87" i="1"/>
  <c r="D86" i="1"/>
  <c r="B88" i="5" l="1"/>
  <c r="D87" i="5"/>
  <c r="I86" i="5"/>
  <c r="B88" i="1"/>
  <c r="D87" i="1"/>
  <c r="D88" i="5" l="1"/>
  <c r="B89" i="5"/>
  <c r="I87" i="5"/>
  <c r="B89" i="1"/>
  <c r="D88" i="1"/>
  <c r="B90" i="5" l="1"/>
  <c r="D89" i="5"/>
  <c r="I88" i="5"/>
  <c r="B90" i="1"/>
  <c r="D89" i="1"/>
  <c r="I89" i="5" l="1"/>
  <c r="B91" i="5"/>
  <c r="D90" i="5"/>
  <c r="B91" i="1"/>
  <c r="D90" i="1"/>
  <c r="B92" i="5" l="1"/>
  <c r="D91" i="5"/>
  <c r="I90" i="5"/>
  <c r="B92" i="1"/>
  <c r="D91" i="1"/>
  <c r="D92" i="5" l="1"/>
  <c r="B93" i="5"/>
  <c r="I91" i="5"/>
  <c r="B93" i="1"/>
  <c r="D92" i="1"/>
  <c r="B94" i="5" l="1"/>
  <c r="D93" i="5"/>
  <c r="I92" i="5"/>
  <c r="B94" i="1"/>
  <c r="D93" i="1"/>
  <c r="I93" i="5" l="1"/>
  <c r="B95" i="5"/>
  <c r="D94" i="5"/>
  <c r="B95" i="1"/>
  <c r="D94" i="1"/>
  <c r="B96" i="5" l="1"/>
  <c r="D95" i="5"/>
  <c r="I94" i="5"/>
  <c r="B96" i="1"/>
  <c r="D95" i="1"/>
  <c r="I95" i="5" l="1"/>
  <c r="D96" i="5"/>
  <c r="B97" i="5"/>
  <c r="B97" i="1"/>
  <c r="D96" i="1"/>
  <c r="I96" i="5" l="1"/>
  <c r="B98" i="5"/>
  <c r="D97" i="5"/>
  <c r="B98" i="1"/>
  <c r="D97" i="1"/>
  <c r="B99" i="5" l="1"/>
  <c r="D98" i="5"/>
  <c r="I97" i="5"/>
  <c r="B99" i="1"/>
  <c r="D98" i="1"/>
  <c r="I98" i="5" l="1"/>
  <c r="B100" i="5"/>
  <c r="D99" i="5"/>
  <c r="B100" i="1"/>
  <c r="D99" i="1"/>
  <c r="D100" i="5" l="1"/>
  <c r="B101" i="5"/>
  <c r="I99" i="5"/>
  <c r="B101" i="1"/>
  <c r="D100" i="1"/>
  <c r="I100" i="5" l="1"/>
  <c r="B102" i="5"/>
  <c r="D101" i="5"/>
  <c r="B102" i="1"/>
  <c r="D101" i="1"/>
  <c r="B103" i="5" l="1"/>
  <c r="D102" i="5"/>
  <c r="I101" i="5"/>
  <c r="B103" i="1"/>
  <c r="D102" i="1"/>
  <c r="B104" i="5" l="1"/>
  <c r="D103" i="5"/>
  <c r="I102" i="5"/>
  <c r="B104" i="1"/>
  <c r="D103" i="1"/>
  <c r="I103" i="5" l="1"/>
  <c r="D104" i="5"/>
  <c r="B105" i="5"/>
  <c r="B105" i="1"/>
  <c r="D104" i="1"/>
  <c r="I104" i="5" l="1"/>
  <c r="B106" i="5"/>
  <c r="D105" i="5"/>
  <c r="B106" i="1"/>
  <c r="D105" i="1"/>
  <c r="B107" i="5" l="1"/>
  <c r="D106" i="5"/>
  <c r="I105" i="5"/>
  <c r="B107" i="1"/>
  <c r="D106" i="1"/>
  <c r="B108" i="5" l="1"/>
  <c r="D107" i="5"/>
  <c r="I106" i="5"/>
  <c r="B108" i="1"/>
  <c r="D107" i="1"/>
  <c r="D108" i="5" l="1"/>
  <c r="B109" i="5"/>
  <c r="I107" i="5"/>
  <c r="B109" i="1"/>
  <c r="D108" i="1"/>
  <c r="I108" i="5" l="1"/>
  <c r="B110" i="5"/>
  <c r="D109" i="5"/>
  <c r="B110" i="1"/>
  <c r="D109" i="1"/>
  <c r="B111" i="5" l="1"/>
  <c r="D110" i="5"/>
  <c r="I109" i="5"/>
  <c r="B111" i="1"/>
  <c r="D110" i="1"/>
  <c r="I110" i="5" l="1"/>
  <c r="B112" i="5"/>
  <c r="D111" i="5"/>
  <c r="B112" i="1"/>
  <c r="D111" i="1"/>
  <c r="D112" i="5" l="1"/>
  <c r="B113" i="5"/>
  <c r="I111" i="5"/>
  <c r="B113" i="1"/>
  <c r="D112" i="1"/>
  <c r="B114" i="5" l="1"/>
  <c r="D113" i="5"/>
  <c r="I112" i="5"/>
  <c r="B114" i="1"/>
  <c r="D113" i="1"/>
  <c r="I113" i="5" l="1"/>
  <c r="B115" i="5"/>
  <c r="D114" i="5"/>
  <c r="B115" i="1"/>
  <c r="D114" i="1"/>
  <c r="B116" i="5" l="1"/>
  <c r="D115" i="5"/>
  <c r="I114" i="5"/>
  <c r="B116" i="1"/>
  <c r="D115" i="1"/>
  <c r="I115" i="5" l="1"/>
  <c r="D116" i="5"/>
  <c r="B117" i="5"/>
  <c r="B117" i="1"/>
  <c r="D116" i="1"/>
  <c r="I116" i="5" l="1"/>
  <c r="B118" i="5"/>
  <c r="D117" i="5"/>
  <c r="B118" i="1"/>
  <c r="D117" i="1"/>
  <c r="B119" i="5" l="1"/>
  <c r="D118" i="5"/>
  <c r="I117" i="5"/>
  <c r="B119" i="1"/>
  <c r="D118" i="1"/>
  <c r="B120" i="5" l="1"/>
  <c r="D119" i="5"/>
  <c r="I118" i="5"/>
  <c r="B120" i="1"/>
  <c r="D119" i="1"/>
  <c r="D120" i="5" l="1"/>
  <c r="B121" i="5"/>
  <c r="I119" i="5"/>
  <c r="B121" i="1"/>
  <c r="D120" i="1"/>
  <c r="I120" i="5" l="1"/>
  <c r="B122" i="5"/>
  <c r="D121" i="5"/>
  <c r="B122" i="1"/>
  <c r="D121" i="1"/>
  <c r="B123" i="5" l="1"/>
  <c r="D122" i="5"/>
  <c r="I121" i="5"/>
  <c r="B123" i="1"/>
  <c r="D122" i="1"/>
  <c r="I122" i="5" l="1"/>
  <c r="B124" i="5"/>
  <c r="D123" i="5"/>
  <c r="B124" i="1"/>
  <c r="D123" i="1"/>
  <c r="D124" i="5" l="1"/>
  <c r="B125" i="5"/>
  <c r="I123" i="5"/>
  <c r="B125" i="1"/>
  <c r="D124" i="1"/>
  <c r="I124" i="5" l="1"/>
  <c r="B126" i="5"/>
  <c r="D125" i="5"/>
  <c r="B126" i="1"/>
  <c r="D125" i="1"/>
  <c r="B127" i="5" l="1"/>
  <c r="D126" i="5"/>
  <c r="I125" i="5"/>
  <c r="B127" i="1"/>
  <c r="D126" i="1"/>
  <c r="I126" i="5" l="1"/>
  <c r="B128" i="5"/>
  <c r="D127" i="5"/>
  <c r="B128" i="1"/>
  <c r="D127" i="1"/>
  <c r="D128" i="5" l="1"/>
  <c r="B129" i="5"/>
  <c r="I127" i="5"/>
  <c r="B129" i="1"/>
  <c r="D128" i="1"/>
  <c r="I128" i="5" l="1"/>
  <c r="B130" i="5"/>
  <c r="D129" i="5"/>
  <c r="B130" i="1"/>
  <c r="D129" i="1"/>
  <c r="B131" i="5" l="1"/>
  <c r="D130" i="5"/>
  <c r="I129" i="5"/>
  <c r="B131" i="1"/>
  <c r="D130" i="1"/>
  <c r="I130" i="5" l="1"/>
  <c r="B132" i="5"/>
  <c r="D131" i="5"/>
  <c r="B132" i="1"/>
  <c r="D131" i="1"/>
  <c r="B133" i="5" l="1"/>
  <c r="D132" i="5"/>
  <c r="I131" i="5"/>
  <c r="B133" i="1"/>
  <c r="D132" i="1"/>
  <c r="I132" i="5" l="1"/>
  <c r="B134" i="5"/>
  <c r="D133" i="5"/>
  <c r="B134" i="1"/>
  <c r="D133" i="1"/>
  <c r="B135" i="5" l="1"/>
  <c r="D134" i="5"/>
  <c r="I133" i="5"/>
  <c r="B135" i="1"/>
  <c r="D134" i="1"/>
  <c r="B136" i="5" l="1"/>
  <c r="D135" i="5"/>
  <c r="I134" i="5"/>
  <c r="B136" i="1"/>
  <c r="D135" i="1"/>
  <c r="B137" i="5" l="1"/>
  <c r="D136" i="5"/>
  <c r="I135" i="5"/>
  <c r="B137" i="1"/>
  <c r="D136" i="1"/>
  <c r="I136" i="5" l="1"/>
  <c r="B138" i="5"/>
  <c r="D137" i="5"/>
  <c r="B138" i="1"/>
  <c r="D137" i="1"/>
  <c r="B139" i="5" l="1"/>
  <c r="D138" i="5"/>
  <c r="I137" i="5"/>
  <c r="B139" i="1"/>
  <c r="D138" i="1"/>
  <c r="I138" i="5" l="1"/>
  <c r="D139" i="5"/>
  <c r="B140" i="5"/>
  <c r="B140" i="1"/>
  <c r="D139" i="1"/>
  <c r="I139" i="5" l="1"/>
  <c r="B141" i="5"/>
  <c r="D140" i="5"/>
  <c r="B141" i="1"/>
  <c r="D140" i="1"/>
  <c r="B142" i="5" l="1"/>
  <c r="D141" i="5"/>
  <c r="I140" i="5"/>
  <c r="B142" i="1"/>
  <c r="D141" i="1"/>
  <c r="I141" i="5" l="1"/>
  <c r="B143" i="5"/>
  <c r="D142" i="5"/>
  <c r="B143" i="1"/>
  <c r="D142" i="1"/>
  <c r="D143" i="5" l="1"/>
  <c r="B144" i="5"/>
  <c r="I142" i="5"/>
  <c r="B144" i="1"/>
  <c r="D143" i="1"/>
  <c r="B145" i="5" l="1"/>
  <c r="D144" i="5"/>
  <c r="I143" i="5"/>
  <c r="B145" i="1"/>
  <c r="D144" i="1"/>
  <c r="I144" i="5" l="1"/>
  <c r="B146" i="5"/>
  <c r="D145" i="5"/>
  <c r="B146" i="1"/>
  <c r="D145" i="1"/>
  <c r="B147" i="5" l="1"/>
  <c r="D146" i="5"/>
  <c r="I145" i="5"/>
  <c r="B147" i="1"/>
  <c r="D146" i="1"/>
  <c r="I146" i="5" l="1"/>
  <c r="D147" i="5"/>
  <c r="B148" i="5"/>
  <c r="B148" i="1"/>
  <c r="D147" i="1"/>
  <c r="I147" i="5" l="1"/>
  <c r="B149" i="5"/>
  <c r="D148" i="5"/>
  <c r="B149" i="1"/>
  <c r="D148" i="1"/>
  <c r="B150" i="5" l="1"/>
  <c r="D149" i="5"/>
  <c r="I148" i="5"/>
  <c r="B150" i="1"/>
  <c r="D149" i="1"/>
  <c r="I149" i="5" l="1"/>
  <c r="B151" i="5"/>
  <c r="D150" i="5"/>
  <c r="B151" i="1"/>
  <c r="D150" i="1"/>
  <c r="D151" i="5" l="1"/>
  <c r="B152" i="5"/>
  <c r="I150" i="5"/>
  <c r="B152" i="1"/>
  <c r="D151" i="1"/>
  <c r="B153" i="5" l="1"/>
  <c r="D152" i="5"/>
  <c r="I151" i="5"/>
  <c r="B153" i="1"/>
  <c r="D152" i="1"/>
  <c r="B154" i="5" l="1"/>
  <c r="D153" i="5"/>
  <c r="I152" i="5"/>
  <c r="B154" i="1"/>
  <c r="D153" i="1"/>
  <c r="I153" i="5" l="1"/>
  <c r="B155" i="5"/>
  <c r="D154" i="5"/>
  <c r="B155" i="1"/>
  <c r="D154" i="1"/>
  <c r="D155" i="5" l="1"/>
  <c r="B156" i="5"/>
  <c r="I154" i="5"/>
  <c r="B156" i="1"/>
  <c r="D155" i="1"/>
  <c r="I155" i="5" l="1"/>
  <c r="B157" i="5"/>
  <c r="D156" i="5"/>
  <c r="B157" i="1"/>
  <c r="D156" i="1"/>
  <c r="B158" i="5" l="1"/>
  <c r="D157" i="5"/>
  <c r="I156" i="5"/>
  <c r="B158" i="1"/>
  <c r="D157" i="1"/>
  <c r="B159" i="5" l="1"/>
  <c r="D158" i="5"/>
  <c r="I157" i="5"/>
  <c r="B159" i="1"/>
  <c r="D158" i="1"/>
  <c r="D159" i="5" l="1"/>
  <c r="B160" i="5"/>
  <c r="I158" i="5"/>
  <c r="B160" i="1"/>
  <c r="D159" i="1"/>
  <c r="B161" i="5" l="1"/>
  <c r="D160" i="5"/>
  <c r="I159" i="5"/>
  <c r="B161" i="1"/>
  <c r="D160" i="1"/>
  <c r="B162" i="5" l="1"/>
  <c r="D161" i="5"/>
  <c r="I160" i="5"/>
  <c r="B162" i="1"/>
  <c r="D161" i="1"/>
  <c r="I161" i="5" l="1"/>
  <c r="B163" i="5"/>
  <c r="D162" i="5"/>
  <c r="B163" i="1"/>
  <c r="D162" i="1"/>
  <c r="D163" i="5" l="1"/>
  <c r="B164" i="5"/>
  <c r="I162" i="5"/>
  <c r="B164" i="1"/>
  <c r="D163" i="1"/>
  <c r="I163" i="5" l="1"/>
  <c r="B165" i="5"/>
  <c r="D164" i="5"/>
  <c r="B165" i="1"/>
  <c r="D164" i="1"/>
  <c r="B166" i="5" l="1"/>
  <c r="D165" i="5"/>
  <c r="I164" i="5"/>
  <c r="B166" i="1"/>
  <c r="D165" i="1"/>
  <c r="B167" i="5" l="1"/>
  <c r="D166" i="5"/>
  <c r="I165" i="5"/>
  <c r="B167" i="1"/>
  <c r="D166" i="1"/>
  <c r="D167" i="5" l="1"/>
  <c r="B168" i="5"/>
  <c r="I166" i="5"/>
  <c r="B168" i="1"/>
  <c r="D167" i="1"/>
  <c r="B169" i="5" l="1"/>
  <c r="D168" i="5"/>
  <c r="I167" i="5"/>
  <c r="B169" i="1"/>
  <c r="D168" i="1"/>
  <c r="I168" i="5" l="1"/>
  <c r="B170" i="5"/>
  <c r="D169" i="5"/>
  <c r="B170" i="1"/>
  <c r="D169" i="1"/>
  <c r="B171" i="5" l="1"/>
  <c r="D170" i="5"/>
  <c r="I169" i="5"/>
  <c r="B171" i="1"/>
  <c r="D170" i="1"/>
  <c r="D171" i="5" l="1"/>
  <c r="B172" i="5"/>
  <c r="I170" i="5"/>
  <c r="B172" i="1"/>
  <c r="D171" i="1"/>
  <c r="I171" i="5" l="1"/>
  <c r="B173" i="5"/>
  <c r="D172" i="5"/>
  <c r="B173" i="1"/>
  <c r="D172" i="1"/>
  <c r="B174" i="5" l="1"/>
  <c r="D173" i="5"/>
  <c r="I172" i="5"/>
  <c r="B174" i="1"/>
  <c r="D173" i="1"/>
  <c r="I173" i="5" l="1"/>
  <c r="B175" i="5"/>
  <c r="D174" i="5"/>
  <c r="B175" i="1"/>
  <c r="D174" i="1"/>
  <c r="D175" i="5" l="1"/>
  <c r="B176" i="5"/>
  <c r="I174" i="5"/>
  <c r="B176" i="1"/>
  <c r="D175" i="1"/>
  <c r="B177" i="5" l="1"/>
  <c r="D176" i="5"/>
  <c r="I175" i="5"/>
  <c r="B177" i="1"/>
  <c r="D176" i="1"/>
  <c r="I176" i="5" l="1"/>
  <c r="B178" i="5"/>
  <c r="D177" i="5"/>
  <c r="B178" i="1"/>
  <c r="D177" i="1"/>
  <c r="B179" i="5" l="1"/>
  <c r="D178" i="5"/>
  <c r="I177" i="5"/>
  <c r="B179" i="1"/>
  <c r="D178" i="1"/>
  <c r="D179" i="5" l="1"/>
  <c r="B180" i="5"/>
  <c r="I178" i="5"/>
  <c r="B180" i="1"/>
  <c r="D179" i="1"/>
  <c r="B181" i="5" l="1"/>
  <c r="D180" i="5"/>
  <c r="I179" i="5"/>
  <c r="B181" i="1"/>
  <c r="D180" i="1"/>
  <c r="I180" i="5" l="1"/>
  <c r="B182" i="5"/>
  <c r="D181" i="5"/>
  <c r="B182" i="1"/>
  <c r="D181" i="1"/>
  <c r="B183" i="5" l="1"/>
  <c r="D182" i="5"/>
  <c r="I181" i="5"/>
  <c r="B183" i="1"/>
  <c r="D182" i="1"/>
  <c r="I182" i="5" l="1"/>
  <c r="D183" i="5"/>
  <c r="B184" i="5"/>
  <c r="B184" i="1"/>
  <c r="D183" i="1"/>
  <c r="I183" i="5" l="1"/>
  <c r="B185" i="5"/>
  <c r="D184" i="5"/>
  <c r="B185" i="1"/>
  <c r="D184" i="1"/>
  <c r="B186" i="5" l="1"/>
  <c r="D185" i="5"/>
  <c r="I184" i="5"/>
  <c r="B186" i="1"/>
  <c r="D185" i="1"/>
  <c r="B187" i="5" l="1"/>
  <c r="D186" i="5"/>
  <c r="I185" i="5"/>
  <c r="B187" i="1"/>
  <c r="D186" i="1"/>
  <c r="D187" i="5" l="1"/>
  <c r="B188" i="5"/>
  <c r="I186" i="5"/>
  <c r="B188" i="1"/>
  <c r="D187" i="1"/>
  <c r="B189" i="5" l="1"/>
  <c r="D188" i="5"/>
  <c r="I187" i="5"/>
  <c r="B189" i="1"/>
  <c r="D188" i="1"/>
  <c r="I188" i="5" l="1"/>
  <c r="B190" i="5"/>
  <c r="D189" i="5"/>
  <c r="B190" i="1"/>
  <c r="D189" i="1"/>
  <c r="B191" i="5" l="1"/>
  <c r="D190" i="5"/>
  <c r="I189" i="5"/>
  <c r="B191" i="1"/>
  <c r="D190" i="1"/>
  <c r="D191" i="5" l="1"/>
  <c r="B192" i="5"/>
  <c r="I190" i="5"/>
  <c r="B192" i="1"/>
  <c r="D191" i="1"/>
  <c r="B193" i="5" l="1"/>
  <c r="D192" i="5"/>
  <c r="I191" i="5"/>
  <c r="B193" i="1"/>
  <c r="D192" i="1"/>
  <c r="I192" i="5" l="1"/>
  <c r="B194" i="5"/>
  <c r="D193" i="5"/>
  <c r="B194" i="1"/>
  <c r="D193" i="1"/>
  <c r="B195" i="5" l="1"/>
  <c r="D194" i="5"/>
  <c r="I193" i="5"/>
  <c r="B195" i="1"/>
  <c r="D194" i="1"/>
  <c r="I194" i="5" l="1"/>
  <c r="D195" i="5"/>
  <c r="B196" i="5"/>
  <c r="B196" i="1"/>
  <c r="D195" i="1"/>
  <c r="I195" i="5" l="1"/>
  <c r="B197" i="5"/>
  <c r="D196" i="5"/>
  <c r="B197" i="1"/>
  <c r="D196" i="1"/>
  <c r="B198" i="5" l="1"/>
  <c r="D197" i="5"/>
  <c r="I196" i="5"/>
  <c r="B198" i="1"/>
  <c r="D197" i="1"/>
  <c r="B199" i="5" l="1"/>
  <c r="D198" i="5"/>
  <c r="I197" i="5"/>
  <c r="B199" i="1"/>
  <c r="D198" i="1"/>
  <c r="I198" i="5" l="1"/>
  <c r="D199" i="5"/>
  <c r="B200" i="5"/>
  <c r="B200" i="1"/>
  <c r="D199" i="1"/>
  <c r="I199" i="5" l="1"/>
  <c r="B201" i="5"/>
  <c r="D200" i="5"/>
  <c r="B201" i="1"/>
  <c r="D200" i="1"/>
  <c r="B202" i="5" l="1"/>
  <c r="D201" i="5"/>
  <c r="I200" i="5"/>
  <c r="B202" i="1"/>
  <c r="D201" i="1"/>
  <c r="I201" i="5" l="1"/>
  <c r="B203" i="5"/>
  <c r="D202" i="5"/>
  <c r="B203" i="1"/>
  <c r="D202" i="1"/>
  <c r="D203" i="5" l="1"/>
  <c r="B204" i="5"/>
  <c r="I202" i="5"/>
  <c r="B204" i="1"/>
  <c r="D203" i="1"/>
  <c r="B205" i="5" l="1"/>
  <c r="D204" i="5"/>
  <c r="I203" i="5"/>
  <c r="B205" i="1"/>
  <c r="D204" i="1"/>
  <c r="I204" i="5" l="1"/>
  <c r="B206" i="5"/>
  <c r="D205" i="5"/>
  <c r="B206" i="1"/>
  <c r="D205" i="1"/>
  <c r="B207" i="5" l="1"/>
  <c r="D206" i="5"/>
  <c r="I205" i="5"/>
  <c r="B207" i="1"/>
  <c r="D206" i="1"/>
  <c r="I206" i="5" l="1"/>
  <c r="D207" i="5"/>
  <c r="B208" i="5"/>
  <c r="B208" i="1"/>
  <c r="D207" i="1"/>
  <c r="I207" i="5" l="1"/>
  <c r="B209" i="5"/>
  <c r="D208" i="5"/>
  <c r="B209" i="1"/>
  <c r="D208" i="1"/>
  <c r="B210" i="5" l="1"/>
  <c r="D209" i="5"/>
  <c r="I208" i="5"/>
  <c r="B210" i="1"/>
  <c r="D209" i="1"/>
  <c r="B211" i="5" l="1"/>
  <c r="D210" i="5"/>
  <c r="I209" i="5"/>
  <c r="B211" i="1"/>
  <c r="D210" i="1"/>
  <c r="D211" i="5" l="1"/>
  <c r="B212" i="5"/>
  <c r="I210" i="5"/>
  <c r="B212" i="1"/>
  <c r="D211" i="1"/>
  <c r="B213" i="5" l="1"/>
  <c r="D212" i="5"/>
  <c r="I211" i="5"/>
  <c r="B213" i="1"/>
  <c r="D212" i="1"/>
  <c r="I212" i="5" l="1"/>
  <c r="D213" i="5"/>
  <c r="B214" i="5"/>
  <c r="B214" i="1"/>
  <c r="D213" i="1"/>
  <c r="I213" i="5" l="1"/>
  <c r="B215" i="5"/>
  <c r="D214" i="5"/>
  <c r="B215" i="1"/>
  <c r="D214" i="1"/>
  <c r="D215" i="5" l="1"/>
  <c r="B216" i="5"/>
  <c r="I214" i="5"/>
  <c r="B216" i="1"/>
  <c r="D215" i="1"/>
  <c r="I215" i="5" l="1"/>
  <c r="B217" i="5"/>
  <c r="D216" i="5"/>
  <c r="B217" i="1"/>
  <c r="D216" i="1"/>
  <c r="B218" i="5" l="1"/>
  <c r="D217" i="5"/>
  <c r="I216" i="5"/>
  <c r="B218" i="1"/>
  <c r="D217" i="1"/>
  <c r="B219" i="5" l="1"/>
  <c r="D218" i="5"/>
  <c r="I217" i="5"/>
  <c r="B219" i="1"/>
  <c r="D218" i="1"/>
  <c r="D219" i="5" l="1"/>
  <c r="B220" i="5"/>
  <c r="I218" i="5"/>
  <c r="B220" i="1"/>
  <c r="D219" i="1"/>
  <c r="I219" i="5" l="1"/>
  <c r="B221" i="5"/>
  <c r="D220" i="5"/>
  <c r="B221" i="1"/>
  <c r="D220" i="1"/>
  <c r="B222" i="5" l="1"/>
  <c r="D221" i="5"/>
  <c r="I220" i="5"/>
  <c r="B222" i="1"/>
  <c r="D221" i="1"/>
  <c r="B223" i="5" l="1"/>
  <c r="D222" i="5"/>
  <c r="I221" i="5"/>
  <c r="B223" i="1"/>
  <c r="D222" i="1"/>
  <c r="D223" i="5" l="1"/>
  <c r="B224" i="5"/>
  <c r="I222" i="5"/>
  <c r="B224" i="1"/>
  <c r="D223" i="1"/>
  <c r="B225" i="5" l="1"/>
  <c r="D224" i="5"/>
  <c r="I223" i="5"/>
  <c r="B225" i="1"/>
  <c r="D224" i="1"/>
  <c r="I224" i="5" l="1"/>
  <c r="B226" i="5"/>
  <c r="D225" i="5"/>
  <c r="B226" i="1"/>
  <c r="D225" i="1"/>
  <c r="D226" i="5" l="1"/>
  <c r="B227" i="5"/>
  <c r="I225" i="5"/>
  <c r="B227" i="1"/>
  <c r="D226" i="1"/>
  <c r="D227" i="5" l="1"/>
  <c r="B228" i="5"/>
  <c r="I226" i="5"/>
  <c r="B228" i="1"/>
  <c r="D227" i="1"/>
  <c r="B229" i="5" l="1"/>
  <c r="D228" i="5"/>
  <c r="I227" i="5"/>
  <c r="B229" i="1"/>
  <c r="D228" i="1"/>
  <c r="I228" i="5" l="1"/>
  <c r="B230" i="5"/>
  <c r="D229" i="5"/>
  <c r="B230" i="1"/>
  <c r="D229" i="1"/>
  <c r="B231" i="5" l="1"/>
  <c r="D230" i="5"/>
  <c r="I229" i="5"/>
  <c r="B231" i="1"/>
  <c r="D230" i="1"/>
  <c r="D231" i="5" l="1"/>
  <c r="B232" i="5"/>
  <c r="I230" i="5"/>
  <c r="B232" i="1"/>
  <c r="D231" i="1"/>
  <c r="B233" i="5" l="1"/>
  <c r="D232" i="5"/>
  <c r="I231" i="5"/>
  <c r="B233" i="1"/>
  <c r="D232" i="1"/>
  <c r="I232" i="5" l="1"/>
  <c r="B234" i="5"/>
  <c r="D233" i="5"/>
  <c r="B234" i="1"/>
  <c r="D233" i="1"/>
  <c r="B235" i="5" l="1"/>
  <c r="D234" i="5"/>
  <c r="I233" i="5"/>
  <c r="B235" i="1"/>
  <c r="D234" i="1"/>
  <c r="I234" i="5" l="1"/>
  <c r="D235" i="5"/>
  <c r="B236" i="5"/>
  <c r="B236" i="1"/>
  <c r="D235" i="1"/>
  <c r="I235" i="5" l="1"/>
  <c r="B237" i="5"/>
  <c r="D236" i="5"/>
  <c r="B237" i="1"/>
  <c r="D236" i="1"/>
  <c r="B238" i="5" l="1"/>
  <c r="D237" i="5"/>
  <c r="I236" i="5"/>
  <c r="B238" i="1"/>
  <c r="D237" i="1"/>
  <c r="I237" i="5" l="1"/>
  <c r="B239" i="5"/>
  <c r="D238" i="5"/>
  <c r="B239" i="1"/>
  <c r="D238" i="1"/>
  <c r="D239" i="5" l="1"/>
  <c r="B240" i="5"/>
  <c r="I238" i="5"/>
  <c r="B240" i="1"/>
  <c r="D239" i="1"/>
  <c r="B241" i="5" l="1"/>
  <c r="D240" i="5"/>
  <c r="I239" i="5"/>
  <c r="B241" i="1"/>
  <c r="D240" i="1"/>
  <c r="I240" i="5" l="1"/>
  <c r="B242" i="5"/>
  <c r="D241" i="5"/>
  <c r="B242" i="1"/>
  <c r="D241" i="1"/>
  <c r="D242" i="5" l="1"/>
  <c r="B243" i="5"/>
  <c r="I241" i="5"/>
  <c r="B243" i="1"/>
  <c r="D242" i="1"/>
  <c r="D243" i="5" l="1"/>
  <c r="B244" i="5"/>
  <c r="I242" i="5"/>
  <c r="B244" i="1"/>
  <c r="D243" i="1"/>
  <c r="B245" i="5" l="1"/>
  <c r="D244" i="5"/>
  <c r="I243" i="5"/>
  <c r="B245" i="1"/>
  <c r="D244" i="1"/>
  <c r="I244" i="5" l="1"/>
  <c r="B246" i="5"/>
  <c r="D245" i="5"/>
  <c r="B246" i="1"/>
  <c r="D245" i="1"/>
  <c r="B247" i="5" l="1"/>
  <c r="D246" i="5"/>
  <c r="I245" i="5"/>
  <c r="B247" i="1"/>
  <c r="D246" i="1"/>
  <c r="I246" i="5" l="1"/>
  <c r="D247" i="5"/>
  <c r="B248" i="5"/>
  <c r="B248" i="1"/>
  <c r="D247" i="1"/>
  <c r="I247" i="5" l="1"/>
  <c r="B249" i="5"/>
  <c r="D248" i="5"/>
  <c r="B249" i="1"/>
  <c r="D248" i="1"/>
  <c r="B250" i="5" l="1"/>
  <c r="D249" i="5"/>
  <c r="I248" i="5"/>
  <c r="B250" i="1"/>
  <c r="D249" i="1"/>
  <c r="I249" i="5" l="1"/>
  <c r="B251" i="5"/>
  <c r="D250" i="5"/>
  <c r="B251" i="1"/>
  <c r="D250" i="1"/>
  <c r="D251" i="5" l="1"/>
  <c r="B252" i="5"/>
  <c r="I250" i="5"/>
  <c r="B252" i="1"/>
  <c r="D251" i="1"/>
  <c r="B253" i="5" l="1"/>
  <c r="D252" i="5"/>
  <c r="I251" i="5"/>
  <c r="B253" i="1"/>
  <c r="D252" i="1"/>
  <c r="B254" i="5" l="1"/>
  <c r="D253" i="5"/>
  <c r="I252" i="5"/>
  <c r="B254" i="1"/>
  <c r="D253" i="1"/>
  <c r="I253" i="5" l="1"/>
  <c r="D254" i="5"/>
  <c r="B255" i="5"/>
  <c r="B255" i="1"/>
  <c r="D254" i="1"/>
  <c r="I254" i="5" l="1"/>
  <c r="B256" i="5"/>
  <c r="D255" i="5"/>
  <c r="B256" i="1"/>
  <c r="D255" i="1"/>
  <c r="B257" i="5" l="1"/>
  <c r="D256" i="5"/>
  <c r="I255" i="5"/>
  <c r="B257" i="1"/>
  <c r="D256" i="1"/>
  <c r="I256" i="5" l="1"/>
  <c r="D257" i="5"/>
  <c r="B258" i="5"/>
  <c r="B258" i="1"/>
  <c r="D257" i="1"/>
  <c r="I257" i="5" l="1"/>
  <c r="B259" i="5"/>
  <c r="D258" i="5"/>
  <c r="B259" i="1"/>
  <c r="D258" i="1"/>
  <c r="B260" i="5" l="1"/>
  <c r="D259" i="5"/>
  <c r="I258" i="5"/>
  <c r="B260" i="1"/>
  <c r="D259" i="1"/>
  <c r="B261" i="5" l="1"/>
  <c r="D260" i="5"/>
  <c r="I259" i="5"/>
  <c r="B261" i="1"/>
  <c r="D260" i="1"/>
  <c r="D261" i="5" l="1"/>
  <c r="B262" i="5"/>
  <c r="I260" i="5"/>
  <c r="B262" i="1"/>
  <c r="D261" i="1"/>
  <c r="I261" i="5" l="1"/>
  <c r="B263" i="5"/>
  <c r="D262" i="5"/>
  <c r="B263" i="1"/>
  <c r="D262" i="1"/>
  <c r="B264" i="5" l="1"/>
  <c r="D263" i="5"/>
  <c r="I262" i="5"/>
  <c r="B264" i="1"/>
  <c r="D263" i="1"/>
  <c r="B265" i="5" l="1"/>
  <c r="D264" i="5"/>
  <c r="I263" i="5"/>
  <c r="B265" i="1"/>
  <c r="D264" i="1"/>
  <c r="D265" i="5" l="1"/>
  <c r="B266" i="5"/>
  <c r="I264" i="5"/>
  <c r="B266" i="1"/>
  <c r="D265" i="1"/>
  <c r="B267" i="5" l="1"/>
  <c r="D266" i="5"/>
  <c r="I265" i="5"/>
  <c r="B267" i="1"/>
  <c r="D266" i="1"/>
  <c r="B268" i="5" l="1"/>
  <c r="D267" i="5"/>
  <c r="I266" i="5"/>
  <c r="B268" i="1"/>
  <c r="D267" i="1"/>
  <c r="B269" i="5" l="1"/>
  <c r="D268" i="5"/>
  <c r="I267" i="5"/>
  <c r="B269" i="1"/>
  <c r="D268" i="1"/>
  <c r="D269" i="5" l="1"/>
  <c r="B270" i="5"/>
  <c r="I268" i="5"/>
  <c r="B270" i="1"/>
  <c r="D269" i="1"/>
  <c r="B271" i="5" l="1"/>
  <c r="D270" i="5"/>
  <c r="I269" i="5"/>
  <c r="B271" i="1"/>
  <c r="D270" i="1"/>
  <c r="B272" i="5" l="1"/>
  <c r="D271" i="5"/>
  <c r="I270" i="5"/>
  <c r="B272" i="1"/>
  <c r="D271" i="1"/>
  <c r="B273" i="5" l="1"/>
  <c r="D272" i="5"/>
  <c r="I271" i="5"/>
  <c r="B273" i="1"/>
  <c r="D272" i="1"/>
  <c r="D273" i="5" l="1"/>
  <c r="B274" i="5"/>
  <c r="I272" i="5"/>
  <c r="B274" i="1"/>
  <c r="D273" i="1"/>
  <c r="B275" i="5" l="1"/>
  <c r="D274" i="5"/>
  <c r="I273" i="5"/>
  <c r="B275" i="1"/>
  <c r="D274" i="1"/>
  <c r="B276" i="5" l="1"/>
  <c r="D275" i="5"/>
  <c r="I274" i="5"/>
  <c r="B276" i="1"/>
  <c r="D275" i="1"/>
  <c r="B277" i="5" l="1"/>
  <c r="D276" i="5"/>
  <c r="I275" i="5"/>
  <c r="B277" i="1"/>
  <c r="D276" i="1"/>
  <c r="D277" i="5" l="1"/>
  <c r="B278" i="5"/>
  <c r="I276" i="5"/>
  <c r="B278" i="1"/>
  <c r="D277" i="1"/>
  <c r="B279" i="5" l="1"/>
  <c r="D278" i="5"/>
  <c r="I277" i="5"/>
  <c r="B279" i="1"/>
  <c r="D278" i="1"/>
  <c r="B280" i="5" l="1"/>
  <c r="D279" i="5"/>
  <c r="I278" i="5"/>
  <c r="B280" i="1"/>
  <c r="D279" i="1"/>
  <c r="B281" i="5" l="1"/>
  <c r="D280" i="5"/>
  <c r="I279" i="5"/>
  <c r="B281" i="1"/>
  <c r="D280" i="1"/>
  <c r="I280" i="5" l="1"/>
  <c r="D281" i="5"/>
  <c r="B282" i="5"/>
  <c r="B282" i="1"/>
  <c r="D281" i="1"/>
  <c r="I281" i="5" l="1"/>
  <c r="B283" i="5"/>
  <c r="D282" i="5"/>
  <c r="B283" i="1"/>
  <c r="D282" i="1"/>
  <c r="B284" i="5" l="1"/>
  <c r="D283" i="5"/>
  <c r="I282" i="5"/>
  <c r="B284" i="1"/>
  <c r="D283" i="1"/>
  <c r="B285" i="5" l="1"/>
  <c r="D284" i="5"/>
  <c r="I283" i="5"/>
  <c r="B285" i="1"/>
  <c r="D284" i="1"/>
  <c r="I284" i="5" l="1"/>
  <c r="D285" i="5"/>
  <c r="B286" i="5"/>
  <c r="B286" i="1"/>
  <c r="D285" i="1"/>
  <c r="I285" i="5" l="1"/>
  <c r="B287" i="5"/>
  <c r="D286" i="5"/>
  <c r="B287" i="1"/>
  <c r="D286" i="1"/>
  <c r="B288" i="5" l="1"/>
  <c r="D287" i="5"/>
  <c r="I286" i="5"/>
  <c r="B288" i="1"/>
  <c r="D287" i="1"/>
  <c r="B289" i="5" l="1"/>
  <c r="D288" i="5"/>
  <c r="I287" i="5"/>
  <c r="B289" i="1"/>
  <c r="D288" i="1"/>
  <c r="I288" i="5" l="1"/>
  <c r="D289" i="5"/>
  <c r="B290" i="5"/>
  <c r="B290" i="1"/>
  <c r="D289" i="1"/>
  <c r="I289" i="5" l="1"/>
  <c r="B291" i="5"/>
  <c r="D290" i="5"/>
  <c r="B291" i="1"/>
  <c r="D290" i="1"/>
  <c r="B292" i="5" l="1"/>
  <c r="D291" i="5"/>
  <c r="I290" i="5"/>
  <c r="B292" i="1"/>
  <c r="D291" i="1"/>
  <c r="I291" i="5" l="1"/>
  <c r="B293" i="5"/>
  <c r="D292" i="5"/>
  <c r="B293" i="1"/>
  <c r="D292" i="1"/>
  <c r="D293" i="5" l="1"/>
  <c r="B294" i="5"/>
  <c r="I292" i="5"/>
  <c r="B294" i="1"/>
  <c r="D293" i="1"/>
  <c r="B295" i="5" l="1"/>
  <c r="D294" i="5"/>
  <c r="I293" i="5"/>
  <c r="B295" i="1"/>
  <c r="D294" i="1"/>
  <c r="I294" i="5" l="1"/>
  <c r="B296" i="5"/>
  <c r="D295" i="5"/>
  <c r="B296" i="1"/>
  <c r="D295" i="1"/>
  <c r="B297" i="5" l="1"/>
  <c r="D296" i="5"/>
  <c r="I295" i="5"/>
  <c r="B297" i="1"/>
  <c r="D296" i="1"/>
  <c r="I296" i="5" l="1"/>
  <c r="D297" i="5"/>
  <c r="B298" i="5"/>
  <c r="B298" i="1"/>
  <c r="D297" i="1"/>
  <c r="I297" i="5" l="1"/>
  <c r="B299" i="5"/>
  <c r="D298" i="5"/>
  <c r="B299" i="1"/>
  <c r="D298" i="1"/>
  <c r="B300" i="5" l="1"/>
  <c r="D299" i="5"/>
  <c r="I298" i="5"/>
  <c r="B300" i="1"/>
  <c r="D299" i="1"/>
  <c r="I299" i="5" l="1"/>
  <c r="B301" i="5"/>
  <c r="D300" i="5"/>
  <c r="B301" i="1"/>
  <c r="D300" i="1"/>
  <c r="D301" i="5" l="1"/>
  <c r="B302" i="5"/>
  <c r="I300" i="5"/>
  <c r="B302" i="1"/>
  <c r="D301" i="1"/>
  <c r="B303" i="5" l="1"/>
  <c r="D302" i="5"/>
  <c r="I301" i="5"/>
  <c r="B303" i="1"/>
  <c r="D302" i="1"/>
  <c r="B304" i="5" l="1"/>
  <c r="D303" i="5"/>
  <c r="I302" i="5"/>
  <c r="B304" i="1"/>
  <c r="D303" i="1"/>
  <c r="I303" i="5" l="1"/>
  <c r="B305" i="5"/>
  <c r="D304" i="5"/>
  <c r="B305" i="1"/>
  <c r="D304" i="1"/>
  <c r="D305" i="5" l="1"/>
  <c r="B306" i="5"/>
  <c r="I304" i="5"/>
  <c r="B306" i="1"/>
  <c r="D305" i="1"/>
  <c r="B307" i="5" l="1"/>
  <c r="D306" i="5"/>
  <c r="I305" i="5"/>
  <c r="B307" i="1"/>
  <c r="D306" i="1"/>
  <c r="I306" i="5" l="1"/>
  <c r="B308" i="5"/>
  <c r="D307" i="5"/>
  <c r="B308" i="1"/>
  <c r="D307" i="1"/>
  <c r="B309" i="5" l="1"/>
  <c r="D308" i="5"/>
  <c r="I307" i="5"/>
  <c r="B309" i="1"/>
  <c r="D308" i="1"/>
  <c r="D309" i="5" l="1"/>
  <c r="B310" i="5"/>
  <c r="I308" i="5"/>
  <c r="B310" i="1"/>
  <c r="D309" i="1"/>
  <c r="B311" i="5" l="1"/>
  <c r="D310" i="5"/>
  <c r="I309" i="5"/>
  <c r="B311" i="1"/>
  <c r="D310" i="1"/>
  <c r="I310" i="5" l="1"/>
  <c r="B312" i="5"/>
  <c r="D311" i="5"/>
  <c r="B312" i="1"/>
  <c r="D311" i="1"/>
  <c r="B313" i="5" l="1"/>
  <c r="D312" i="5"/>
  <c r="I311" i="5"/>
  <c r="B313" i="1"/>
  <c r="D312" i="1"/>
  <c r="I312" i="5" l="1"/>
  <c r="D313" i="5"/>
  <c r="B314" i="5"/>
  <c r="B314" i="1"/>
  <c r="D313" i="1"/>
  <c r="I313" i="5" l="1"/>
  <c r="B315" i="5"/>
  <c r="D314" i="5"/>
  <c r="B315" i="1"/>
  <c r="D314" i="1"/>
  <c r="B316" i="5" l="1"/>
  <c r="D315" i="5"/>
  <c r="I314" i="5"/>
  <c r="B316" i="1"/>
  <c r="D315" i="1"/>
  <c r="I315" i="5" l="1"/>
  <c r="B317" i="5"/>
  <c r="D316" i="5"/>
  <c r="B317" i="1"/>
  <c r="D316" i="1"/>
  <c r="D317" i="5" l="1"/>
  <c r="B318" i="5"/>
  <c r="I316" i="5"/>
  <c r="B318" i="1"/>
  <c r="D317" i="1"/>
  <c r="B319" i="5" l="1"/>
  <c r="D318" i="5"/>
  <c r="I317" i="5"/>
  <c r="B319" i="1"/>
  <c r="D318" i="1"/>
  <c r="I318" i="5" l="1"/>
  <c r="B320" i="5"/>
  <c r="D319" i="5"/>
  <c r="B320" i="1"/>
  <c r="D319" i="1"/>
  <c r="B321" i="5" l="1"/>
  <c r="D320" i="5"/>
  <c r="I319" i="5"/>
  <c r="B321" i="1"/>
  <c r="D320" i="1"/>
  <c r="D321" i="5" l="1"/>
  <c r="B322" i="5"/>
  <c r="I320" i="5"/>
  <c r="B322" i="1"/>
  <c r="D321" i="1"/>
  <c r="B323" i="5" l="1"/>
  <c r="D322" i="5"/>
  <c r="I321" i="5"/>
  <c r="B323" i="1"/>
  <c r="D322" i="1"/>
  <c r="I322" i="5" l="1"/>
  <c r="B324" i="5"/>
  <c r="D323" i="5"/>
  <c r="B324" i="1"/>
  <c r="D323" i="1"/>
  <c r="D324" i="5" l="1"/>
  <c r="B325" i="5"/>
  <c r="I323" i="5"/>
  <c r="B325" i="1"/>
  <c r="D324" i="1"/>
  <c r="B326" i="5" l="1"/>
  <c r="D325" i="5"/>
  <c r="I324" i="5"/>
  <c r="B326" i="1"/>
  <c r="D325" i="1"/>
  <c r="I325" i="5" l="1"/>
  <c r="B327" i="5"/>
  <c r="D326" i="5"/>
  <c r="B327" i="1"/>
  <c r="D326" i="1"/>
  <c r="D327" i="5" l="1"/>
  <c r="B328" i="5"/>
  <c r="I326" i="5"/>
  <c r="B328" i="1"/>
  <c r="D327" i="1"/>
  <c r="B329" i="5" l="1"/>
  <c r="D328" i="5"/>
  <c r="I327" i="5"/>
  <c r="B329" i="1"/>
  <c r="D328" i="1"/>
  <c r="B330" i="5" l="1"/>
  <c r="D329" i="5"/>
  <c r="I328" i="5"/>
  <c r="B330" i="1"/>
  <c r="D329" i="1"/>
  <c r="I329" i="5" l="1"/>
  <c r="B331" i="5"/>
  <c r="D330" i="5"/>
  <c r="B331" i="1"/>
  <c r="D330" i="1"/>
  <c r="D331" i="5" l="1"/>
  <c r="B332" i="5"/>
  <c r="I330" i="5"/>
  <c r="B332" i="1"/>
  <c r="D331" i="1"/>
  <c r="B333" i="5" l="1"/>
  <c r="D332" i="5"/>
  <c r="I331" i="5"/>
  <c r="B333" i="1"/>
  <c r="D332" i="1"/>
  <c r="I332" i="5" l="1"/>
  <c r="B334" i="5"/>
  <c r="D333" i="5"/>
  <c r="B334" i="1"/>
  <c r="D333" i="1"/>
  <c r="B335" i="5" l="1"/>
  <c r="D334" i="5"/>
  <c r="I333" i="5"/>
  <c r="B335" i="1"/>
  <c r="D334" i="1"/>
  <c r="I334" i="5" l="1"/>
  <c r="D335" i="5"/>
  <c r="B336" i="5"/>
  <c r="B336" i="1"/>
  <c r="D335" i="1"/>
  <c r="I335" i="5" l="1"/>
  <c r="B337" i="5"/>
  <c r="D336" i="5"/>
  <c r="B337" i="1"/>
  <c r="D336" i="1"/>
  <c r="B338" i="5" l="1"/>
  <c r="D337" i="5"/>
  <c r="I336" i="5"/>
  <c r="B338" i="1"/>
  <c r="D337" i="1"/>
  <c r="I337" i="5" l="1"/>
  <c r="D338" i="5"/>
  <c r="B339" i="5"/>
  <c r="B339" i="1"/>
  <c r="D338" i="1"/>
  <c r="I338" i="5" l="1"/>
  <c r="D339" i="5"/>
  <c r="B340" i="5"/>
  <c r="B340" i="1"/>
  <c r="D339" i="1"/>
  <c r="I339" i="5" l="1"/>
  <c r="B341" i="5"/>
  <c r="D340" i="5"/>
  <c r="B341" i="1"/>
  <c r="D340" i="1"/>
  <c r="B342" i="5" l="1"/>
  <c r="D341" i="5"/>
  <c r="I340" i="5"/>
  <c r="B342" i="1"/>
  <c r="D341" i="1"/>
  <c r="I341" i="5" l="1"/>
  <c r="D342" i="5"/>
  <c r="B343" i="5"/>
  <c r="B343" i="1"/>
  <c r="D342" i="1"/>
  <c r="I342" i="5" l="1"/>
  <c r="B344" i="5"/>
  <c r="D343" i="5"/>
  <c r="B344" i="1"/>
  <c r="D343" i="1"/>
  <c r="B345" i="5" l="1"/>
  <c r="D344" i="5"/>
  <c r="I343" i="5"/>
  <c r="B345" i="1"/>
  <c r="D344" i="1"/>
  <c r="I344" i="5" l="1"/>
  <c r="B346" i="5"/>
  <c r="D345" i="5"/>
  <c r="B346" i="1"/>
  <c r="D345" i="1"/>
  <c r="D346" i="5" l="1"/>
  <c r="B347" i="5"/>
  <c r="I345" i="5"/>
  <c r="B347" i="1"/>
  <c r="D346" i="1"/>
  <c r="B348" i="5" l="1"/>
  <c r="D347" i="5"/>
  <c r="I346" i="5"/>
  <c r="B348" i="1"/>
  <c r="D347" i="1"/>
  <c r="I347" i="5" l="1"/>
  <c r="B349" i="5"/>
  <c r="D348" i="5"/>
  <c r="B349" i="1"/>
  <c r="D348" i="1"/>
  <c r="B350" i="5" l="1"/>
  <c r="D349" i="5"/>
  <c r="I348" i="5"/>
  <c r="B350" i="1"/>
  <c r="D349" i="1"/>
  <c r="I349" i="5" l="1"/>
  <c r="D350" i="5"/>
  <c r="B351" i="5"/>
  <c r="B351" i="1"/>
  <c r="D350" i="1"/>
  <c r="I350" i="5" l="1"/>
  <c r="B352" i="5"/>
  <c r="D351" i="5"/>
  <c r="B352" i="1"/>
  <c r="D351" i="1"/>
  <c r="B353" i="5" l="1"/>
  <c r="D352" i="5"/>
  <c r="I351" i="5"/>
  <c r="B353" i="1"/>
  <c r="D352" i="1"/>
  <c r="I352" i="5" l="1"/>
  <c r="B354" i="5"/>
  <c r="D353" i="5"/>
  <c r="B354" i="1"/>
  <c r="D353" i="1"/>
  <c r="D354" i="5" l="1"/>
  <c r="B355" i="5"/>
  <c r="I353" i="5"/>
  <c r="B355" i="1"/>
  <c r="D354" i="1"/>
  <c r="B356" i="5" l="1"/>
  <c r="D355" i="5"/>
  <c r="I354" i="5"/>
  <c r="B356" i="1"/>
  <c r="D355" i="1"/>
  <c r="I355" i="5" l="1"/>
  <c r="B357" i="5"/>
  <c r="D356" i="5"/>
  <c r="B357" i="1"/>
  <c r="D356" i="1"/>
  <c r="B358" i="5" l="1"/>
  <c r="D357" i="5"/>
  <c r="I356" i="5"/>
  <c r="B358" i="1"/>
  <c r="D357" i="1"/>
  <c r="I357" i="5" l="1"/>
  <c r="D358" i="5"/>
  <c r="B359" i="5"/>
  <c r="B359" i="1"/>
  <c r="D358" i="1"/>
  <c r="I358" i="5" l="1"/>
  <c r="B360" i="5"/>
  <c r="D359" i="5"/>
  <c r="B360" i="1"/>
  <c r="D359" i="1"/>
  <c r="B361" i="5" l="1"/>
  <c r="D360" i="5"/>
  <c r="I359" i="5"/>
  <c r="B361" i="1"/>
  <c r="D360" i="1"/>
  <c r="B362" i="5" l="1"/>
  <c r="D361" i="5"/>
  <c r="I360" i="5"/>
  <c r="B362" i="1"/>
  <c r="D361" i="1"/>
  <c r="I361" i="5" l="1"/>
  <c r="D362" i="5"/>
  <c r="B363" i="5"/>
  <c r="B363" i="1"/>
  <c r="D362" i="1"/>
  <c r="I362" i="5" l="1"/>
  <c r="B364" i="5"/>
  <c r="D363" i="5"/>
  <c r="B364" i="1"/>
  <c r="D363" i="1"/>
  <c r="B365" i="5" l="1"/>
  <c r="D364" i="5"/>
  <c r="I363" i="5"/>
  <c r="B365" i="1"/>
  <c r="D364" i="1"/>
  <c r="I364" i="5" l="1"/>
  <c r="B366" i="5"/>
  <c r="D365" i="5"/>
  <c r="B366" i="1"/>
  <c r="D365" i="1"/>
  <c r="D366" i="5" l="1"/>
  <c r="B367" i="5"/>
  <c r="I365" i="5"/>
  <c r="B367" i="1"/>
  <c r="D366" i="1"/>
  <c r="D367" i="5" l="1"/>
  <c r="B368" i="5"/>
  <c r="I366" i="5"/>
  <c r="B368" i="1"/>
  <c r="D367" i="1"/>
  <c r="B369" i="5" l="1"/>
  <c r="D368" i="5"/>
  <c r="I367" i="5"/>
  <c r="B369" i="1"/>
  <c r="D368" i="1"/>
  <c r="I368" i="5" l="1"/>
  <c r="B370" i="5"/>
  <c r="D369" i="5"/>
  <c r="B370" i="1"/>
  <c r="D369" i="1"/>
  <c r="B371" i="5" l="1"/>
  <c r="D370" i="5"/>
  <c r="I369" i="5"/>
  <c r="B371" i="1"/>
  <c r="D370" i="1"/>
  <c r="D371" i="5" l="1"/>
  <c r="B372" i="5"/>
  <c r="I370" i="5"/>
  <c r="B372" i="1"/>
  <c r="D371" i="1"/>
  <c r="B373" i="5" l="1"/>
  <c r="D372" i="5"/>
  <c r="I371" i="5"/>
  <c r="B373" i="1"/>
  <c r="D372" i="1"/>
  <c r="B374" i="5" l="1"/>
  <c r="D373" i="5"/>
  <c r="I372" i="5"/>
  <c r="B374" i="1"/>
  <c r="D373" i="1"/>
  <c r="B375" i="5" l="1"/>
  <c r="D374" i="5"/>
  <c r="I373" i="5"/>
  <c r="B375" i="1"/>
  <c r="D374" i="1"/>
  <c r="D375" i="5" l="1"/>
  <c r="B376" i="5"/>
  <c r="I374" i="5"/>
  <c r="B376" i="1"/>
  <c r="D375" i="1"/>
  <c r="B377" i="5" l="1"/>
  <c r="D376" i="5"/>
  <c r="I375" i="5"/>
  <c r="B377" i="1"/>
  <c r="D376" i="1"/>
  <c r="I376" i="5" l="1"/>
  <c r="D377" i="5"/>
  <c r="B378" i="5"/>
  <c r="B378" i="1"/>
  <c r="D377" i="1"/>
  <c r="I377" i="5" l="1"/>
  <c r="B379" i="5"/>
  <c r="D378" i="5"/>
  <c r="B379" i="1"/>
  <c r="D378" i="1"/>
  <c r="D379" i="5" l="1"/>
  <c r="B380" i="5"/>
  <c r="I378" i="5"/>
  <c r="B380" i="1"/>
  <c r="D379" i="1"/>
  <c r="B381" i="5" l="1"/>
  <c r="D380" i="5"/>
  <c r="I379" i="5"/>
  <c r="B381" i="1"/>
  <c r="D380" i="1"/>
  <c r="I380" i="5" l="1"/>
  <c r="D381" i="5"/>
  <c r="B382" i="5"/>
  <c r="B382" i="1"/>
  <c r="D381" i="1"/>
  <c r="I381" i="5" l="1"/>
  <c r="B383" i="5"/>
  <c r="D382" i="5"/>
  <c r="B383" i="1"/>
  <c r="D382" i="1"/>
  <c r="D383" i="5" l="1"/>
  <c r="B384" i="5"/>
  <c r="I382" i="5"/>
  <c r="B384" i="1"/>
  <c r="D383" i="1"/>
  <c r="B385" i="5" l="1"/>
  <c r="D384" i="5"/>
  <c r="I383" i="5"/>
  <c r="B385" i="1"/>
  <c r="D384" i="1"/>
  <c r="I384" i="5" l="1"/>
  <c r="D385" i="5"/>
  <c r="B386" i="5"/>
  <c r="B386" i="1"/>
  <c r="D385" i="1"/>
  <c r="I385" i="5" l="1"/>
  <c r="B387" i="5"/>
  <c r="D386" i="5"/>
  <c r="B387" i="1"/>
  <c r="D386" i="1"/>
  <c r="D387" i="5" l="1"/>
  <c r="B388" i="5"/>
  <c r="I386" i="5"/>
  <c r="B388" i="1"/>
  <c r="D387" i="1"/>
  <c r="B389" i="5" l="1"/>
  <c r="D388" i="5"/>
  <c r="I387" i="5"/>
  <c r="B389" i="1"/>
  <c r="D388" i="1"/>
  <c r="I388" i="5" l="1"/>
  <c r="B390" i="5"/>
  <c r="D389" i="5"/>
  <c r="B390" i="1"/>
  <c r="D389" i="1"/>
  <c r="I389" i="5" l="1"/>
  <c r="B391" i="5"/>
  <c r="D390" i="5"/>
  <c r="B391" i="1"/>
  <c r="D390" i="1"/>
  <c r="D391" i="5" l="1"/>
  <c r="B392" i="5"/>
  <c r="I390" i="5"/>
  <c r="B392" i="1"/>
  <c r="D391" i="1"/>
  <c r="B393" i="5" l="1"/>
  <c r="D392" i="5"/>
  <c r="I391" i="5"/>
  <c r="B393" i="1"/>
  <c r="D392" i="1"/>
  <c r="I392" i="5" l="1"/>
  <c r="B394" i="5"/>
  <c r="D393" i="5"/>
  <c r="B394" i="1"/>
  <c r="D393" i="1"/>
  <c r="B395" i="5" l="1"/>
  <c r="D394" i="5"/>
  <c r="I393" i="5"/>
  <c r="B395" i="1"/>
  <c r="D394" i="1"/>
  <c r="I394" i="5" l="1"/>
  <c r="D395" i="5"/>
  <c r="B396" i="5"/>
  <c r="B396" i="1"/>
  <c r="D395" i="1"/>
  <c r="I395" i="5" l="1"/>
  <c r="B397" i="5"/>
  <c r="D396" i="5"/>
  <c r="B397" i="1"/>
  <c r="D396" i="1"/>
  <c r="B398" i="5" l="1"/>
  <c r="D397" i="5"/>
  <c r="I396" i="5"/>
  <c r="B398" i="1"/>
  <c r="D397" i="1"/>
  <c r="I397" i="5" l="1"/>
  <c r="B399" i="5"/>
  <c r="D398" i="5"/>
  <c r="B399" i="1"/>
  <c r="D398" i="1"/>
  <c r="D399" i="5" l="1"/>
  <c r="B400" i="5"/>
  <c r="I398" i="5"/>
  <c r="B400" i="1"/>
  <c r="D399" i="1"/>
  <c r="B401" i="5" l="1"/>
  <c r="D400" i="5"/>
  <c r="I399" i="5"/>
  <c r="B401" i="1"/>
  <c r="D400" i="1"/>
  <c r="I400" i="5" l="1"/>
  <c r="B402" i="5"/>
  <c r="D401" i="5"/>
  <c r="B402" i="1"/>
  <c r="D401" i="1"/>
  <c r="B403" i="5" l="1"/>
  <c r="D402" i="5"/>
  <c r="I401" i="5"/>
  <c r="B403" i="1"/>
  <c r="D402" i="1"/>
  <c r="I402" i="5" l="1"/>
  <c r="D403" i="5"/>
  <c r="B404" i="5"/>
  <c r="B404" i="1"/>
  <c r="D403" i="1"/>
  <c r="I403" i="5" l="1"/>
  <c r="B405" i="5"/>
  <c r="D404" i="5"/>
  <c r="B405" i="1"/>
  <c r="D404" i="1"/>
  <c r="B406" i="5" l="1"/>
  <c r="D405" i="5"/>
  <c r="I404" i="5"/>
  <c r="B406" i="1"/>
  <c r="D405" i="1"/>
  <c r="I405" i="5" l="1"/>
  <c r="B407" i="5"/>
  <c r="D406" i="5"/>
  <c r="B407" i="1"/>
  <c r="D406" i="1"/>
  <c r="D407" i="5" l="1"/>
  <c r="B408" i="5"/>
  <c r="I406" i="5"/>
  <c r="B408" i="1"/>
  <c r="D407" i="1"/>
  <c r="B409" i="5" l="1"/>
  <c r="D408" i="5"/>
  <c r="I407" i="5"/>
  <c r="B409" i="1"/>
  <c r="D408" i="1"/>
  <c r="I408" i="5" l="1"/>
  <c r="B410" i="5"/>
  <c r="D409" i="5"/>
  <c r="B410" i="1"/>
  <c r="D409" i="1"/>
  <c r="B411" i="5" l="1"/>
  <c r="D410" i="5"/>
  <c r="I409" i="5"/>
  <c r="B411" i="1"/>
  <c r="D410" i="1"/>
  <c r="I410" i="5" l="1"/>
  <c r="D411" i="5"/>
  <c r="B412" i="5"/>
  <c r="B412" i="1"/>
  <c r="D411" i="1"/>
  <c r="I411" i="5" l="1"/>
  <c r="B413" i="5"/>
  <c r="D412" i="5"/>
  <c r="B413" i="1"/>
  <c r="D412" i="1"/>
  <c r="B414" i="5" l="1"/>
  <c r="D413" i="5"/>
  <c r="I412" i="5"/>
  <c r="B414" i="1"/>
  <c r="D413" i="1"/>
  <c r="I413" i="5" l="1"/>
  <c r="B415" i="5"/>
  <c r="D414" i="5"/>
  <c r="B415" i="1"/>
  <c r="D414" i="1"/>
  <c r="D415" i="5" l="1"/>
  <c r="B416" i="5"/>
  <c r="I414" i="5"/>
  <c r="B416" i="1"/>
  <c r="D415" i="1"/>
  <c r="B417" i="5" l="1"/>
  <c r="D416" i="5"/>
  <c r="I415" i="5"/>
  <c r="B417" i="1"/>
  <c r="D416" i="1"/>
  <c r="I416" i="5" l="1"/>
  <c r="B418" i="5"/>
  <c r="D417" i="5"/>
  <c r="B418" i="1"/>
  <c r="D417" i="1"/>
  <c r="B419" i="5" l="1"/>
  <c r="D418" i="5"/>
  <c r="I417" i="5"/>
  <c r="B419" i="1"/>
  <c r="D418" i="1"/>
  <c r="I418" i="5" l="1"/>
  <c r="D419" i="5"/>
  <c r="B420" i="5"/>
  <c r="B420" i="1"/>
  <c r="D419" i="1"/>
  <c r="I419" i="5" l="1"/>
  <c r="B421" i="5"/>
  <c r="D420" i="5"/>
  <c r="B421" i="1"/>
  <c r="D420" i="1"/>
  <c r="B422" i="5" l="1"/>
  <c r="D421" i="5"/>
  <c r="I420" i="5"/>
  <c r="B422" i="1"/>
  <c r="D421" i="1"/>
  <c r="I421" i="5" l="1"/>
  <c r="B423" i="5"/>
  <c r="D422" i="5"/>
  <c r="B423" i="1"/>
  <c r="D422" i="1"/>
  <c r="D423" i="5" l="1"/>
  <c r="B424" i="5"/>
  <c r="I422" i="5"/>
  <c r="B424" i="1"/>
  <c r="D423" i="1"/>
  <c r="I423" i="5" l="1"/>
  <c r="B425" i="5"/>
  <c r="D424" i="5"/>
  <c r="B425" i="1"/>
  <c r="D424" i="1"/>
  <c r="B426" i="5" l="1"/>
  <c r="D425" i="5"/>
  <c r="I424" i="5"/>
  <c r="B426" i="1"/>
  <c r="D425" i="1"/>
  <c r="I425" i="5" l="1"/>
  <c r="B427" i="5"/>
  <c r="D426" i="5"/>
  <c r="B427" i="1"/>
  <c r="D426" i="1"/>
  <c r="D427" i="5" l="1"/>
  <c r="B428" i="5"/>
  <c r="I426" i="5"/>
  <c r="B428" i="1"/>
  <c r="D427" i="1"/>
  <c r="B429" i="5" l="1"/>
  <c r="D428" i="5"/>
  <c r="I427" i="5"/>
  <c r="B429" i="1"/>
  <c r="D428" i="1"/>
  <c r="I428" i="5" l="1"/>
  <c r="B430" i="5"/>
  <c r="D429" i="5"/>
  <c r="B430" i="1"/>
  <c r="D429" i="1"/>
  <c r="B431" i="5" l="1"/>
  <c r="D430" i="5"/>
  <c r="I429" i="5"/>
  <c r="B431" i="1"/>
  <c r="D430" i="1"/>
  <c r="D431" i="5" l="1"/>
  <c r="B432" i="5"/>
  <c r="I430" i="5"/>
  <c r="B432" i="1"/>
  <c r="D431" i="1"/>
  <c r="B433" i="5" l="1"/>
  <c r="D432" i="5"/>
  <c r="I431" i="5"/>
  <c r="B433" i="1"/>
  <c r="D432" i="1"/>
  <c r="I432" i="5" l="1"/>
  <c r="B434" i="5"/>
  <c r="D433" i="5"/>
  <c r="B434" i="1"/>
  <c r="D433" i="1"/>
  <c r="B435" i="5" l="1"/>
  <c r="D434" i="5"/>
  <c r="I433" i="5"/>
  <c r="B435" i="1"/>
  <c r="D434" i="1"/>
  <c r="I434" i="5" l="1"/>
  <c r="D435" i="5"/>
  <c r="B436" i="5"/>
  <c r="B436" i="1"/>
  <c r="D435" i="1"/>
  <c r="B437" i="5" l="1"/>
  <c r="D436" i="5"/>
  <c r="I435" i="5"/>
  <c r="B437" i="1"/>
  <c r="D436" i="1"/>
  <c r="B438" i="5" l="1"/>
  <c r="D437" i="5"/>
  <c r="I436" i="5"/>
  <c r="B438" i="1"/>
  <c r="D437" i="1"/>
  <c r="B439" i="5" l="1"/>
  <c r="D438" i="5"/>
  <c r="I437" i="5"/>
  <c r="B439" i="1"/>
  <c r="D438" i="1"/>
  <c r="I438" i="5" l="1"/>
  <c r="D439" i="5"/>
  <c r="B440" i="5"/>
  <c r="B440" i="1"/>
  <c r="D439" i="1"/>
  <c r="I439" i="5" l="1"/>
  <c r="B441" i="5"/>
  <c r="D440" i="5"/>
  <c r="B441" i="1"/>
  <c r="D440" i="1"/>
  <c r="B442" i="5" l="1"/>
  <c r="D441" i="5"/>
  <c r="I440" i="5"/>
  <c r="B442" i="1"/>
  <c r="D441" i="1"/>
  <c r="I441" i="5" l="1"/>
  <c r="B443" i="5"/>
  <c r="D442" i="5"/>
  <c r="B443" i="1"/>
  <c r="D442" i="1"/>
  <c r="D443" i="5" l="1"/>
  <c r="B444" i="5"/>
  <c r="I442" i="5"/>
  <c r="B444" i="1"/>
  <c r="D443" i="1"/>
  <c r="B445" i="5" l="1"/>
  <c r="D444" i="5"/>
  <c r="I443" i="5"/>
  <c r="B445" i="1"/>
  <c r="D444" i="1"/>
  <c r="I444" i="5" l="1"/>
  <c r="B446" i="5"/>
  <c r="D445" i="5"/>
  <c r="B446" i="1"/>
  <c r="D445" i="1"/>
  <c r="B447" i="5" l="1"/>
  <c r="D446" i="5"/>
  <c r="I445" i="5"/>
  <c r="B447" i="1"/>
  <c r="D446" i="1"/>
  <c r="D447" i="5" l="1"/>
  <c r="B448" i="5"/>
  <c r="I446" i="5"/>
  <c r="B448" i="1"/>
  <c r="D447" i="1"/>
  <c r="B449" i="5" l="1"/>
  <c r="D448" i="5"/>
  <c r="I447" i="5"/>
  <c r="B449" i="1"/>
  <c r="D448" i="1"/>
  <c r="I448" i="5" l="1"/>
  <c r="B450" i="5"/>
  <c r="D449" i="5"/>
  <c r="B450" i="1"/>
  <c r="D449" i="1"/>
  <c r="B451" i="5" l="1"/>
  <c r="D450" i="5"/>
  <c r="I449" i="5"/>
  <c r="B451" i="1"/>
  <c r="D450" i="1"/>
  <c r="I450" i="5" l="1"/>
  <c r="D451" i="5"/>
  <c r="B452" i="5"/>
  <c r="B452" i="1"/>
  <c r="D451" i="1"/>
  <c r="I451" i="5" l="1"/>
  <c r="B453" i="5"/>
  <c r="D452" i="5"/>
  <c r="B453" i="1"/>
  <c r="D452" i="1"/>
  <c r="B454" i="5" l="1"/>
  <c r="D453" i="5"/>
  <c r="I452" i="5"/>
  <c r="B454" i="1"/>
  <c r="D453" i="1"/>
  <c r="I453" i="5" l="1"/>
  <c r="B455" i="5"/>
  <c r="D454" i="5"/>
  <c r="B455" i="1"/>
  <c r="D454" i="1"/>
  <c r="D455" i="5" l="1"/>
  <c r="B456" i="5"/>
  <c r="I454" i="5"/>
  <c r="B456" i="1"/>
  <c r="D455" i="1"/>
  <c r="B457" i="5" l="1"/>
  <c r="D456" i="5"/>
  <c r="I455" i="5"/>
  <c r="B457" i="1"/>
  <c r="D456" i="1"/>
  <c r="I456" i="5" l="1"/>
  <c r="B458" i="5"/>
  <c r="D457" i="5"/>
  <c r="B458" i="1"/>
  <c r="D457" i="1"/>
  <c r="B459" i="5" l="1"/>
  <c r="D458" i="5"/>
  <c r="I457" i="5"/>
  <c r="B459" i="1"/>
  <c r="D458" i="1"/>
  <c r="I458" i="5" l="1"/>
  <c r="D459" i="5"/>
  <c r="B460" i="5"/>
  <c r="B460" i="1"/>
  <c r="D459" i="1"/>
  <c r="I459" i="5" l="1"/>
  <c r="B461" i="5"/>
  <c r="D460" i="5"/>
  <c r="B461" i="1"/>
  <c r="D460" i="1"/>
  <c r="I460" i="5" l="1"/>
  <c r="B462" i="5"/>
  <c r="D461" i="5"/>
  <c r="B462" i="1"/>
  <c r="D461" i="1"/>
  <c r="I461" i="5" l="1"/>
  <c r="B463" i="5"/>
  <c r="D462" i="5"/>
  <c r="B463" i="1"/>
  <c r="D462" i="1"/>
  <c r="I462" i="5" l="1"/>
  <c r="D463" i="5"/>
  <c r="B464" i="5"/>
  <c r="B464" i="1"/>
  <c r="D463" i="1"/>
  <c r="I463" i="5" l="1"/>
  <c r="B465" i="5"/>
  <c r="D464" i="5"/>
  <c r="B465" i="1"/>
  <c r="D464" i="1"/>
  <c r="B466" i="5" l="1"/>
  <c r="D465" i="5"/>
  <c r="I464" i="5"/>
  <c r="B466" i="1"/>
  <c r="D465" i="1"/>
  <c r="B467" i="5" l="1"/>
  <c r="D466" i="5"/>
  <c r="I465" i="5"/>
  <c r="B467" i="1"/>
  <c r="D466" i="1"/>
  <c r="I466" i="5" l="1"/>
  <c r="D467" i="5"/>
  <c r="B468" i="5"/>
  <c r="B468" i="1"/>
  <c r="D467" i="1"/>
  <c r="B469" i="5" l="1"/>
  <c r="D468" i="5"/>
  <c r="I467" i="5"/>
  <c r="B469" i="1"/>
  <c r="D468" i="1"/>
  <c r="B470" i="5" l="1"/>
  <c r="D469" i="5"/>
  <c r="I468" i="5"/>
  <c r="B470" i="1"/>
  <c r="D469" i="1"/>
  <c r="I469" i="5" l="1"/>
  <c r="B471" i="5"/>
  <c r="D470" i="5"/>
  <c r="B471" i="1"/>
  <c r="D470" i="1"/>
  <c r="D471" i="5" l="1"/>
  <c r="B472" i="5"/>
  <c r="I470" i="5"/>
  <c r="B472" i="1"/>
  <c r="D471" i="1"/>
  <c r="B473" i="5" l="1"/>
  <c r="D472" i="5"/>
  <c r="I471" i="5"/>
  <c r="B473" i="1"/>
  <c r="D472" i="1"/>
  <c r="I472" i="5" l="1"/>
  <c r="B474" i="5"/>
  <c r="D473" i="5"/>
  <c r="B474" i="1"/>
  <c r="D473" i="1"/>
  <c r="B475" i="5" l="1"/>
  <c r="D474" i="5"/>
  <c r="I473" i="5"/>
  <c r="B475" i="1"/>
  <c r="D474" i="1"/>
  <c r="I474" i="5" l="1"/>
  <c r="D475" i="5"/>
  <c r="B476" i="5"/>
  <c r="B476" i="1"/>
  <c r="D475" i="1"/>
  <c r="I475" i="5" l="1"/>
  <c r="B477" i="5"/>
  <c r="D476" i="5"/>
  <c r="B477" i="1"/>
  <c r="D476" i="1"/>
  <c r="B478" i="5" l="1"/>
  <c r="D477" i="5"/>
  <c r="I476" i="5"/>
  <c r="B478" i="1"/>
  <c r="D477" i="1"/>
  <c r="I477" i="5" l="1"/>
  <c r="B479" i="5"/>
  <c r="D478" i="5"/>
  <c r="B479" i="1"/>
  <c r="D478" i="1"/>
  <c r="D479" i="5" l="1"/>
  <c r="B480" i="5"/>
  <c r="I478" i="5"/>
  <c r="B480" i="1"/>
  <c r="D479" i="1"/>
  <c r="B481" i="5" l="1"/>
  <c r="D480" i="5"/>
  <c r="I479" i="5"/>
  <c r="B481" i="1"/>
  <c r="D480" i="1"/>
  <c r="B482" i="5" l="1"/>
  <c r="D481" i="5"/>
  <c r="I480" i="5"/>
  <c r="B482" i="1"/>
  <c r="D481" i="1"/>
  <c r="B483" i="5" l="1"/>
  <c r="D483" i="5" s="1"/>
  <c r="D482" i="5"/>
  <c r="I481" i="5"/>
  <c r="B483" i="1"/>
  <c r="D483" i="1" s="1"/>
  <c r="D482" i="1"/>
  <c r="I482" i="5" l="1"/>
  <c r="I483" i="5" s="1"/>
</calcChain>
</file>

<file path=xl/sharedStrings.xml><?xml version="1.0" encoding="utf-8"?>
<sst xmlns="http://schemas.openxmlformats.org/spreadsheetml/2006/main" count="114" uniqueCount="63">
  <si>
    <t>DATA</t>
  </si>
  <si>
    <t>Pensja</t>
  </si>
  <si>
    <t>Premia</t>
  </si>
  <si>
    <t>Pełna pensja</t>
  </si>
  <si>
    <t>PPK pracownik</t>
  </si>
  <si>
    <t>PPK pracodawca</t>
  </si>
  <si>
    <t>PPK premia</t>
  </si>
  <si>
    <t>PPK stan</t>
  </si>
  <si>
    <t>5_1</t>
  </si>
  <si>
    <t>Wynik:</t>
  </si>
  <si>
    <t>Pozycja:</t>
  </si>
  <si>
    <t>5_2</t>
  </si>
  <si>
    <t>Etykiety wierszy</t>
  </si>
  <si>
    <t>Suma końcowa</t>
  </si>
  <si>
    <t>&lt;01.01.2020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</si>
  <si>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</si>
  <si>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</si>
  <si>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</si>
  <si>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</si>
  <si>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</si>
  <si>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</si>
  <si>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</si>
  <si>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</si>
  <si>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</si>
  <si>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</si>
  <si>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</si>
  <si>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</si>
  <si>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</si>
  <si>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</si>
  <si>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</si>
  <si>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</si>
  <si>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</si>
  <si>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</si>
  <si>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</si>
  <si>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</si>
  <si>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</si>
  <si>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</si>
  <si>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</si>
  <si>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</si>
  <si>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</si>
  <si>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</si>
  <si>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</si>
  <si>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</si>
  <si>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</si>
  <si>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</si>
  <si>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</si>
  <si>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</si>
  <si>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</si>
  <si>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</si>
  <si>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</si>
  <si>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</si>
  <si>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</si>
  <si>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</si>
  <si>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</si>
  <si>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</si>
  <si>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</si>
  <si>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Roczne wpłaty na PPK (Pracodawca)</t>
  </si>
  <si>
    <t>Roczne wpłaty na PPK (Pracownik)</t>
  </si>
  <si>
    <t>Kwota:</t>
  </si>
  <si>
    <t>5_4</t>
  </si>
  <si>
    <t>5_6</t>
  </si>
  <si>
    <t>Suma wpłat (bez premii)</t>
  </si>
  <si>
    <t>wpłata (Pracownik + Pracodawca)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</si>
</sst>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zł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ny" xfId="0" builtinId="0"/>
  </cellStyles>
  <dxfs count="5">
    <dxf>
      <numFmt numFmtId="166" formatCode="#,##0.00\ &quot;zł&quot;"/>
    </dxf>
    <dxf>
      <numFmt numFmtId="166" formatCode="#,##0.00\ &quot;zł&quot;"/>
    </dxf>
    <dxf>
      <numFmt numFmtId="166" formatCode="#,##0.00\ &quot;zł&quot;"/>
    </dxf>
    <dxf>
      <numFmt numFmtId="166" formatCode="#,##0.00\ &quot;zł&quot;"/>
    </dxf>
    <dxf>
      <numFmt numFmtId="166" formatCode="#,##0.00\ &quot;zł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[zad.xlsx]5_3!Tabela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400"/>
              <a:t>Roczne wpłaty na PPK</a:t>
            </a:r>
          </a:p>
        </c:rich>
      </c:tx>
      <c:layout>
        <c:manualLayout>
          <c:xMode val="edge"/>
          <c:yMode val="edge"/>
          <c:x val="0.38787531652756907"/>
          <c:y val="1.98792549446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398388935508748E-2"/>
          <c:y val="0.10487693739239935"/>
          <c:w val="0.88791163331912615"/>
          <c:h val="0.71310779115775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'5_3'!$B$3</c:f>
              <c:strCache>
                <c:ptCount val="1"/>
                <c:pt idx="0">
                  <c:v>Roczne wpłaty na PPK (Pracodawca)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'5_3'!$A$4:$A$46</c:f>
              <c:strCache>
                <c:ptCount val="42"/>
                <c:pt idx="0">
                  <c:v>&lt;01.01.2020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strCache>
            </c:strRef>
          </c:cat>
          <c:val>
            <c:numRef>
              <c:f>'5_3'!$B$4:$B$46</c:f>
              <c:numCache>
                <c:formatCode>#\ ##0.00\ "zł"</c:formatCode>
                <c:ptCount val="42"/>
                <c:pt idx="1">
                  <c:v>832.5</c:v>
                </c:pt>
                <c:pt idx="2">
                  <c:v>860.4000000000002</c:v>
                </c:pt>
                <c:pt idx="3">
                  <c:v>881.2800000000002</c:v>
                </c:pt>
                <c:pt idx="4">
                  <c:v>902.64000000000021</c:v>
                </c:pt>
                <c:pt idx="5">
                  <c:v>1014.5999999999998</c:v>
                </c:pt>
                <c:pt idx="6">
                  <c:v>1039.32</c:v>
                </c:pt>
                <c:pt idx="7">
                  <c:v>1064.6400000000001</c:v>
                </c:pt>
                <c:pt idx="8">
                  <c:v>1090.56</c:v>
                </c:pt>
                <c:pt idx="9">
                  <c:v>1207.2</c:v>
                </c:pt>
                <c:pt idx="10">
                  <c:v>1236.7199999999996</c:v>
                </c:pt>
                <c:pt idx="11">
                  <c:v>1266.96</c:v>
                </c:pt>
                <c:pt idx="12">
                  <c:v>1297.92</c:v>
                </c:pt>
                <c:pt idx="13">
                  <c:v>1419.8399999999995</c:v>
                </c:pt>
                <c:pt idx="14">
                  <c:v>1454.76</c:v>
                </c:pt>
                <c:pt idx="15">
                  <c:v>1490.4000000000003</c:v>
                </c:pt>
                <c:pt idx="16">
                  <c:v>1526.88</c:v>
                </c:pt>
                <c:pt idx="17">
                  <c:v>1654.3200000000006</c:v>
                </c:pt>
                <c:pt idx="18">
                  <c:v>1695</c:v>
                </c:pt>
                <c:pt idx="19">
                  <c:v>1736.76</c:v>
                </c:pt>
                <c:pt idx="20">
                  <c:v>1779.5999999999997</c:v>
                </c:pt>
                <c:pt idx="21">
                  <c:v>1913.4000000000003</c:v>
                </c:pt>
                <c:pt idx="22">
                  <c:v>1960.5600000000004</c:v>
                </c:pt>
                <c:pt idx="23">
                  <c:v>2008.9200000000003</c:v>
                </c:pt>
                <c:pt idx="24">
                  <c:v>2058.48</c:v>
                </c:pt>
                <c:pt idx="25">
                  <c:v>2199.2400000000002</c:v>
                </c:pt>
                <c:pt idx="26">
                  <c:v>2253.6</c:v>
                </c:pt>
                <c:pt idx="27">
                  <c:v>2309.1600000000003</c:v>
                </c:pt>
                <c:pt idx="28">
                  <c:v>2366.2800000000002</c:v>
                </c:pt>
                <c:pt idx="29">
                  <c:v>2514.7199999999998</c:v>
                </c:pt>
                <c:pt idx="30">
                  <c:v>2577</c:v>
                </c:pt>
                <c:pt idx="31">
                  <c:v>2640.72</c:v>
                </c:pt>
                <c:pt idx="32">
                  <c:v>2706.12</c:v>
                </c:pt>
                <c:pt idx="33">
                  <c:v>2863.0800000000004</c:v>
                </c:pt>
                <c:pt idx="34">
                  <c:v>2934</c:v>
                </c:pt>
                <c:pt idx="35">
                  <c:v>3006.72</c:v>
                </c:pt>
                <c:pt idx="36">
                  <c:v>3081.24</c:v>
                </c:pt>
                <c:pt idx="37">
                  <c:v>3247.5600000000009</c:v>
                </c:pt>
                <c:pt idx="38">
                  <c:v>3327.9599999999996</c:v>
                </c:pt>
                <c:pt idx="39">
                  <c:v>3410.6400000000012</c:v>
                </c:pt>
                <c:pt idx="40">
                  <c:v>3495.24</c:v>
                </c:pt>
                <c:pt idx="41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E-4A89-B590-F9C2CAA67DA6}"/>
            </c:ext>
          </c:extLst>
        </c:ser>
        <c:ser>
          <c:idx val="1"/>
          <c:order val="1"/>
          <c:tx>
            <c:strRef>
              <c:f>'5_3'!$C$3</c:f>
              <c:strCache>
                <c:ptCount val="1"/>
                <c:pt idx="0">
                  <c:v>Roczne wpłaty na PPK (Pracownik)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'5_3'!$A$4:$A$46</c:f>
              <c:strCache>
                <c:ptCount val="42"/>
                <c:pt idx="0">
                  <c:v>&lt;01.01.2020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  <c:pt idx="32">
                  <c:v>2051</c:v>
                </c:pt>
                <c:pt idx="33">
                  <c:v>2052</c:v>
                </c:pt>
                <c:pt idx="34">
                  <c:v>2053</c:v>
                </c:pt>
                <c:pt idx="35">
                  <c:v>2054</c:v>
                </c:pt>
                <c:pt idx="36">
                  <c:v>2055</c:v>
                </c:pt>
                <c:pt idx="37">
                  <c:v>2056</c:v>
                </c:pt>
                <c:pt idx="38">
                  <c:v>2057</c:v>
                </c:pt>
                <c:pt idx="39">
                  <c:v>2058</c:v>
                </c:pt>
                <c:pt idx="40">
                  <c:v>2059</c:v>
                </c:pt>
                <c:pt idx="41">
                  <c:v>2060</c:v>
                </c:pt>
              </c:strCache>
            </c:strRef>
          </c:cat>
          <c:val>
            <c:numRef>
              <c:f>'5_3'!$C$4:$C$46</c:f>
              <c:numCache>
                <c:formatCode>#\ ##0.00\ "zł"</c:formatCode>
                <c:ptCount val="42"/>
                <c:pt idx="1">
                  <c:v>1110</c:v>
                </c:pt>
                <c:pt idx="2">
                  <c:v>1147.1200000000001</c:v>
                </c:pt>
                <c:pt idx="3">
                  <c:v>1174.96</c:v>
                </c:pt>
                <c:pt idx="4">
                  <c:v>1203.5200000000002</c:v>
                </c:pt>
                <c:pt idx="5">
                  <c:v>1352.8000000000002</c:v>
                </c:pt>
                <c:pt idx="6">
                  <c:v>1385.6800000000003</c:v>
                </c:pt>
                <c:pt idx="7">
                  <c:v>1419.5200000000002</c:v>
                </c:pt>
                <c:pt idx="8">
                  <c:v>1454.08</c:v>
                </c:pt>
                <c:pt idx="9">
                  <c:v>1609.5999999999997</c:v>
                </c:pt>
                <c:pt idx="10">
                  <c:v>1648.9599999999998</c:v>
                </c:pt>
                <c:pt idx="11">
                  <c:v>1689.2800000000004</c:v>
                </c:pt>
                <c:pt idx="12">
                  <c:v>1730.5600000000004</c:v>
                </c:pt>
                <c:pt idx="13">
                  <c:v>1893.0400000000002</c:v>
                </c:pt>
                <c:pt idx="14">
                  <c:v>1939.5999999999997</c:v>
                </c:pt>
                <c:pt idx="15">
                  <c:v>1987.12</c:v>
                </c:pt>
                <c:pt idx="16">
                  <c:v>2035.8399999999995</c:v>
                </c:pt>
                <c:pt idx="17">
                  <c:v>2205.7599999999998</c:v>
                </c:pt>
                <c:pt idx="18">
                  <c:v>2260</c:v>
                </c:pt>
                <c:pt idx="19">
                  <c:v>2315.6799999999994</c:v>
                </c:pt>
                <c:pt idx="20">
                  <c:v>2372.8000000000006</c:v>
                </c:pt>
                <c:pt idx="21">
                  <c:v>2551.12</c:v>
                </c:pt>
                <c:pt idx="22">
                  <c:v>2614</c:v>
                </c:pt>
                <c:pt idx="23">
                  <c:v>2678.5600000000009</c:v>
                </c:pt>
                <c:pt idx="24">
                  <c:v>2744.5600000000009</c:v>
                </c:pt>
                <c:pt idx="25">
                  <c:v>2932.2400000000002</c:v>
                </c:pt>
                <c:pt idx="26">
                  <c:v>3004.72</c:v>
                </c:pt>
                <c:pt idx="27">
                  <c:v>3078.8799999999992</c:v>
                </c:pt>
                <c:pt idx="28">
                  <c:v>3154.9599999999996</c:v>
                </c:pt>
                <c:pt idx="29">
                  <c:v>3352.9599999999996</c:v>
                </c:pt>
                <c:pt idx="30">
                  <c:v>3436</c:v>
                </c:pt>
                <c:pt idx="31">
                  <c:v>3520.9599999999996</c:v>
                </c:pt>
                <c:pt idx="32">
                  <c:v>3608.0800000000004</c:v>
                </c:pt>
                <c:pt idx="33">
                  <c:v>3817.3599999999988</c:v>
                </c:pt>
                <c:pt idx="34">
                  <c:v>3911.9199999999996</c:v>
                </c:pt>
                <c:pt idx="35">
                  <c:v>4008.8799999999992</c:v>
                </c:pt>
                <c:pt idx="36">
                  <c:v>4108.24</c:v>
                </c:pt>
                <c:pt idx="37">
                  <c:v>4330</c:v>
                </c:pt>
                <c:pt idx="38">
                  <c:v>4437.28</c:v>
                </c:pt>
                <c:pt idx="39">
                  <c:v>4547.4399999999996</c:v>
                </c:pt>
                <c:pt idx="40">
                  <c:v>4660.24</c:v>
                </c:pt>
                <c:pt idx="41">
                  <c:v>414.66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E-4A89-B590-F9C2CAA6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823416"/>
        <c:axId val="498819480"/>
      </c:barChart>
      <c:catAx>
        <c:axId val="498823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800"/>
                  <a:t>Rok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8819480"/>
        <c:crosses val="autoZero"/>
        <c:auto val="1"/>
        <c:lblAlgn val="ctr"/>
        <c:lblOffset val="100"/>
        <c:noMultiLvlLbl val="0"/>
      </c:catAx>
      <c:valAx>
        <c:axId val="49881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600"/>
                  <a:t>Kwota wpłaty</a:t>
                </a:r>
              </a:p>
            </c:rich>
          </c:tx>
          <c:layout>
            <c:manualLayout>
              <c:xMode val="edge"/>
              <c:yMode val="edge"/>
              <c:x val="0"/>
              <c:y val="0.376903413249196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.00\ &quot;zł&quot;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8823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853715226211206"/>
          <c:y val="0.87603520239956689"/>
          <c:w val="0.28824950852504422"/>
          <c:h val="0.107477649270116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[zad.xlsx]5_5!Tabela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800"/>
              <a:t>Wpłaty</a:t>
            </a:r>
            <a:r>
              <a:rPr lang="pl-PL" sz="2800" baseline="0"/>
              <a:t> na PPK w grudniu każdego roku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'5_5'!$B$3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'5_5'!$A$4:$A$44</c:f>
              <c:strCache>
                <c:ptCount val="4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</c:strCache>
            </c:strRef>
          </c:cat>
          <c:val>
            <c:numRef>
              <c:f>'5_5'!$B$4:$B$44</c:f>
              <c:numCache>
                <c:formatCode>#\ ##0.00\ "zł"</c:formatCode>
                <c:ptCount val="40"/>
                <c:pt idx="0">
                  <c:v>157.5</c:v>
                </c:pt>
                <c:pt idx="1">
                  <c:v>161.46</c:v>
                </c:pt>
                <c:pt idx="2">
                  <c:v>165.51999999999998</c:v>
                </c:pt>
                <c:pt idx="3">
                  <c:v>169.68</c:v>
                </c:pt>
                <c:pt idx="4">
                  <c:v>191.45</c:v>
                </c:pt>
                <c:pt idx="5">
                  <c:v>196.25</c:v>
                </c:pt>
                <c:pt idx="6">
                  <c:v>201.18</c:v>
                </c:pt>
                <c:pt idx="7">
                  <c:v>206.22</c:v>
                </c:pt>
                <c:pt idx="8">
                  <c:v>228.9</c:v>
                </c:pt>
                <c:pt idx="9">
                  <c:v>234.64000000000001</c:v>
                </c:pt>
                <c:pt idx="10">
                  <c:v>240.51999999999998</c:v>
                </c:pt>
                <c:pt idx="11">
                  <c:v>246.54</c:v>
                </c:pt>
                <c:pt idx="12">
                  <c:v>270.24</c:v>
                </c:pt>
                <c:pt idx="13">
                  <c:v>277.03000000000003</c:v>
                </c:pt>
                <c:pt idx="14">
                  <c:v>649.04</c:v>
                </c:pt>
                <c:pt idx="15">
                  <c:v>665.28</c:v>
                </c:pt>
                <c:pt idx="16">
                  <c:v>721.92</c:v>
                </c:pt>
                <c:pt idx="17">
                  <c:v>740</c:v>
                </c:pt>
                <c:pt idx="18">
                  <c:v>758.56</c:v>
                </c:pt>
                <c:pt idx="19">
                  <c:v>777.6</c:v>
                </c:pt>
                <c:pt idx="20">
                  <c:v>837.04</c:v>
                </c:pt>
                <c:pt idx="21">
                  <c:v>858</c:v>
                </c:pt>
                <c:pt idx="22">
                  <c:v>879.52</c:v>
                </c:pt>
                <c:pt idx="23">
                  <c:v>901.52</c:v>
                </c:pt>
                <c:pt idx="24">
                  <c:v>964.08</c:v>
                </c:pt>
                <c:pt idx="25">
                  <c:v>988.24</c:v>
                </c:pt>
                <c:pt idx="26">
                  <c:v>1012.96</c:v>
                </c:pt>
                <c:pt idx="27">
                  <c:v>1038.32</c:v>
                </c:pt>
                <c:pt idx="28">
                  <c:v>1104.32</c:v>
                </c:pt>
                <c:pt idx="29">
                  <c:v>1132</c:v>
                </c:pt>
                <c:pt idx="30">
                  <c:v>1160.32</c:v>
                </c:pt>
                <c:pt idx="31">
                  <c:v>1189.3599999999999</c:v>
                </c:pt>
                <c:pt idx="32">
                  <c:v>1259.1199999999999</c:v>
                </c:pt>
                <c:pt idx="33">
                  <c:v>1290.6400000000001</c:v>
                </c:pt>
                <c:pt idx="34">
                  <c:v>1322.96</c:v>
                </c:pt>
                <c:pt idx="35">
                  <c:v>1356.08</c:v>
                </c:pt>
                <c:pt idx="36">
                  <c:v>1430</c:v>
                </c:pt>
                <c:pt idx="37">
                  <c:v>1465.76</c:v>
                </c:pt>
                <c:pt idx="38">
                  <c:v>1502.48</c:v>
                </c:pt>
                <c:pt idx="39">
                  <c:v>1540.08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1-4BBE-9EBD-81EC049A7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51088"/>
        <c:axId val="453545840"/>
      </c:barChart>
      <c:catAx>
        <c:axId val="45355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600"/>
                  <a:t>Rok (w grudniu)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3545840"/>
        <c:crosses val="autoZero"/>
        <c:auto val="1"/>
        <c:lblAlgn val="ctr"/>
        <c:lblOffset val="100"/>
        <c:noMultiLvlLbl val="0"/>
      </c:catAx>
      <c:valAx>
        <c:axId val="45354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800"/>
                  <a:t>Kwota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\ ##0.0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355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legendEntry>
      <c:layout>
        <c:manualLayout>
          <c:xMode val="edge"/>
          <c:yMode val="edge"/>
          <c:x val="0.27106568829861077"/>
          <c:y val="0.90949109024445529"/>
          <c:w val="0.36766239220382013"/>
          <c:h val="4.5984659948594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123824</xdr:colOff>
      <xdr:row>1</xdr:row>
      <xdr:rowOff>9524</xdr:rowOff>
    </xdr:from>
    <xdr:to>
      <xdr:col>22</xdr:col>
      <xdr:colOff>0</xdr:colOff>
      <xdr:row>37</xdr:row>
      <xdr:rowOff>38100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2CC2BDA-3C8F-47C6-8AC3-96E8B45A1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272302</xdr:colOff>
      <xdr:row>0</xdr:row>
      <xdr:rowOff>0</xdr:rowOff>
    </xdr:from>
    <xdr:to>
      <xdr:col>30</xdr:col>
      <xdr:colOff>112058</xdr:colOff>
      <xdr:row>45</xdr:row>
      <xdr:rowOff>26333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3D7E84C-4786-4FCB-B401-DF9B6636D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0.43246</cdr:x>
      <cdr:y>0.90878</cdr:y>
    </cdr:from>
    <cdr:to>
      <cdr:x>0.69754</cdr:x>
      <cdr:y>0.96742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FD0B4A3A-B493-4228-BD1F-D784CDAE7BF5}"/>
            </a:ext>
          </a:extLst>
        </cdr:cNvPr>
        <cdr:cNvSpPr txBox="1"/>
      </cdr:nvSpPr>
      <cdr:spPr>
        <a:xfrm xmlns:a="http://schemas.openxmlformats.org/drawingml/2006/main">
          <a:off x="7258049" y="7814422"/>
          <a:ext cx="4448735" cy="5042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pl-PL" sz="2000">
              <a:solidFill>
                <a:schemeClr val="tx1">
                  <a:lumMod val="65000"/>
                  <a:lumOff val="35000"/>
                </a:schemeClr>
              </a:solidFill>
            </a:rPr>
            <a:t>Suma wpłat (pracownik+ pracodawca)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Jaruszewski" refreshedDate="43892.763254398145" createdVersion="6" refreshedVersion="6" minRefreshableVersion="3" recordCount="482" xr:uid="{4D9ADA77-686D-4F56-B14B-13719C7B8BF6}">
  <cacheSource type="worksheet">
    <worksheetSource ref="A2:F1048576" sheet="5_1 i 5_2 i 5_4"/>
  </cacheSource>
  <cacheFields count="8">
    <cacheField name="DATA" numFmtId="0">
      <sharedItems containsNonDate="0" containsDate="1" containsString="0" containsBlank="1" minDate="2020-01-01T00:00:00" maxDate="2060-01-02T00:00:00" count="482"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d v="2036-01-01T00:00:00"/>
        <d v="2036-02-01T00:00:00"/>
        <d v="2036-03-01T00:00:00"/>
        <d v="2036-04-01T00:00:00"/>
        <d v="2036-05-01T00:00:00"/>
        <d v="2036-06-01T00:00:00"/>
        <d v="2036-07-01T00:00:00"/>
        <d v="2036-08-01T00:00:00"/>
        <d v="2036-09-01T00:00:00"/>
        <d v="2036-10-01T00:00:00"/>
        <d v="2036-11-01T00:00:00"/>
        <d v="2036-12-01T00:00:00"/>
        <d v="2037-01-01T00:00:00"/>
        <d v="2037-02-01T00:00:00"/>
        <d v="2037-03-01T00:00:00"/>
        <d v="2037-04-01T00:00:00"/>
        <d v="2037-05-01T00:00:00"/>
        <d v="2037-06-01T00:00:00"/>
        <d v="2037-07-01T00:00:00"/>
        <d v="2037-08-01T00:00:00"/>
        <d v="2037-09-01T00:00:00"/>
        <d v="2037-10-01T00:00:00"/>
        <d v="2037-11-01T00:00:00"/>
        <d v="2037-12-01T00:00:00"/>
        <d v="2038-01-01T00:00:00"/>
        <d v="2038-02-01T00:00:00"/>
        <d v="2038-03-01T00:00:00"/>
        <d v="2038-04-01T00:00:00"/>
        <d v="2038-05-01T00:00:00"/>
        <d v="2038-06-01T00:00:00"/>
        <d v="2038-07-01T00:00:00"/>
        <d v="2038-08-01T00:00:00"/>
        <d v="2038-09-01T00:00:00"/>
        <d v="2038-10-01T00:00:00"/>
        <d v="2038-11-01T00:00:00"/>
        <d v="2038-12-01T00:00:00"/>
        <d v="2039-01-01T00:00:00"/>
        <d v="2039-02-01T00:00:00"/>
        <d v="2039-03-01T00:00:00"/>
        <d v="2039-04-01T00:00:00"/>
        <d v="2039-05-01T00:00:00"/>
        <d v="2039-06-01T00:00:00"/>
        <d v="2039-07-01T00:00:00"/>
        <d v="2039-08-01T00:00:00"/>
        <d v="2039-09-01T00:00:00"/>
        <d v="2039-10-01T00:00:00"/>
        <d v="2039-11-01T00:00:00"/>
        <d v="2039-12-01T00:00:00"/>
        <d v="2040-01-01T00:00:00"/>
        <d v="2040-02-01T00:00:00"/>
        <d v="2040-03-01T00:00:00"/>
        <d v="2040-04-01T00:00:00"/>
        <d v="2040-05-01T00:00:00"/>
        <d v="2040-06-01T00:00:00"/>
        <d v="2040-07-01T00:00:00"/>
        <d v="2040-08-01T00:00:00"/>
        <d v="2040-09-01T00:00:00"/>
        <d v="2040-10-01T00:00:00"/>
        <d v="2040-11-01T00:00:00"/>
        <d v="2040-12-01T00:00:00"/>
        <d v="2041-01-01T00:00:00"/>
        <d v="2041-02-01T00:00:00"/>
        <d v="2041-03-01T00:00:00"/>
        <d v="2041-04-01T00:00:00"/>
        <d v="2041-05-01T00:00:00"/>
        <d v="2041-06-01T00:00:00"/>
        <d v="2041-07-01T00:00:00"/>
        <d v="2041-08-01T00:00:00"/>
        <d v="2041-09-01T00:00:00"/>
        <d v="2041-10-01T00:00:00"/>
        <d v="2041-11-01T00:00:00"/>
        <d v="2041-12-01T00:00:00"/>
        <d v="2042-01-01T00:00:00"/>
        <d v="2042-02-01T00:00:00"/>
        <d v="2042-03-01T00:00:00"/>
        <d v="2042-04-01T00:00:00"/>
        <d v="2042-05-01T00:00:00"/>
        <d v="2042-06-01T00:00:00"/>
        <d v="2042-07-01T00:00:00"/>
        <d v="2042-08-01T00:00:00"/>
        <d v="2042-09-01T00:00:00"/>
        <d v="2042-10-01T00:00:00"/>
        <d v="2042-11-01T00:00:00"/>
        <d v="2042-12-01T00:00:00"/>
        <d v="2043-01-01T00:00:00"/>
        <d v="2043-02-01T00:00:00"/>
        <d v="2043-03-01T00:00:00"/>
        <d v="2043-04-01T00:00:00"/>
        <d v="2043-05-01T00:00:00"/>
        <d v="2043-06-01T00:00:00"/>
        <d v="2043-07-01T00:00:00"/>
        <d v="2043-08-01T00:00:00"/>
        <d v="2043-09-01T00:00:00"/>
        <d v="2043-10-01T00:00:00"/>
        <d v="2043-11-01T00:00:00"/>
        <d v="2043-12-01T00:00:00"/>
        <d v="2044-01-01T00:00:00"/>
        <d v="2044-02-01T00:00:00"/>
        <d v="2044-03-01T00:00:00"/>
        <d v="2044-04-01T00:00:00"/>
        <d v="2044-05-01T00:00:00"/>
        <d v="2044-06-01T00:00:00"/>
        <d v="2044-07-01T00:00:00"/>
        <d v="2044-08-01T00:00:00"/>
        <d v="2044-09-01T00:00:00"/>
        <d v="2044-10-01T00:00:00"/>
        <d v="2044-11-01T00:00:00"/>
        <d v="2044-12-01T00:00:00"/>
        <d v="2045-01-01T00:00:00"/>
        <d v="2045-02-01T00:00:00"/>
        <d v="2045-03-01T00:00:00"/>
        <d v="2045-04-01T00:00:00"/>
        <d v="2045-05-01T00:00:00"/>
        <d v="2045-06-01T00:00:00"/>
        <d v="2045-07-01T00:00:00"/>
        <d v="2045-08-01T00:00:00"/>
        <d v="2045-09-01T00:00:00"/>
        <d v="2045-10-01T00:00:00"/>
        <d v="2045-11-01T00:00:00"/>
        <d v="2045-12-01T00:00:00"/>
        <d v="2046-01-01T00:00:00"/>
        <d v="2046-02-01T00:00:00"/>
        <d v="2046-03-01T00:00:00"/>
        <d v="2046-04-01T00:00:00"/>
        <d v="2046-05-01T00:00:00"/>
        <d v="2046-06-01T00:00:00"/>
        <d v="2046-07-01T00:00:00"/>
        <d v="2046-08-01T00:00:00"/>
        <d v="2046-09-01T00:00:00"/>
        <d v="2046-10-01T00:00:00"/>
        <d v="2046-11-01T00:00:00"/>
        <d v="2046-12-01T00:00:00"/>
        <d v="2047-01-01T00:00:00"/>
        <d v="2047-02-01T00:00:00"/>
        <d v="2047-03-01T00:00:00"/>
        <d v="2047-04-01T00:00:00"/>
        <d v="2047-05-01T00:00:00"/>
        <d v="2047-06-01T00:00:00"/>
        <d v="2047-07-01T00:00:00"/>
        <d v="2047-08-01T00:00:00"/>
        <d v="2047-09-01T00:00:00"/>
        <d v="2047-10-01T00:00:00"/>
        <d v="2047-11-01T00:00:00"/>
        <d v="2047-12-01T00:00:00"/>
        <d v="2048-01-01T00:00:00"/>
        <d v="2048-02-01T00:00:00"/>
        <d v="2048-03-01T00:00:00"/>
        <d v="2048-04-01T00:00:00"/>
        <d v="2048-05-01T00:00:00"/>
        <d v="2048-06-01T00:00:00"/>
        <d v="2048-07-01T00:00:00"/>
        <d v="2048-08-01T00:00:00"/>
        <d v="2048-09-01T00:00:00"/>
        <d v="2048-10-01T00:00:00"/>
        <d v="2048-11-01T00:00:00"/>
        <d v="2048-12-01T00:00:00"/>
        <d v="2049-01-01T00:00:00"/>
        <d v="2049-02-01T00:00:00"/>
        <d v="2049-03-01T00:00:00"/>
        <d v="2049-04-01T00:00:00"/>
        <d v="2049-05-01T00:00:00"/>
        <d v="2049-06-01T00:00:00"/>
        <d v="2049-07-01T00:00:00"/>
        <d v="2049-08-01T00:00:00"/>
        <d v="2049-09-01T00:00:00"/>
        <d v="2049-10-01T00:00:00"/>
        <d v="2049-11-01T00:00:00"/>
        <d v="2049-12-01T00:00:00"/>
        <d v="2050-01-01T00:00:00"/>
        <d v="2050-02-01T00:00:00"/>
        <d v="2050-03-01T00:00:00"/>
        <d v="2050-04-01T00:00:00"/>
        <d v="2050-05-01T00:00:00"/>
        <d v="2050-06-01T00:00:00"/>
        <d v="2050-07-01T00:00:00"/>
        <d v="2050-08-01T00:00:00"/>
        <d v="2050-09-01T00:00:00"/>
        <d v="2050-10-01T00:00:00"/>
        <d v="2050-11-01T00:00:00"/>
        <d v="2050-12-01T00:00:00"/>
        <d v="2051-01-01T00:00:00"/>
        <d v="2051-02-01T00:00:00"/>
        <d v="2051-03-01T00:00:00"/>
        <d v="2051-04-01T00:00:00"/>
        <d v="2051-05-01T00:00:00"/>
        <d v="2051-06-01T00:00:00"/>
        <d v="2051-07-01T00:00:00"/>
        <d v="2051-08-01T00:00:00"/>
        <d v="2051-09-01T00:00:00"/>
        <d v="2051-10-01T00:00:00"/>
        <d v="2051-11-01T00:00:00"/>
        <d v="2051-12-01T00:00:00"/>
        <d v="2052-01-01T00:00:00"/>
        <d v="2052-02-01T00:00:00"/>
        <d v="2052-03-01T00:00:00"/>
        <d v="2052-04-01T00:00:00"/>
        <d v="2052-05-01T00:00:00"/>
        <d v="2052-06-01T00:00:00"/>
        <d v="2052-07-01T00:00:00"/>
        <d v="2052-08-01T00:00:00"/>
        <d v="2052-09-01T00:00:00"/>
        <d v="2052-10-01T00:00:00"/>
        <d v="2052-11-01T00:00:00"/>
        <d v="2052-12-01T00:00:00"/>
        <d v="2053-01-01T00:00:00"/>
        <d v="2053-02-01T00:00:00"/>
        <d v="2053-03-01T00:00:00"/>
        <d v="2053-04-01T00:00:00"/>
        <d v="2053-05-01T00:00:00"/>
        <d v="2053-06-01T00:00:00"/>
        <d v="2053-07-01T00:00:00"/>
        <d v="2053-08-01T00:00:00"/>
        <d v="2053-09-01T00:00:00"/>
        <d v="2053-10-01T00:00:00"/>
        <d v="2053-11-01T00:00:00"/>
        <d v="2053-12-01T00:00:00"/>
        <d v="2054-01-01T00:00:00"/>
        <d v="2054-02-01T00:00:00"/>
        <d v="2054-03-01T00:00:00"/>
        <d v="2054-04-01T00:00:00"/>
        <d v="2054-05-01T00:00:00"/>
        <d v="2054-06-01T00:00:00"/>
        <d v="2054-07-01T00:00:00"/>
        <d v="2054-08-01T00:00:00"/>
        <d v="2054-09-01T00:00:00"/>
        <d v="2054-10-01T00:00:00"/>
        <d v="2054-11-01T00:00:00"/>
        <d v="2054-12-01T00:00:00"/>
        <d v="2055-01-01T00:00:00"/>
        <d v="2055-02-01T00:00:00"/>
        <d v="2055-03-01T00:00:00"/>
        <d v="2055-04-01T00:00:00"/>
        <d v="2055-05-01T00:00:00"/>
        <d v="2055-06-01T00:00:00"/>
        <d v="2055-07-01T00:00:00"/>
        <d v="2055-08-01T00:00:00"/>
        <d v="2055-09-01T00:00:00"/>
        <d v="2055-10-01T00:00:00"/>
        <d v="2055-11-01T00:00:00"/>
        <d v="2055-12-01T00:00:00"/>
        <d v="2056-01-01T00:00:00"/>
        <d v="2056-02-01T00:00:00"/>
        <d v="2056-03-01T00:00:00"/>
        <d v="2056-04-01T00:00:00"/>
        <d v="2056-05-01T00:00:00"/>
        <d v="2056-06-01T00:00:00"/>
        <d v="2056-07-01T00:00:00"/>
        <d v="2056-08-01T00:00:00"/>
        <d v="2056-09-01T00:00:00"/>
        <d v="2056-10-01T00:00:00"/>
        <d v="2056-11-01T00:00:00"/>
        <d v="2056-12-01T00:00:00"/>
        <d v="2057-01-01T00:00:00"/>
        <d v="2057-02-01T00:00:00"/>
        <d v="2057-03-01T00:00:00"/>
        <d v="2057-04-01T00:00:00"/>
        <d v="2057-05-01T00:00:00"/>
        <d v="2057-06-01T00:00:00"/>
        <d v="2057-07-01T00:00:00"/>
        <d v="2057-08-01T00:00:00"/>
        <d v="2057-09-01T00:00:00"/>
        <d v="2057-10-01T00:00:00"/>
        <d v="2057-11-01T00:00:00"/>
        <d v="2057-12-01T00:00:00"/>
        <d v="2058-01-01T00:00:00"/>
        <d v="2058-02-01T00:00:00"/>
        <d v="2058-03-01T00:00:00"/>
        <d v="2058-04-01T00:00:00"/>
        <d v="2058-05-01T00:00:00"/>
        <d v="2058-06-01T00:00:00"/>
        <d v="2058-07-01T00:00:00"/>
        <d v="2058-08-01T00:00:00"/>
        <d v="2058-09-01T00:00:00"/>
        <d v="2058-10-01T00:00:00"/>
        <d v="2058-11-01T00:00:00"/>
        <d v="2058-12-01T00:00:00"/>
        <d v="2059-01-01T00:00:00"/>
        <d v="2059-02-01T00:00:00"/>
        <d v="2059-03-01T00:00:00"/>
        <d v="2059-04-01T00:00:00"/>
        <d v="2059-05-01T00:00:00"/>
        <d v="2059-06-01T00:00:00"/>
        <d v="2059-07-01T00:00:00"/>
        <d v="2059-08-01T00:00:00"/>
        <d v="2059-09-01T00:00:00"/>
        <d v="2059-10-01T00:00:00"/>
        <d v="2059-11-01T00:00:00"/>
        <d v="2059-12-01T00:00:00"/>
        <d v="2060-01-01T00:00:00"/>
        <m/>
      </sharedItems>
      <fieldGroup par="7" base="0">
        <rangePr groupBy="months" startDate="2020-01-01T00:00:00" endDate="2060-01-02T00:00:00"/>
        <groupItems count="14">
          <s v="(puste)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2.01.2060"/>
        </groupItems>
      </fieldGroup>
    </cacheField>
    <cacheField name="Pensja" numFmtId="166">
      <sharedItems containsString="0" containsBlank="1" containsNumber="1" containsInteger="1" minValue="4500" maxValue="20233"/>
    </cacheField>
    <cacheField name="Premia" numFmtId="166">
      <sharedItems containsString="0" containsBlank="1" containsNumber="1" containsInteger="1" minValue="0" maxValue="500"/>
    </cacheField>
    <cacheField name="Pełna pensja" numFmtId="166">
      <sharedItems containsString="0" containsBlank="1" containsNumber="1" containsInteger="1" minValue="4500" maxValue="20733"/>
    </cacheField>
    <cacheField name="PPK pracownik" numFmtId="0">
      <sharedItems containsString="0" containsBlank="1" containsNumber="1" minValue="90" maxValue="414.66"/>
    </cacheField>
    <cacheField name="PPK pracodawca" numFmtId="0">
      <sharedItems containsString="0" containsBlank="1" containsNumber="1" minValue="67.5" maxValue="311"/>
    </cacheField>
    <cacheField name="Kwartały" numFmtId="0" databaseField="0">
      <fieldGroup base="0">
        <rangePr groupBy="quarters" startDate="2020-01-01T00:00:00" endDate="2060-01-02T00:00:00"/>
        <groupItems count="6">
          <s v="&lt;01.01.2020"/>
          <s v="Kwartał1"/>
          <s v="Kwartał2"/>
          <s v="Kwartał3"/>
          <s v="Kwartał4"/>
          <s v="&gt;02.01.2060"/>
        </groupItems>
      </fieldGroup>
    </cacheField>
    <cacheField name="Lata" numFmtId="0" databaseField="0">
      <fieldGroup base="0">
        <rangePr groupBy="years" startDate="2020-01-01T00:00:00" endDate="2060-01-02T00:00:00"/>
        <groupItems count="43">
          <s v="&lt;01.01.2020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2048"/>
          <s v="2049"/>
          <s v="2050"/>
          <s v="2051"/>
          <s v="2052"/>
          <s v="2053"/>
          <s v="2054"/>
          <s v="2055"/>
          <s v="2056"/>
          <s v="2057"/>
          <s v="2058"/>
          <s v="2059"/>
          <s v="2060"/>
          <s v="&gt;02.01.206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Jaruszewski" refreshedDate="43892.773000231478" createdVersion="6" refreshedVersion="6" minRefreshableVersion="3" recordCount="481" xr:uid="{B4B43F87-E563-47DD-B7FA-4F07BF30FD68}">
  <cacheSource type="worksheet">
    <worksheetSource ref="A2:I483" sheet="5_6"/>
  </cacheSource>
  <cacheFields count="11">
    <cacheField name="DATA" numFmtId="14">
      <sharedItems containsSemiMixedTypes="0" containsNonDate="0" containsDate="1" containsString="0" minDate="2020-01-01T00:00:00" maxDate="2060-01-02T00:00:00" count="481"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d v="2036-01-01T00:00:00"/>
        <d v="2036-02-01T00:00:00"/>
        <d v="2036-03-01T00:00:00"/>
        <d v="2036-04-01T00:00:00"/>
        <d v="2036-05-01T00:00:00"/>
        <d v="2036-06-01T00:00:00"/>
        <d v="2036-07-01T00:00:00"/>
        <d v="2036-08-01T00:00:00"/>
        <d v="2036-09-01T00:00:00"/>
        <d v="2036-10-01T00:00:00"/>
        <d v="2036-11-01T00:00:00"/>
        <d v="2036-12-01T00:00:00"/>
        <d v="2037-01-01T00:00:00"/>
        <d v="2037-02-01T00:00:00"/>
        <d v="2037-03-01T00:00:00"/>
        <d v="2037-04-01T00:00:00"/>
        <d v="2037-05-01T00:00:00"/>
        <d v="2037-06-01T00:00:00"/>
        <d v="2037-07-01T00:00:00"/>
        <d v="2037-08-01T00:00:00"/>
        <d v="2037-09-01T00:00:00"/>
        <d v="2037-10-01T00:00:00"/>
        <d v="2037-11-01T00:00:00"/>
        <d v="2037-12-01T00:00:00"/>
        <d v="2038-01-01T00:00:00"/>
        <d v="2038-02-01T00:00:00"/>
        <d v="2038-03-01T00:00:00"/>
        <d v="2038-04-01T00:00:00"/>
        <d v="2038-05-01T00:00:00"/>
        <d v="2038-06-01T00:00:00"/>
        <d v="2038-07-01T00:00:00"/>
        <d v="2038-08-01T00:00:00"/>
        <d v="2038-09-01T00:00:00"/>
        <d v="2038-10-01T00:00:00"/>
        <d v="2038-11-01T00:00:00"/>
        <d v="2038-12-01T00:00:00"/>
        <d v="2039-01-01T00:00:00"/>
        <d v="2039-02-01T00:00:00"/>
        <d v="2039-03-01T00:00:00"/>
        <d v="2039-04-01T00:00:00"/>
        <d v="2039-05-01T00:00:00"/>
        <d v="2039-06-01T00:00:00"/>
        <d v="2039-07-01T00:00:00"/>
        <d v="2039-08-01T00:00:00"/>
        <d v="2039-09-01T00:00:00"/>
        <d v="2039-10-01T00:00:00"/>
        <d v="2039-11-01T00:00:00"/>
        <d v="2039-12-01T00:00:00"/>
        <d v="2040-01-01T00:00:00"/>
        <d v="2040-02-01T00:00:00"/>
        <d v="2040-03-01T00:00:00"/>
        <d v="2040-04-01T00:00:00"/>
        <d v="2040-05-01T00:00:00"/>
        <d v="2040-06-01T00:00:00"/>
        <d v="2040-07-01T00:00:00"/>
        <d v="2040-08-01T00:00:00"/>
        <d v="2040-09-01T00:00:00"/>
        <d v="2040-10-01T00:00:00"/>
        <d v="2040-11-01T00:00:00"/>
        <d v="2040-12-01T00:00:00"/>
        <d v="2041-01-01T00:00:00"/>
        <d v="2041-02-01T00:00:00"/>
        <d v="2041-03-01T00:00:00"/>
        <d v="2041-04-01T00:00:00"/>
        <d v="2041-05-01T00:00:00"/>
        <d v="2041-06-01T00:00:00"/>
        <d v="2041-07-01T00:00:00"/>
        <d v="2041-08-01T00:00:00"/>
        <d v="2041-09-01T00:00:00"/>
        <d v="2041-10-01T00:00:00"/>
        <d v="2041-11-01T00:00:00"/>
        <d v="2041-12-01T00:00:00"/>
        <d v="2042-01-01T00:00:00"/>
        <d v="2042-02-01T00:00:00"/>
        <d v="2042-03-01T00:00:00"/>
        <d v="2042-04-01T00:00:00"/>
        <d v="2042-05-01T00:00:00"/>
        <d v="2042-06-01T00:00:00"/>
        <d v="2042-07-01T00:00:00"/>
        <d v="2042-08-01T00:00:00"/>
        <d v="2042-09-01T00:00:00"/>
        <d v="2042-10-01T00:00:00"/>
        <d v="2042-11-01T00:00:00"/>
        <d v="2042-12-01T00:00:00"/>
        <d v="2043-01-01T00:00:00"/>
        <d v="2043-02-01T00:00:00"/>
        <d v="2043-03-01T00:00:00"/>
        <d v="2043-04-01T00:00:00"/>
        <d v="2043-05-01T00:00:00"/>
        <d v="2043-06-01T00:00:00"/>
        <d v="2043-07-01T00:00:00"/>
        <d v="2043-08-01T00:00:00"/>
        <d v="2043-09-01T00:00:00"/>
        <d v="2043-10-01T00:00:00"/>
        <d v="2043-11-01T00:00:00"/>
        <d v="2043-12-01T00:00:00"/>
        <d v="2044-01-01T00:00:00"/>
        <d v="2044-02-01T00:00:00"/>
        <d v="2044-03-01T00:00:00"/>
        <d v="2044-04-01T00:00:00"/>
        <d v="2044-05-01T00:00:00"/>
        <d v="2044-06-01T00:00:00"/>
        <d v="2044-07-01T00:00:00"/>
        <d v="2044-08-01T00:00:00"/>
        <d v="2044-09-01T00:00:00"/>
        <d v="2044-10-01T00:00:00"/>
        <d v="2044-11-01T00:00:00"/>
        <d v="2044-12-01T00:00:00"/>
        <d v="2045-01-01T00:00:00"/>
        <d v="2045-02-01T00:00:00"/>
        <d v="2045-03-01T00:00:00"/>
        <d v="2045-04-01T00:00:00"/>
        <d v="2045-05-01T00:00:00"/>
        <d v="2045-06-01T00:00:00"/>
        <d v="2045-07-01T00:00:00"/>
        <d v="2045-08-01T00:00:00"/>
        <d v="2045-09-01T00:00:00"/>
        <d v="2045-10-01T00:00:00"/>
        <d v="2045-11-01T00:00:00"/>
        <d v="2045-12-01T00:00:00"/>
        <d v="2046-01-01T00:00:00"/>
        <d v="2046-02-01T00:00:00"/>
        <d v="2046-03-01T00:00:00"/>
        <d v="2046-04-01T00:00:00"/>
        <d v="2046-05-01T00:00:00"/>
        <d v="2046-06-01T00:00:00"/>
        <d v="2046-07-01T00:00:00"/>
        <d v="2046-08-01T00:00:00"/>
        <d v="2046-09-01T00:00:00"/>
        <d v="2046-10-01T00:00:00"/>
        <d v="2046-11-01T00:00:00"/>
        <d v="2046-12-01T00:00:00"/>
        <d v="2047-01-01T00:00:00"/>
        <d v="2047-02-01T00:00:00"/>
        <d v="2047-03-01T00:00:00"/>
        <d v="2047-04-01T00:00:00"/>
        <d v="2047-05-01T00:00:00"/>
        <d v="2047-06-01T00:00:00"/>
        <d v="2047-07-01T00:00:00"/>
        <d v="2047-08-01T00:00:00"/>
        <d v="2047-09-01T00:00:00"/>
        <d v="2047-10-01T00:00:00"/>
        <d v="2047-11-01T00:00:00"/>
        <d v="2047-12-01T00:00:00"/>
        <d v="2048-01-01T00:00:00"/>
        <d v="2048-02-01T00:00:00"/>
        <d v="2048-03-01T00:00:00"/>
        <d v="2048-04-01T00:00:00"/>
        <d v="2048-05-01T00:00:00"/>
        <d v="2048-06-01T00:00:00"/>
        <d v="2048-07-01T00:00:00"/>
        <d v="2048-08-01T00:00:00"/>
        <d v="2048-09-01T00:00:00"/>
        <d v="2048-10-01T00:00:00"/>
        <d v="2048-11-01T00:00:00"/>
        <d v="2048-12-01T00:00:00"/>
        <d v="2049-01-01T00:00:00"/>
        <d v="2049-02-01T00:00:00"/>
        <d v="2049-03-01T00:00:00"/>
        <d v="2049-04-01T00:00:00"/>
        <d v="2049-05-01T00:00:00"/>
        <d v="2049-06-01T00:00:00"/>
        <d v="2049-07-01T00:00:00"/>
        <d v="2049-08-01T00:00:00"/>
        <d v="2049-09-01T00:00:00"/>
        <d v="2049-10-01T00:00:00"/>
        <d v="2049-11-01T00:00:00"/>
        <d v="2049-12-01T00:00:00"/>
        <d v="2050-01-01T00:00:00"/>
        <d v="2050-02-01T00:00:00"/>
        <d v="2050-03-01T00:00:00"/>
        <d v="2050-04-01T00:00:00"/>
        <d v="2050-05-01T00:00:00"/>
        <d v="2050-06-01T00:00:00"/>
        <d v="2050-07-01T00:00:00"/>
        <d v="2050-08-01T00:00:00"/>
        <d v="2050-09-01T00:00:00"/>
        <d v="2050-10-01T00:00:00"/>
        <d v="2050-11-01T00:00:00"/>
        <d v="2050-12-01T00:00:00"/>
        <d v="2051-01-01T00:00:00"/>
        <d v="2051-02-01T00:00:00"/>
        <d v="2051-03-01T00:00:00"/>
        <d v="2051-04-01T00:00:00"/>
        <d v="2051-05-01T00:00:00"/>
        <d v="2051-06-01T00:00:00"/>
        <d v="2051-07-01T00:00:00"/>
        <d v="2051-08-01T00:00:00"/>
        <d v="2051-09-01T00:00:00"/>
        <d v="2051-10-01T00:00:00"/>
        <d v="2051-11-01T00:00:00"/>
        <d v="2051-12-01T00:00:00"/>
        <d v="2052-01-01T00:00:00"/>
        <d v="2052-02-01T00:00:00"/>
        <d v="2052-03-01T00:00:00"/>
        <d v="2052-04-01T00:00:00"/>
        <d v="2052-05-01T00:00:00"/>
        <d v="2052-06-01T00:00:00"/>
        <d v="2052-07-01T00:00:00"/>
        <d v="2052-08-01T00:00:00"/>
        <d v="2052-09-01T00:00:00"/>
        <d v="2052-10-01T00:00:00"/>
        <d v="2052-11-01T00:00:00"/>
        <d v="2052-12-01T00:00:00"/>
        <d v="2053-01-01T00:00:00"/>
        <d v="2053-02-01T00:00:00"/>
        <d v="2053-03-01T00:00:00"/>
        <d v="2053-04-01T00:00:00"/>
        <d v="2053-05-01T00:00:00"/>
        <d v="2053-06-01T00:00:00"/>
        <d v="2053-07-01T00:00:00"/>
        <d v="2053-08-01T00:00:00"/>
        <d v="2053-09-01T00:00:00"/>
        <d v="2053-10-01T00:00:00"/>
        <d v="2053-11-01T00:00:00"/>
        <d v="2053-12-01T00:00:00"/>
        <d v="2054-01-01T00:00:00"/>
        <d v="2054-02-01T00:00:00"/>
        <d v="2054-03-01T00:00:00"/>
        <d v="2054-04-01T00:00:00"/>
        <d v="2054-05-01T00:00:00"/>
        <d v="2054-06-01T00:00:00"/>
        <d v="2054-07-01T00:00:00"/>
        <d v="2054-08-01T00:00:00"/>
        <d v="2054-09-01T00:00:00"/>
        <d v="2054-10-01T00:00:00"/>
        <d v="2054-11-01T00:00:00"/>
        <d v="2054-12-01T00:00:00"/>
        <d v="2055-01-01T00:00:00"/>
        <d v="2055-02-01T00:00:00"/>
        <d v="2055-03-01T00:00:00"/>
        <d v="2055-04-01T00:00:00"/>
        <d v="2055-05-01T00:00:00"/>
        <d v="2055-06-01T00:00:00"/>
        <d v="2055-07-01T00:00:00"/>
        <d v="2055-08-01T00:00:00"/>
        <d v="2055-09-01T00:00:00"/>
        <d v="2055-10-01T00:00:00"/>
        <d v="2055-11-01T00:00:00"/>
        <d v="2055-12-01T00:00:00"/>
        <d v="2056-01-01T00:00:00"/>
        <d v="2056-02-01T00:00:00"/>
        <d v="2056-03-01T00:00:00"/>
        <d v="2056-04-01T00:00:00"/>
        <d v="2056-05-01T00:00:00"/>
        <d v="2056-06-01T00:00:00"/>
        <d v="2056-07-01T00:00:00"/>
        <d v="2056-08-01T00:00:00"/>
        <d v="2056-09-01T00:00:00"/>
        <d v="2056-10-01T00:00:00"/>
        <d v="2056-11-01T00:00:00"/>
        <d v="2056-12-01T00:00:00"/>
        <d v="2057-01-01T00:00:00"/>
        <d v="2057-02-01T00:00:00"/>
        <d v="2057-03-01T00:00:00"/>
        <d v="2057-04-01T00:00:00"/>
        <d v="2057-05-01T00:00:00"/>
        <d v="2057-06-01T00:00:00"/>
        <d v="2057-07-01T00:00:00"/>
        <d v="2057-08-01T00:00:00"/>
        <d v="2057-09-01T00:00:00"/>
        <d v="2057-10-01T00:00:00"/>
        <d v="2057-11-01T00:00:00"/>
        <d v="2057-12-01T00:00:00"/>
        <d v="2058-01-01T00:00:00"/>
        <d v="2058-02-01T00:00:00"/>
        <d v="2058-03-01T00:00:00"/>
        <d v="2058-04-01T00:00:00"/>
        <d v="2058-05-01T00:00:00"/>
        <d v="2058-06-01T00:00:00"/>
        <d v="2058-07-01T00:00:00"/>
        <d v="2058-08-01T00:00:00"/>
        <d v="2058-09-01T00:00:00"/>
        <d v="2058-10-01T00:00:00"/>
        <d v="2058-11-01T00:00:00"/>
        <d v="2058-12-01T00:00:00"/>
        <d v="2059-01-01T00:00:00"/>
        <d v="2059-02-01T00:00:00"/>
        <d v="2059-03-01T00:00:00"/>
        <d v="2059-04-01T00:00:00"/>
        <d v="2059-05-01T00:00:00"/>
        <d v="2059-06-01T00:00:00"/>
        <d v="2059-07-01T00:00:00"/>
        <d v="2059-08-01T00:00:00"/>
        <d v="2059-09-01T00:00:00"/>
        <d v="2059-10-01T00:00:00"/>
        <d v="2059-11-01T00:00:00"/>
        <d v="2059-12-01T00:00:00"/>
        <d v="2060-01-01T00:00:00"/>
      </sharedItems>
      <fieldGroup par="10" base="0">
        <rangePr groupBy="months" startDate="2020-01-01T00:00:00" endDate="2060-01-02T00:00:00"/>
        <groupItems count="14">
          <s v="&lt;01.01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2.01.2060"/>
        </groupItems>
      </fieldGroup>
    </cacheField>
    <cacheField name="Pensja" numFmtId="166">
      <sharedItems containsSemiMixedTypes="0" containsString="0" containsNumber="1" containsInteger="1" minValue="4500" maxValue="20233"/>
    </cacheField>
    <cacheField name="Premia" numFmtId="166">
      <sharedItems containsSemiMixedTypes="0" containsString="0" containsNumber="1" containsInteger="1" minValue="0" maxValue="500"/>
    </cacheField>
    <cacheField name="Pełna pensja" numFmtId="166">
      <sharedItems containsSemiMixedTypes="0" containsString="0" containsNumber="1" containsInteger="1" minValue="4500" maxValue="20733"/>
    </cacheField>
    <cacheField name="PPK pracownik" numFmtId="166">
      <sharedItems containsSemiMixedTypes="0" containsString="0" containsNumber="1" minValue="90" maxValue="829.32"/>
    </cacheField>
    <cacheField name="PPK pracodawca" numFmtId="166">
      <sharedItems containsSemiMixedTypes="0" containsString="0" containsNumber="1" minValue="67.5" maxValue="829.32"/>
    </cacheField>
    <cacheField name="PPK premia" numFmtId="166">
      <sharedItems containsSemiMixedTypes="0" containsString="0" containsNumber="1" containsInteger="1" minValue="0" maxValue="240"/>
    </cacheField>
    <cacheField name="Suma wpłat (bez premii)" numFmtId="166">
      <sharedItems containsSemiMixedTypes="0" containsString="0" containsNumber="1" minValue="157.5" maxValue="1658.64"/>
    </cacheField>
    <cacheField name="250,00 zł" numFmtId="166">
      <sharedItems containsSemiMixedTypes="0" containsString="0" containsNumber="1" minValue="407.5" maxValue="382539.09999999899"/>
    </cacheField>
    <cacheField name="Kwartały" numFmtId="0" databaseField="0">
      <fieldGroup base="0">
        <rangePr groupBy="quarters" startDate="2020-01-01T00:00:00" endDate="2060-01-02T00:00:00"/>
        <groupItems count="6">
          <s v="&lt;01.01.2020"/>
          <s v="Kwartał1"/>
          <s v="Kwartał2"/>
          <s v="Kwartał3"/>
          <s v="Kwartał4"/>
          <s v="&gt;02.01.2060"/>
        </groupItems>
      </fieldGroup>
    </cacheField>
    <cacheField name="Lata" numFmtId="0" databaseField="0">
      <fieldGroup base="0">
        <rangePr groupBy="years" startDate="2020-01-01T00:00:00" endDate="2060-01-02T00:00:00"/>
        <groupItems count="43">
          <s v="&lt;01.01.2020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2046"/>
          <s v="2047"/>
          <s v="2048"/>
          <s v="2049"/>
          <s v="2050"/>
          <s v="2051"/>
          <s v="2052"/>
          <s v="2053"/>
          <s v="2054"/>
          <s v="2055"/>
          <s v="2056"/>
          <s v="2057"/>
          <s v="2058"/>
          <s v="2059"/>
          <s v="2060"/>
          <s v="&gt;02.01.206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">
  <r>
    <x v="0"/>
    <n v="4500"/>
    <n v="0"/>
    <n v="4500"/>
    <n v="90"/>
    <n v="67.5"/>
  </r>
  <r>
    <x v="1"/>
    <n v="4500"/>
    <n v="0"/>
    <n v="4500"/>
    <n v="90"/>
    <n v="67.5"/>
  </r>
  <r>
    <x v="2"/>
    <n v="4500"/>
    <n v="0"/>
    <n v="4500"/>
    <n v="90"/>
    <n v="67.5"/>
  </r>
  <r>
    <x v="3"/>
    <n v="4500"/>
    <n v="500"/>
    <n v="5000"/>
    <n v="100"/>
    <n v="75"/>
  </r>
  <r>
    <x v="4"/>
    <n v="4500"/>
    <n v="0"/>
    <n v="4500"/>
    <n v="90"/>
    <n v="67.5"/>
  </r>
  <r>
    <x v="5"/>
    <n v="4500"/>
    <n v="0"/>
    <n v="4500"/>
    <n v="90"/>
    <n v="67.5"/>
  </r>
  <r>
    <x v="6"/>
    <n v="4500"/>
    <n v="500"/>
    <n v="5000"/>
    <n v="100"/>
    <n v="75"/>
  </r>
  <r>
    <x v="7"/>
    <n v="4500"/>
    <n v="0"/>
    <n v="4500"/>
    <n v="90"/>
    <n v="67.5"/>
  </r>
  <r>
    <x v="8"/>
    <n v="4500"/>
    <n v="0"/>
    <n v="4500"/>
    <n v="90"/>
    <n v="67.5"/>
  </r>
  <r>
    <x v="9"/>
    <n v="4500"/>
    <n v="500"/>
    <n v="5000"/>
    <n v="100"/>
    <n v="75"/>
  </r>
  <r>
    <x v="10"/>
    <n v="4500"/>
    <n v="0"/>
    <n v="4500"/>
    <n v="90"/>
    <n v="67.5"/>
  </r>
  <r>
    <x v="11"/>
    <n v="4500"/>
    <n v="0"/>
    <n v="4500"/>
    <n v="90"/>
    <n v="67.5"/>
  </r>
  <r>
    <x v="12"/>
    <n v="4613"/>
    <n v="500"/>
    <n v="5113"/>
    <n v="102.26"/>
    <n v="76.7"/>
  </r>
  <r>
    <x v="13"/>
    <n v="4613"/>
    <n v="0"/>
    <n v="4613"/>
    <n v="92.26"/>
    <n v="69.2"/>
  </r>
  <r>
    <x v="14"/>
    <n v="4613"/>
    <n v="0"/>
    <n v="4613"/>
    <n v="92.26"/>
    <n v="69.2"/>
  </r>
  <r>
    <x v="15"/>
    <n v="4613"/>
    <n v="500"/>
    <n v="5113"/>
    <n v="102.26"/>
    <n v="76.7"/>
  </r>
  <r>
    <x v="16"/>
    <n v="4613"/>
    <n v="0"/>
    <n v="4613"/>
    <n v="92.26"/>
    <n v="69.2"/>
  </r>
  <r>
    <x v="17"/>
    <n v="4613"/>
    <n v="0"/>
    <n v="4613"/>
    <n v="92.26"/>
    <n v="69.2"/>
  </r>
  <r>
    <x v="18"/>
    <n v="4613"/>
    <n v="500"/>
    <n v="5113"/>
    <n v="102.26"/>
    <n v="76.7"/>
  </r>
  <r>
    <x v="19"/>
    <n v="4613"/>
    <n v="0"/>
    <n v="4613"/>
    <n v="92.26"/>
    <n v="69.2"/>
  </r>
  <r>
    <x v="20"/>
    <n v="4613"/>
    <n v="0"/>
    <n v="4613"/>
    <n v="92.26"/>
    <n v="69.2"/>
  </r>
  <r>
    <x v="21"/>
    <n v="4613"/>
    <n v="500"/>
    <n v="5113"/>
    <n v="102.26"/>
    <n v="76.7"/>
  </r>
  <r>
    <x v="22"/>
    <n v="4613"/>
    <n v="0"/>
    <n v="4613"/>
    <n v="92.26"/>
    <n v="69.2"/>
  </r>
  <r>
    <x v="23"/>
    <n v="4613"/>
    <n v="0"/>
    <n v="4613"/>
    <n v="92.26"/>
    <n v="69.2"/>
  </r>
  <r>
    <x v="24"/>
    <n v="4729"/>
    <n v="500"/>
    <n v="5229"/>
    <n v="104.58"/>
    <n v="78.44"/>
  </r>
  <r>
    <x v="25"/>
    <n v="4729"/>
    <n v="0"/>
    <n v="4729"/>
    <n v="94.58"/>
    <n v="70.94"/>
  </r>
  <r>
    <x v="26"/>
    <n v="4729"/>
    <n v="0"/>
    <n v="4729"/>
    <n v="94.58"/>
    <n v="70.94"/>
  </r>
  <r>
    <x v="27"/>
    <n v="4729"/>
    <n v="500"/>
    <n v="5229"/>
    <n v="104.58"/>
    <n v="78.44"/>
  </r>
  <r>
    <x v="28"/>
    <n v="4729"/>
    <n v="0"/>
    <n v="4729"/>
    <n v="94.58"/>
    <n v="70.94"/>
  </r>
  <r>
    <x v="29"/>
    <n v="4729"/>
    <n v="0"/>
    <n v="4729"/>
    <n v="94.58"/>
    <n v="70.94"/>
  </r>
  <r>
    <x v="30"/>
    <n v="4729"/>
    <n v="500"/>
    <n v="5229"/>
    <n v="104.58"/>
    <n v="78.44"/>
  </r>
  <r>
    <x v="31"/>
    <n v="4729"/>
    <n v="0"/>
    <n v="4729"/>
    <n v="94.58"/>
    <n v="70.94"/>
  </r>
  <r>
    <x v="32"/>
    <n v="4729"/>
    <n v="0"/>
    <n v="4729"/>
    <n v="94.58"/>
    <n v="70.94"/>
  </r>
  <r>
    <x v="33"/>
    <n v="4729"/>
    <n v="500"/>
    <n v="5229"/>
    <n v="104.58"/>
    <n v="78.44"/>
  </r>
  <r>
    <x v="34"/>
    <n v="4729"/>
    <n v="0"/>
    <n v="4729"/>
    <n v="94.58"/>
    <n v="70.94"/>
  </r>
  <r>
    <x v="35"/>
    <n v="4729"/>
    <n v="0"/>
    <n v="4729"/>
    <n v="94.58"/>
    <n v="70.94"/>
  </r>
  <r>
    <x v="36"/>
    <n v="4848"/>
    <n v="500"/>
    <n v="5348"/>
    <n v="106.96"/>
    <n v="80.22"/>
  </r>
  <r>
    <x v="37"/>
    <n v="4848"/>
    <n v="0"/>
    <n v="4848"/>
    <n v="96.96"/>
    <n v="72.72"/>
  </r>
  <r>
    <x v="38"/>
    <n v="4848"/>
    <n v="0"/>
    <n v="4848"/>
    <n v="96.96"/>
    <n v="72.72"/>
  </r>
  <r>
    <x v="39"/>
    <n v="4848"/>
    <n v="500"/>
    <n v="5348"/>
    <n v="106.96"/>
    <n v="80.22"/>
  </r>
  <r>
    <x v="40"/>
    <n v="4848"/>
    <n v="0"/>
    <n v="4848"/>
    <n v="96.96"/>
    <n v="72.72"/>
  </r>
  <r>
    <x v="41"/>
    <n v="4848"/>
    <n v="0"/>
    <n v="4848"/>
    <n v="96.96"/>
    <n v="72.72"/>
  </r>
  <r>
    <x v="42"/>
    <n v="4848"/>
    <n v="500"/>
    <n v="5348"/>
    <n v="106.96"/>
    <n v="80.22"/>
  </r>
  <r>
    <x v="43"/>
    <n v="4848"/>
    <n v="0"/>
    <n v="4848"/>
    <n v="96.96"/>
    <n v="72.72"/>
  </r>
  <r>
    <x v="44"/>
    <n v="4848"/>
    <n v="0"/>
    <n v="4848"/>
    <n v="96.96"/>
    <n v="72.72"/>
  </r>
  <r>
    <x v="45"/>
    <n v="4848"/>
    <n v="500"/>
    <n v="5348"/>
    <n v="106.96"/>
    <n v="80.22"/>
  </r>
  <r>
    <x v="46"/>
    <n v="4848"/>
    <n v="0"/>
    <n v="4848"/>
    <n v="96.96"/>
    <n v="72.72"/>
  </r>
  <r>
    <x v="47"/>
    <n v="4848"/>
    <n v="0"/>
    <n v="4848"/>
    <n v="96.96"/>
    <n v="72.72"/>
  </r>
  <r>
    <x v="48"/>
    <n v="5470"/>
    <n v="500"/>
    <n v="5970"/>
    <n v="119.4"/>
    <n v="89.55"/>
  </r>
  <r>
    <x v="49"/>
    <n v="5470"/>
    <n v="0"/>
    <n v="5470"/>
    <n v="109.4"/>
    <n v="82.05"/>
  </r>
  <r>
    <x v="50"/>
    <n v="5470"/>
    <n v="0"/>
    <n v="5470"/>
    <n v="109.4"/>
    <n v="82.05"/>
  </r>
  <r>
    <x v="51"/>
    <n v="5470"/>
    <n v="500"/>
    <n v="5970"/>
    <n v="119.4"/>
    <n v="89.55"/>
  </r>
  <r>
    <x v="52"/>
    <n v="5470"/>
    <n v="0"/>
    <n v="5470"/>
    <n v="109.4"/>
    <n v="82.05"/>
  </r>
  <r>
    <x v="53"/>
    <n v="5470"/>
    <n v="0"/>
    <n v="5470"/>
    <n v="109.4"/>
    <n v="82.05"/>
  </r>
  <r>
    <x v="54"/>
    <n v="5470"/>
    <n v="500"/>
    <n v="5970"/>
    <n v="119.4"/>
    <n v="89.55"/>
  </r>
  <r>
    <x v="55"/>
    <n v="5470"/>
    <n v="0"/>
    <n v="5470"/>
    <n v="109.4"/>
    <n v="82.05"/>
  </r>
  <r>
    <x v="56"/>
    <n v="5470"/>
    <n v="0"/>
    <n v="5470"/>
    <n v="109.4"/>
    <n v="82.05"/>
  </r>
  <r>
    <x v="57"/>
    <n v="5470"/>
    <n v="500"/>
    <n v="5970"/>
    <n v="119.4"/>
    <n v="89.55"/>
  </r>
  <r>
    <x v="58"/>
    <n v="5470"/>
    <n v="0"/>
    <n v="5470"/>
    <n v="109.4"/>
    <n v="82.05"/>
  </r>
  <r>
    <x v="59"/>
    <n v="5470"/>
    <n v="0"/>
    <n v="5470"/>
    <n v="109.4"/>
    <n v="82.05"/>
  </r>
  <r>
    <x v="60"/>
    <n v="5607"/>
    <n v="500"/>
    <n v="6107"/>
    <n v="122.14"/>
    <n v="91.61"/>
  </r>
  <r>
    <x v="61"/>
    <n v="5607"/>
    <n v="0"/>
    <n v="5607"/>
    <n v="112.14"/>
    <n v="84.11"/>
  </r>
  <r>
    <x v="62"/>
    <n v="5607"/>
    <n v="0"/>
    <n v="5607"/>
    <n v="112.14"/>
    <n v="84.11"/>
  </r>
  <r>
    <x v="63"/>
    <n v="5607"/>
    <n v="500"/>
    <n v="6107"/>
    <n v="122.14"/>
    <n v="91.61"/>
  </r>
  <r>
    <x v="64"/>
    <n v="5607"/>
    <n v="0"/>
    <n v="5607"/>
    <n v="112.14"/>
    <n v="84.11"/>
  </r>
  <r>
    <x v="65"/>
    <n v="5607"/>
    <n v="0"/>
    <n v="5607"/>
    <n v="112.14"/>
    <n v="84.11"/>
  </r>
  <r>
    <x v="66"/>
    <n v="5607"/>
    <n v="500"/>
    <n v="6107"/>
    <n v="122.14"/>
    <n v="91.61"/>
  </r>
  <r>
    <x v="67"/>
    <n v="5607"/>
    <n v="0"/>
    <n v="5607"/>
    <n v="112.14"/>
    <n v="84.11"/>
  </r>
  <r>
    <x v="68"/>
    <n v="5607"/>
    <n v="0"/>
    <n v="5607"/>
    <n v="112.14"/>
    <n v="84.11"/>
  </r>
  <r>
    <x v="69"/>
    <n v="5607"/>
    <n v="500"/>
    <n v="6107"/>
    <n v="122.14"/>
    <n v="91.61"/>
  </r>
  <r>
    <x v="70"/>
    <n v="5607"/>
    <n v="0"/>
    <n v="5607"/>
    <n v="112.14"/>
    <n v="84.11"/>
  </r>
  <r>
    <x v="71"/>
    <n v="5607"/>
    <n v="0"/>
    <n v="5607"/>
    <n v="112.14"/>
    <n v="84.11"/>
  </r>
  <r>
    <x v="72"/>
    <n v="5748"/>
    <n v="500"/>
    <n v="6248"/>
    <n v="124.96"/>
    <n v="93.72"/>
  </r>
  <r>
    <x v="73"/>
    <n v="5748"/>
    <n v="0"/>
    <n v="5748"/>
    <n v="114.96"/>
    <n v="86.22"/>
  </r>
  <r>
    <x v="74"/>
    <n v="5748"/>
    <n v="0"/>
    <n v="5748"/>
    <n v="114.96"/>
    <n v="86.22"/>
  </r>
  <r>
    <x v="75"/>
    <n v="5748"/>
    <n v="500"/>
    <n v="6248"/>
    <n v="124.96"/>
    <n v="93.72"/>
  </r>
  <r>
    <x v="76"/>
    <n v="5748"/>
    <n v="0"/>
    <n v="5748"/>
    <n v="114.96"/>
    <n v="86.22"/>
  </r>
  <r>
    <x v="77"/>
    <n v="5748"/>
    <n v="0"/>
    <n v="5748"/>
    <n v="114.96"/>
    <n v="86.22"/>
  </r>
  <r>
    <x v="78"/>
    <n v="5748"/>
    <n v="500"/>
    <n v="6248"/>
    <n v="124.96"/>
    <n v="93.72"/>
  </r>
  <r>
    <x v="79"/>
    <n v="5748"/>
    <n v="0"/>
    <n v="5748"/>
    <n v="114.96"/>
    <n v="86.22"/>
  </r>
  <r>
    <x v="80"/>
    <n v="5748"/>
    <n v="0"/>
    <n v="5748"/>
    <n v="114.96"/>
    <n v="86.22"/>
  </r>
  <r>
    <x v="81"/>
    <n v="5748"/>
    <n v="500"/>
    <n v="6248"/>
    <n v="124.96"/>
    <n v="93.72"/>
  </r>
  <r>
    <x v="82"/>
    <n v="5748"/>
    <n v="0"/>
    <n v="5748"/>
    <n v="114.96"/>
    <n v="86.22"/>
  </r>
  <r>
    <x v="83"/>
    <n v="5748"/>
    <n v="0"/>
    <n v="5748"/>
    <n v="114.96"/>
    <n v="86.22"/>
  </r>
  <r>
    <x v="84"/>
    <n v="5892"/>
    <n v="500"/>
    <n v="6392"/>
    <n v="127.84"/>
    <n v="95.88"/>
  </r>
  <r>
    <x v="85"/>
    <n v="5892"/>
    <n v="0"/>
    <n v="5892"/>
    <n v="117.84"/>
    <n v="88.38"/>
  </r>
  <r>
    <x v="86"/>
    <n v="5892"/>
    <n v="0"/>
    <n v="5892"/>
    <n v="117.84"/>
    <n v="88.38"/>
  </r>
  <r>
    <x v="87"/>
    <n v="5892"/>
    <n v="500"/>
    <n v="6392"/>
    <n v="127.84"/>
    <n v="95.88"/>
  </r>
  <r>
    <x v="88"/>
    <n v="5892"/>
    <n v="0"/>
    <n v="5892"/>
    <n v="117.84"/>
    <n v="88.38"/>
  </r>
  <r>
    <x v="89"/>
    <n v="5892"/>
    <n v="0"/>
    <n v="5892"/>
    <n v="117.84"/>
    <n v="88.38"/>
  </r>
  <r>
    <x v="90"/>
    <n v="5892"/>
    <n v="500"/>
    <n v="6392"/>
    <n v="127.84"/>
    <n v="95.88"/>
  </r>
  <r>
    <x v="91"/>
    <n v="5892"/>
    <n v="0"/>
    <n v="5892"/>
    <n v="117.84"/>
    <n v="88.38"/>
  </r>
  <r>
    <x v="92"/>
    <n v="5892"/>
    <n v="0"/>
    <n v="5892"/>
    <n v="117.84"/>
    <n v="88.38"/>
  </r>
  <r>
    <x v="93"/>
    <n v="5892"/>
    <n v="500"/>
    <n v="6392"/>
    <n v="127.84"/>
    <n v="95.88"/>
  </r>
  <r>
    <x v="94"/>
    <n v="5892"/>
    <n v="0"/>
    <n v="5892"/>
    <n v="117.84"/>
    <n v="88.38"/>
  </r>
  <r>
    <x v="95"/>
    <n v="5892"/>
    <n v="0"/>
    <n v="5892"/>
    <n v="117.84"/>
    <n v="88.38"/>
  </r>
  <r>
    <x v="96"/>
    <n v="6540"/>
    <n v="500"/>
    <n v="7040"/>
    <n v="140.80000000000001"/>
    <n v="105.6"/>
  </r>
  <r>
    <x v="97"/>
    <n v="6540"/>
    <n v="0"/>
    <n v="6540"/>
    <n v="130.80000000000001"/>
    <n v="98.1"/>
  </r>
  <r>
    <x v="98"/>
    <n v="6540"/>
    <n v="0"/>
    <n v="6540"/>
    <n v="130.80000000000001"/>
    <n v="98.1"/>
  </r>
  <r>
    <x v="99"/>
    <n v="6540"/>
    <n v="500"/>
    <n v="7040"/>
    <n v="140.80000000000001"/>
    <n v="105.6"/>
  </r>
  <r>
    <x v="100"/>
    <n v="6540"/>
    <n v="0"/>
    <n v="6540"/>
    <n v="130.80000000000001"/>
    <n v="98.1"/>
  </r>
  <r>
    <x v="101"/>
    <n v="6540"/>
    <n v="0"/>
    <n v="6540"/>
    <n v="130.80000000000001"/>
    <n v="98.1"/>
  </r>
  <r>
    <x v="102"/>
    <n v="6540"/>
    <n v="500"/>
    <n v="7040"/>
    <n v="140.80000000000001"/>
    <n v="105.6"/>
  </r>
  <r>
    <x v="103"/>
    <n v="6540"/>
    <n v="0"/>
    <n v="6540"/>
    <n v="130.80000000000001"/>
    <n v="98.1"/>
  </r>
  <r>
    <x v="104"/>
    <n v="6540"/>
    <n v="0"/>
    <n v="6540"/>
    <n v="130.80000000000001"/>
    <n v="98.1"/>
  </r>
  <r>
    <x v="105"/>
    <n v="6540"/>
    <n v="500"/>
    <n v="7040"/>
    <n v="140.80000000000001"/>
    <n v="105.6"/>
  </r>
  <r>
    <x v="106"/>
    <n v="6540"/>
    <n v="0"/>
    <n v="6540"/>
    <n v="130.80000000000001"/>
    <n v="98.1"/>
  </r>
  <r>
    <x v="107"/>
    <n v="6540"/>
    <n v="0"/>
    <n v="6540"/>
    <n v="130.80000000000001"/>
    <n v="98.1"/>
  </r>
  <r>
    <x v="108"/>
    <n v="6704"/>
    <n v="500"/>
    <n v="7204"/>
    <n v="144.08000000000001"/>
    <n v="108.06"/>
  </r>
  <r>
    <x v="109"/>
    <n v="6704"/>
    <n v="0"/>
    <n v="6704"/>
    <n v="134.08000000000001"/>
    <n v="100.56"/>
  </r>
  <r>
    <x v="110"/>
    <n v="6704"/>
    <n v="0"/>
    <n v="6704"/>
    <n v="134.08000000000001"/>
    <n v="100.56"/>
  </r>
  <r>
    <x v="111"/>
    <n v="6704"/>
    <n v="500"/>
    <n v="7204"/>
    <n v="144.08000000000001"/>
    <n v="108.06"/>
  </r>
  <r>
    <x v="112"/>
    <n v="6704"/>
    <n v="0"/>
    <n v="6704"/>
    <n v="134.08000000000001"/>
    <n v="100.56"/>
  </r>
  <r>
    <x v="113"/>
    <n v="6704"/>
    <n v="0"/>
    <n v="6704"/>
    <n v="134.08000000000001"/>
    <n v="100.56"/>
  </r>
  <r>
    <x v="114"/>
    <n v="6704"/>
    <n v="500"/>
    <n v="7204"/>
    <n v="144.08000000000001"/>
    <n v="108.06"/>
  </r>
  <r>
    <x v="115"/>
    <n v="6704"/>
    <n v="0"/>
    <n v="6704"/>
    <n v="134.08000000000001"/>
    <n v="100.56"/>
  </r>
  <r>
    <x v="116"/>
    <n v="6704"/>
    <n v="0"/>
    <n v="6704"/>
    <n v="134.08000000000001"/>
    <n v="100.56"/>
  </r>
  <r>
    <x v="117"/>
    <n v="6704"/>
    <n v="500"/>
    <n v="7204"/>
    <n v="144.08000000000001"/>
    <n v="108.06"/>
  </r>
  <r>
    <x v="118"/>
    <n v="6704"/>
    <n v="0"/>
    <n v="6704"/>
    <n v="134.08000000000001"/>
    <n v="100.56"/>
  </r>
  <r>
    <x v="119"/>
    <n v="6704"/>
    <n v="0"/>
    <n v="6704"/>
    <n v="134.08000000000001"/>
    <n v="100.56"/>
  </r>
  <r>
    <x v="120"/>
    <n v="6872"/>
    <n v="500"/>
    <n v="7372"/>
    <n v="147.44"/>
    <n v="110.58"/>
  </r>
  <r>
    <x v="121"/>
    <n v="6872"/>
    <n v="0"/>
    <n v="6872"/>
    <n v="137.44"/>
    <n v="103.08"/>
  </r>
  <r>
    <x v="122"/>
    <n v="6872"/>
    <n v="0"/>
    <n v="6872"/>
    <n v="137.44"/>
    <n v="103.08"/>
  </r>
  <r>
    <x v="123"/>
    <n v="6872"/>
    <n v="500"/>
    <n v="7372"/>
    <n v="147.44"/>
    <n v="110.58"/>
  </r>
  <r>
    <x v="124"/>
    <n v="6872"/>
    <n v="0"/>
    <n v="6872"/>
    <n v="137.44"/>
    <n v="103.08"/>
  </r>
  <r>
    <x v="125"/>
    <n v="6872"/>
    <n v="0"/>
    <n v="6872"/>
    <n v="137.44"/>
    <n v="103.08"/>
  </r>
  <r>
    <x v="126"/>
    <n v="6872"/>
    <n v="500"/>
    <n v="7372"/>
    <n v="147.44"/>
    <n v="110.58"/>
  </r>
  <r>
    <x v="127"/>
    <n v="6872"/>
    <n v="0"/>
    <n v="6872"/>
    <n v="137.44"/>
    <n v="103.08"/>
  </r>
  <r>
    <x v="128"/>
    <n v="6872"/>
    <n v="0"/>
    <n v="6872"/>
    <n v="137.44"/>
    <n v="103.08"/>
  </r>
  <r>
    <x v="129"/>
    <n v="6872"/>
    <n v="500"/>
    <n v="7372"/>
    <n v="147.44"/>
    <n v="110.58"/>
  </r>
  <r>
    <x v="130"/>
    <n v="6872"/>
    <n v="0"/>
    <n v="6872"/>
    <n v="137.44"/>
    <n v="103.08"/>
  </r>
  <r>
    <x v="131"/>
    <n v="6872"/>
    <n v="0"/>
    <n v="6872"/>
    <n v="137.44"/>
    <n v="103.08"/>
  </r>
  <r>
    <x v="132"/>
    <n v="7044"/>
    <n v="500"/>
    <n v="7544"/>
    <n v="150.88"/>
    <n v="113.16"/>
  </r>
  <r>
    <x v="133"/>
    <n v="7044"/>
    <n v="0"/>
    <n v="7044"/>
    <n v="140.88"/>
    <n v="105.66"/>
  </r>
  <r>
    <x v="134"/>
    <n v="7044"/>
    <n v="0"/>
    <n v="7044"/>
    <n v="140.88"/>
    <n v="105.66"/>
  </r>
  <r>
    <x v="135"/>
    <n v="7044"/>
    <n v="500"/>
    <n v="7544"/>
    <n v="150.88"/>
    <n v="113.16"/>
  </r>
  <r>
    <x v="136"/>
    <n v="7044"/>
    <n v="0"/>
    <n v="7044"/>
    <n v="140.88"/>
    <n v="105.66"/>
  </r>
  <r>
    <x v="137"/>
    <n v="7044"/>
    <n v="0"/>
    <n v="7044"/>
    <n v="140.88"/>
    <n v="105.66"/>
  </r>
  <r>
    <x v="138"/>
    <n v="7044"/>
    <n v="500"/>
    <n v="7544"/>
    <n v="150.88"/>
    <n v="113.16"/>
  </r>
  <r>
    <x v="139"/>
    <n v="7044"/>
    <n v="0"/>
    <n v="7044"/>
    <n v="140.88"/>
    <n v="105.66"/>
  </r>
  <r>
    <x v="140"/>
    <n v="7044"/>
    <n v="0"/>
    <n v="7044"/>
    <n v="140.88"/>
    <n v="105.66"/>
  </r>
  <r>
    <x v="141"/>
    <n v="7044"/>
    <n v="500"/>
    <n v="7544"/>
    <n v="150.88"/>
    <n v="113.16"/>
  </r>
  <r>
    <x v="142"/>
    <n v="7044"/>
    <n v="0"/>
    <n v="7044"/>
    <n v="140.88"/>
    <n v="105.66"/>
  </r>
  <r>
    <x v="143"/>
    <n v="7044"/>
    <n v="0"/>
    <n v="7044"/>
    <n v="140.88"/>
    <n v="105.66"/>
  </r>
  <r>
    <x v="144"/>
    <n v="7721"/>
    <n v="500"/>
    <n v="8221"/>
    <n v="164.42"/>
    <n v="123.32"/>
  </r>
  <r>
    <x v="145"/>
    <n v="7721"/>
    <n v="0"/>
    <n v="7721"/>
    <n v="154.41999999999999"/>
    <n v="115.82"/>
  </r>
  <r>
    <x v="146"/>
    <n v="7721"/>
    <n v="0"/>
    <n v="7721"/>
    <n v="154.41999999999999"/>
    <n v="115.82"/>
  </r>
  <r>
    <x v="147"/>
    <n v="7721"/>
    <n v="500"/>
    <n v="8221"/>
    <n v="164.42"/>
    <n v="123.32"/>
  </r>
  <r>
    <x v="148"/>
    <n v="7721"/>
    <n v="0"/>
    <n v="7721"/>
    <n v="154.41999999999999"/>
    <n v="115.82"/>
  </r>
  <r>
    <x v="149"/>
    <n v="7721"/>
    <n v="0"/>
    <n v="7721"/>
    <n v="154.41999999999999"/>
    <n v="115.82"/>
  </r>
  <r>
    <x v="150"/>
    <n v="7721"/>
    <n v="500"/>
    <n v="8221"/>
    <n v="164.42"/>
    <n v="123.32"/>
  </r>
  <r>
    <x v="151"/>
    <n v="7721"/>
    <n v="0"/>
    <n v="7721"/>
    <n v="154.41999999999999"/>
    <n v="115.82"/>
  </r>
  <r>
    <x v="152"/>
    <n v="7721"/>
    <n v="0"/>
    <n v="7721"/>
    <n v="154.41999999999999"/>
    <n v="115.82"/>
  </r>
  <r>
    <x v="153"/>
    <n v="7721"/>
    <n v="500"/>
    <n v="8221"/>
    <n v="164.42"/>
    <n v="123.32"/>
  </r>
  <r>
    <x v="154"/>
    <n v="7721"/>
    <n v="0"/>
    <n v="7721"/>
    <n v="154.41999999999999"/>
    <n v="115.82"/>
  </r>
  <r>
    <x v="155"/>
    <n v="7721"/>
    <n v="0"/>
    <n v="7721"/>
    <n v="154.41999999999999"/>
    <n v="115.82"/>
  </r>
  <r>
    <x v="156"/>
    <n v="7915"/>
    <n v="500"/>
    <n v="8415"/>
    <n v="168.3"/>
    <n v="126.23"/>
  </r>
  <r>
    <x v="157"/>
    <n v="7915"/>
    <n v="0"/>
    <n v="7915"/>
    <n v="158.30000000000001"/>
    <n v="118.73"/>
  </r>
  <r>
    <x v="158"/>
    <n v="7915"/>
    <n v="0"/>
    <n v="7915"/>
    <n v="158.30000000000001"/>
    <n v="118.73"/>
  </r>
  <r>
    <x v="159"/>
    <n v="7915"/>
    <n v="500"/>
    <n v="8415"/>
    <n v="168.3"/>
    <n v="126.23"/>
  </r>
  <r>
    <x v="160"/>
    <n v="7915"/>
    <n v="0"/>
    <n v="7915"/>
    <n v="158.30000000000001"/>
    <n v="118.73"/>
  </r>
  <r>
    <x v="161"/>
    <n v="7915"/>
    <n v="0"/>
    <n v="7915"/>
    <n v="158.30000000000001"/>
    <n v="118.73"/>
  </r>
  <r>
    <x v="162"/>
    <n v="7915"/>
    <n v="500"/>
    <n v="8415"/>
    <n v="168.3"/>
    <n v="126.23"/>
  </r>
  <r>
    <x v="163"/>
    <n v="7915"/>
    <n v="0"/>
    <n v="7915"/>
    <n v="158.30000000000001"/>
    <n v="118.73"/>
  </r>
  <r>
    <x v="164"/>
    <n v="7915"/>
    <n v="0"/>
    <n v="7915"/>
    <n v="158.30000000000001"/>
    <n v="118.73"/>
  </r>
  <r>
    <x v="165"/>
    <n v="7915"/>
    <n v="500"/>
    <n v="8415"/>
    <n v="168.3"/>
    <n v="126.23"/>
  </r>
  <r>
    <x v="166"/>
    <n v="7915"/>
    <n v="0"/>
    <n v="7915"/>
    <n v="158.30000000000001"/>
    <n v="118.73"/>
  </r>
  <r>
    <x v="167"/>
    <n v="7915"/>
    <n v="0"/>
    <n v="7915"/>
    <n v="158.30000000000001"/>
    <n v="118.73"/>
  </r>
  <r>
    <x v="168"/>
    <n v="8113"/>
    <n v="500"/>
    <n v="8613"/>
    <n v="172.26"/>
    <n v="129.19999999999999"/>
  </r>
  <r>
    <x v="169"/>
    <n v="8113"/>
    <n v="0"/>
    <n v="8113"/>
    <n v="162.26"/>
    <n v="121.7"/>
  </r>
  <r>
    <x v="170"/>
    <n v="8113"/>
    <n v="0"/>
    <n v="8113"/>
    <n v="162.26"/>
    <n v="121.7"/>
  </r>
  <r>
    <x v="171"/>
    <n v="8113"/>
    <n v="500"/>
    <n v="8613"/>
    <n v="172.26"/>
    <n v="129.19999999999999"/>
  </r>
  <r>
    <x v="172"/>
    <n v="8113"/>
    <n v="0"/>
    <n v="8113"/>
    <n v="162.26"/>
    <n v="121.7"/>
  </r>
  <r>
    <x v="173"/>
    <n v="8113"/>
    <n v="0"/>
    <n v="8113"/>
    <n v="162.26"/>
    <n v="121.7"/>
  </r>
  <r>
    <x v="174"/>
    <n v="8113"/>
    <n v="500"/>
    <n v="8613"/>
    <n v="172.26"/>
    <n v="129.19999999999999"/>
  </r>
  <r>
    <x v="175"/>
    <n v="8113"/>
    <n v="0"/>
    <n v="8113"/>
    <n v="162.26"/>
    <n v="121.7"/>
  </r>
  <r>
    <x v="176"/>
    <n v="8113"/>
    <n v="0"/>
    <n v="8113"/>
    <n v="162.26"/>
    <n v="121.7"/>
  </r>
  <r>
    <x v="177"/>
    <n v="8113"/>
    <n v="500"/>
    <n v="8613"/>
    <n v="172.26"/>
    <n v="129.19999999999999"/>
  </r>
  <r>
    <x v="178"/>
    <n v="8113"/>
    <n v="0"/>
    <n v="8113"/>
    <n v="162.26"/>
    <n v="121.7"/>
  </r>
  <r>
    <x v="179"/>
    <n v="8113"/>
    <n v="0"/>
    <n v="8113"/>
    <n v="162.26"/>
    <n v="121.7"/>
  </r>
  <r>
    <x v="180"/>
    <n v="8316"/>
    <n v="500"/>
    <n v="8816"/>
    <n v="176.32"/>
    <n v="132.24"/>
  </r>
  <r>
    <x v="181"/>
    <n v="8316"/>
    <n v="0"/>
    <n v="8316"/>
    <n v="166.32"/>
    <n v="124.74"/>
  </r>
  <r>
    <x v="182"/>
    <n v="8316"/>
    <n v="0"/>
    <n v="8316"/>
    <n v="166.32"/>
    <n v="124.74"/>
  </r>
  <r>
    <x v="183"/>
    <n v="8316"/>
    <n v="500"/>
    <n v="8816"/>
    <n v="176.32"/>
    <n v="132.24"/>
  </r>
  <r>
    <x v="184"/>
    <n v="8316"/>
    <n v="0"/>
    <n v="8316"/>
    <n v="166.32"/>
    <n v="124.74"/>
  </r>
  <r>
    <x v="185"/>
    <n v="8316"/>
    <n v="0"/>
    <n v="8316"/>
    <n v="166.32"/>
    <n v="124.74"/>
  </r>
  <r>
    <x v="186"/>
    <n v="8316"/>
    <n v="500"/>
    <n v="8816"/>
    <n v="176.32"/>
    <n v="132.24"/>
  </r>
  <r>
    <x v="187"/>
    <n v="8316"/>
    <n v="0"/>
    <n v="8316"/>
    <n v="166.32"/>
    <n v="124.74"/>
  </r>
  <r>
    <x v="188"/>
    <n v="8316"/>
    <n v="0"/>
    <n v="8316"/>
    <n v="166.32"/>
    <n v="124.74"/>
  </r>
  <r>
    <x v="189"/>
    <n v="8316"/>
    <n v="500"/>
    <n v="8816"/>
    <n v="176.32"/>
    <n v="132.24"/>
  </r>
  <r>
    <x v="190"/>
    <n v="8316"/>
    <n v="0"/>
    <n v="8316"/>
    <n v="166.32"/>
    <n v="124.74"/>
  </r>
  <r>
    <x v="191"/>
    <n v="8316"/>
    <n v="0"/>
    <n v="8316"/>
    <n v="166.32"/>
    <n v="124.74"/>
  </r>
  <r>
    <x v="192"/>
    <n v="9024"/>
    <n v="500"/>
    <n v="9524"/>
    <n v="190.48"/>
    <n v="142.86000000000001"/>
  </r>
  <r>
    <x v="193"/>
    <n v="9024"/>
    <n v="0"/>
    <n v="9024"/>
    <n v="180.48"/>
    <n v="135.36000000000001"/>
  </r>
  <r>
    <x v="194"/>
    <n v="9024"/>
    <n v="0"/>
    <n v="9024"/>
    <n v="180.48"/>
    <n v="135.36000000000001"/>
  </r>
  <r>
    <x v="195"/>
    <n v="9024"/>
    <n v="500"/>
    <n v="9524"/>
    <n v="190.48"/>
    <n v="142.86000000000001"/>
  </r>
  <r>
    <x v="196"/>
    <n v="9024"/>
    <n v="0"/>
    <n v="9024"/>
    <n v="180.48"/>
    <n v="135.36000000000001"/>
  </r>
  <r>
    <x v="197"/>
    <n v="9024"/>
    <n v="0"/>
    <n v="9024"/>
    <n v="180.48"/>
    <n v="135.36000000000001"/>
  </r>
  <r>
    <x v="198"/>
    <n v="9024"/>
    <n v="500"/>
    <n v="9524"/>
    <n v="190.48"/>
    <n v="142.86000000000001"/>
  </r>
  <r>
    <x v="199"/>
    <n v="9024"/>
    <n v="0"/>
    <n v="9024"/>
    <n v="180.48"/>
    <n v="135.36000000000001"/>
  </r>
  <r>
    <x v="200"/>
    <n v="9024"/>
    <n v="0"/>
    <n v="9024"/>
    <n v="180.48"/>
    <n v="135.36000000000001"/>
  </r>
  <r>
    <x v="201"/>
    <n v="9024"/>
    <n v="500"/>
    <n v="9524"/>
    <n v="190.48"/>
    <n v="142.86000000000001"/>
  </r>
  <r>
    <x v="202"/>
    <n v="9024"/>
    <n v="0"/>
    <n v="9024"/>
    <n v="180.48"/>
    <n v="135.36000000000001"/>
  </r>
  <r>
    <x v="203"/>
    <n v="9024"/>
    <n v="0"/>
    <n v="9024"/>
    <n v="180.48"/>
    <n v="135.36000000000001"/>
  </r>
  <r>
    <x v="204"/>
    <n v="9250"/>
    <n v="500"/>
    <n v="9750"/>
    <n v="195"/>
    <n v="146.25"/>
  </r>
  <r>
    <x v="205"/>
    <n v="9250"/>
    <n v="0"/>
    <n v="9250"/>
    <n v="185"/>
    <n v="138.75"/>
  </r>
  <r>
    <x v="206"/>
    <n v="9250"/>
    <n v="0"/>
    <n v="9250"/>
    <n v="185"/>
    <n v="138.75"/>
  </r>
  <r>
    <x v="207"/>
    <n v="9250"/>
    <n v="500"/>
    <n v="9750"/>
    <n v="195"/>
    <n v="146.25"/>
  </r>
  <r>
    <x v="208"/>
    <n v="9250"/>
    <n v="0"/>
    <n v="9250"/>
    <n v="185"/>
    <n v="138.75"/>
  </r>
  <r>
    <x v="209"/>
    <n v="9250"/>
    <n v="0"/>
    <n v="9250"/>
    <n v="185"/>
    <n v="138.75"/>
  </r>
  <r>
    <x v="210"/>
    <n v="9250"/>
    <n v="500"/>
    <n v="9750"/>
    <n v="195"/>
    <n v="146.25"/>
  </r>
  <r>
    <x v="211"/>
    <n v="9250"/>
    <n v="0"/>
    <n v="9250"/>
    <n v="185"/>
    <n v="138.75"/>
  </r>
  <r>
    <x v="212"/>
    <n v="9250"/>
    <n v="0"/>
    <n v="9250"/>
    <n v="185"/>
    <n v="138.75"/>
  </r>
  <r>
    <x v="213"/>
    <n v="9250"/>
    <n v="500"/>
    <n v="9750"/>
    <n v="195"/>
    <n v="146.25"/>
  </r>
  <r>
    <x v="214"/>
    <n v="9250"/>
    <n v="0"/>
    <n v="9250"/>
    <n v="185"/>
    <n v="138.75"/>
  </r>
  <r>
    <x v="215"/>
    <n v="9250"/>
    <n v="0"/>
    <n v="9250"/>
    <n v="185"/>
    <n v="138.75"/>
  </r>
  <r>
    <x v="216"/>
    <n v="9482"/>
    <n v="500"/>
    <n v="9982"/>
    <n v="199.64"/>
    <n v="149.72999999999999"/>
  </r>
  <r>
    <x v="217"/>
    <n v="9482"/>
    <n v="0"/>
    <n v="9482"/>
    <n v="189.64"/>
    <n v="142.22999999999999"/>
  </r>
  <r>
    <x v="218"/>
    <n v="9482"/>
    <n v="0"/>
    <n v="9482"/>
    <n v="189.64"/>
    <n v="142.22999999999999"/>
  </r>
  <r>
    <x v="219"/>
    <n v="9482"/>
    <n v="500"/>
    <n v="9982"/>
    <n v="199.64"/>
    <n v="149.72999999999999"/>
  </r>
  <r>
    <x v="220"/>
    <n v="9482"/>
    <n v="0"/>
    <n v="9482"/>
    <n v="189.64"/>
    <n v="142.22999999999999"/>
  </r>
  <r>
    <x v="221"/>
    <n v="9482"/>
    <n v="0"/>
    <n v="9482"/>
    <n v="189.64"/>
    <n v="142.22999999999999"/>
  </r>
  <r>
    <x v="222"/>
    <n v="9482"/>
    <n v="500"/>
    <n v="9982"/>
    <n v="199.64"/>
    <n v="149.72999999999999"/>
  </r>
  <r>
    <x v="223"/>
    <n v="9482"/>
    <n v="0"/>
    <n v="9482"/>
    <n v="189.64"/>
    <n v="142.22999999999999"/>
  </r>
  <r>
    <x v="224"/>
    <n v="9482"/>
    <n v="0"/>
    <n v="9482"/>
    <n v="189.64"/>
    <n v="142.22999999999999"/>
  </r>
  <r>
    <x v="225"/>
    <n v="9482"/>
    <n v="500"/>
    <n v="9982"/>
    <n v="199.64"/>
    <n v="149.72999999999999"/>
  </r>
  <r>
    <x v="226"/>
    <n v="9482"/>
    <n v="0"/>
    <n v="9482"/>
    <n v="189.64"/>
    <n v="142.22999999999999"/>
  </r>
  <r>
    <x v="227"/>
    <n v="9482"/>
    <n v="0"/>
    <n v="9482"/>
    <n v="189.64"/>
    <n v="142.22999999999999"/>
  </r>
  <r>
    <x v="228"/>
    <n v="9720"/>
    <n v="500"/>
    <n v="10220"/>
    <n v="204.4"/>
    <n v="153.30000000000001"/>
  </r>
  <r>
    <x v="229"/>
    <n v="9720"/>
    <n v="0"/>
    <n v="9720"/>
    <n v="194.4"/>
    <n v="145.80000000000001"/>
  </r>
  <r>
    <x v="230"/>
    <n v="9720"/>
    <n v="0"/>
    <n v="9720"/>
    <n v="194.4"/>
    <n v="145.80000000000001"/>
  </r>
  <r>
    <x v="231"/>
    <n v="9720"/>
    <n v="500"/>
    <n v="10220"/>
    <n v="204.4"/>
    <n v="153.30000000000001"/>
  </r>
  <r>
    <x v="232"/>
    <n v="9720"/>
    <n v="0"/>
    <n v="9720"/>
    <n v="194.4"/>
    <n v="145.80000000000001"/>
  </r>
  <r>
    <x v="233"/>
    <n v="9720"/>
    <n v="0"/>
    <n v="9720"/>
    <n v="194.4"/>
    <n v="145.80000000000001"/>
  </r>
  <r>
    <x v="234"/>
    <n v="9720"/>
    <n v="500"/>
    <n v="10220"/>
    <n v="204.4"/>
    <n v="153.30000000000001"/>
  </r>
  <r>
    <x v="235"/>
    <n v="9720"/>
    <n v="0"/>
    <n v="9720"/>
    <n v="194.4"/>
    <n v="145.80000000000001"/>
  </r>
  <r>
    <x v="236"/>
    <n v="9720"/>
    <n v="0"/>
    <n v="9720"/>
    <n v="194.4"/>
    <n v="145.80000000000001"/>
  </r>
  <r>
    <x v="237"/>
    <n v="9720"/>
    <n v="500"/>
    <n v="10220"/>
    <n v="204.4"/>
    <n v="153.30000000000001"/>
  </r>
  <r>
    <x v="238"/>
    <n v="9720"/>
    <n v="0"/>
    <n v="9720"/>
    <n v="194.4"/>
    <n v="145.80000000000001"/>
  </r>
  <r>
    <x v="239"/>
    <n v="9720"/>
    <n v="0"/>
    <n v="9720"/>
    <n v="194.4"/>
    <n v="145.80000000000001"/>
  </r>
  <r>
    <x v="240"/>
    <n v="10463"/>
    <n v="500"/>
    <n v="10963"/>
    <n v="219.26"/>
    <n v="164.45"/>
  </r>
  <r>
    <x v="241"/>
    <n v="10463"/>
    <n v="0"/>
    <n v="10463"/>
    <n v="209.26"/>
    <n v="156.94999999999999"/>
  </r>
  <r>
    <x v="242"/>
    <n v="10463"/>
    <n v="0"/>
    <n v="10463"/>
    <n v="209.26"/>
    <n v="156.94999999999999"/>
  </r>
  <r>
    <x v="243"/>
    <n v="10463"/>
    <n v="500"/>
    <n v="10963"/>
    <n v="219.26"/>
    <n v="164.45"/>
  </r>
  <r>
    <x v="244"/>
    <n v="10463"/>
    <n v="0"/>
    <n v="10463"/>
    <n v="209.26"/>
    <n v="156.94999999999999"/>
  </r>
  <r>
    <x v="245"/>
    <n v="10463"/>
    <n v="0"/>
    <n v="10463"/>
    <n v="209.26"/>
    <n v="156.94999999999999"/>
  </r>
  <r>
    <x v="246"/>
    <n v="10463"/>
    <n v="500"/>
    <n v="10963"/>
    <n v="219.26"/>
    <n v="164.45"/>
  </r>
  <r>
    <x v="247"/>
    <n v="10463"/>
    <n v="0"/>
    <n v="10463"/>
    <n v="209.26"/>
    <n v="156.94999999999999"/>
  </r>
  <r>
    <x v="248"/>
    <n v="10463"/>
    <n v="0"/>
    <n v="10463"/>
    <n v="209.26"/>
    <n v="156.94999999999999"/>
  </r>
  <r>
    <x v="249"/>
    <n v="10463"/>
    <n v="500"/>
    <n v="10963"/>
    <n v="219.26"/>
    <n v="164.45"/>
  </r>
  <r>
    <x v="250"/>
    <n v="10463"/>
    <n v="0"/>
    <n v="10463"/>
    <n v="209.26"/>
    <n v="156.94999999999999"/>
  </r>
  <r>
    <x v="251"/>
    <n v="10463"/>
    <n v="0"/>
    <n v="10463"/>
    <n v="209.26"/>
    <n v="156.94999999999999"/>
  </r>
  <r>
    <x v="252"/>
    <n v="10725"/>
    <n v="500"/>
    <n v="11225"/>
    <n v="224.5"/>
    <n v="168.38"/>
  </r>
  <r>
    <x v="253"/>
    <n v="10725"/>
    <n v="0"/>
    <n v="10725"/>
    <n v="214.5"/>
    <n v="160.88"/>
  </r>
  <r>
    <x v="254"/>
    <n v="10725"/>
    <n v="0"/>
    <n v="10725"/>
    <n v="214.5"/>
    <n v="160.88"/>
  </r>
  <r>
    <x v="255"/>
    <n v="10725"/>
    <n v="500"/>
    <n v="11225"/>
    <n v="224.5"/>
    <n v="168.38"/>
  </r>
  <r>
    <x v="256"/>
    <n v="10725"/>
    <n v="0"/>
    <n v="10725"/>
    <n v="214.5"/>
    <n v="160.88"/>
  </r>
  <r>
    <x v="257"/>
    <n v="10725"/>
    <n v="0"/>
    <n v="10725"/>
    <n v="214.5"/>
    <n v="160.88"/>
  </r>
  <r>
    <x v="258"/>
    <n v="10725"/>
    <n v="500"/>
    <n v="11225"/>
    <n v="224.5"/>
    <n v="168.38"/>
  </r>
  <r>
    <x v="259"/>
    <n v="10725"/>
    <n v="0"/>
    <n v="10725"/>
    <n v="214.5"/>
    <n v="160.88"/>
  </r>
  <r>
    <x v="260"/>
    <n v="10725"/>
    <n v="0"/>
    <n v="10725"/>
    <n v="214.5"/>
    <n v="160.88"/>
  </r>
  <r>
    <x v="261"/>
    <n v="10725"/>
    <n v="500"/>
    <n v="11225"/>
    <n v="224.5"/>
    <n v="168.38"/>
  </r>
  <r>
    <x v="262"/>
    <n v="10725"/>
    <n v="0"/>
    <n v="10725"/>
    <n v="214.5"/>
    <n v="160.88"/>
  </r>
  <r>
    <x v="263"/>
    <n v="10725"/>
    <n v="0"/>
    <n v="10725"/>
    <n v="214.5"/>
    <n v="160.88"/>
  </r>
  <r>
    <x v="264"/>
    <n v="10994"/>
    <n v="500"/>
    <n v="11494"/>
    <n v="229.88"/>
    <n v="172.41"/>
  </r>
  <r>
    <x v="265"/>
    <n v="10994"/>
    <n v="0"/>
    <n v="10994"/>
    <n v="219.88"/>
    <n v="164.91"/>
  </r>
  <r>
    <x v="266"/>
    <n v="10994"/>
    <n v="0"/>
    <n v="10994"/>
    <n v="219.88"/>
    <n v="164.91"/>
  </r>
  <r>
    <x v="267"/>
    <n v="10994"/>
    <n v="500"/>
    <n v="11494"/>
    <n v="229.88"/>
    <n v="172.41"/>
  </r>
  <r>
    <x v="268"/>
    <n v="10994"/>
    <n v="0"/>
    <n v="10994"/>
    <n v="219.88"/>
    <n v="164.91"/>
  </r>
  <r>
    <x v="269"/>
    <n v="10994"/>
    <n v="0"/>
    <n v="10994"/>
    <n v="219.88"/>
    <n v="164.91"/>
  </r>
  <r>
    <x v="270"/>
    <n v="10994"/>
    <n v="500"/>
    <n v="11494"/>
    <n v="229.88"/>
    <n v="172.41"/>
  </r>
  <r>
    <x v="271"/>
    <n v="10994"/>
    <n v="0"/>
    <n v="10994"/>
    <n v="219.88"/>
    <n v="164.91"/>
  </r>
  <r>
    <x v="272"/>
    <n v="10994"/>
    <n v="0"/>
    <n v="10994"/>
    <n v="219.88"/>
    <n v="164.91"/>
  </r>
  <r>
    <x v="273"/>
    <n v="10994"/>
    <n v="500"/>
    <n v="11494"/>
    <n v="229.88"/>
    <n v="172.41"/>
  </r>
  <r>
    <x v="274"/>
    <n v="10994"/>
    <n v="0"/>
    <n v="10994"/>
    <n v="219.88"/>
    <n v="164.91"/>
  </r>
  <r>
    <x v="275"/>
    <n v="10994"/>
    <n v="0"/>
    <n v="10994"/>
    <n v="219.88"/>
    <n v="164.91"/>
  </r>
  <r>
    <x v="276"/>
    <n v="11269"/>
    <n v="500"/>
    <n v="11769"/>
    <n v="235.38"/>
    <n v="176.54"/>
  </r>
  <r>
    <x v="277"/>
    <n v="11269"/>
    <n v="0"/>
    <n v="11269"/>
    <n v="225.38"/>
    <n v="169.04"/>
  </r>
  <r>
    <x v="278"/>
    <n v="11269"/>
    <n v="0"/>
    <n v="11269"/>
    <n v="225.38"/>
    <n v="169.04"/>
  </r>
  <r>
    <x v="279"/>
    <n v="11269"/>
    <n v="500"/>
    <n v="11769"/>
    <n v="235.38"/>
    <n v="176.54"/>
  </r>
  <r>
    <x v="280"/>
    <n v="11269"/>
    <n v="0"/>
    <n v="11269"/>
    <n v="225.38"/>
    <n v="169.04"/>
  </r>
  <r>
    <x v="281"/>
    <n v="11269"/>
    <n v="0"/>
    <n v="11269"/>
    <n v="225.38"/>
    <n v="169.04"/>
  </r>
  <r>
    <x v="282"/>
    <n v="11269"/>
    <n v="500"/>
    <n v="11769"/>
    <n v="235.38"/>
    <n v="176.54"/>
  </r>
  <r>
    <x v="283"/>
    <n v="11269"/>
    <n v="0"/>
    <n v="11269"/>
    <n v="225.38"/>
    <n v="169.04"/>
  </r>
  <r>
    <x v="284"/>
    <n v="11269"/>
    <n v="0"/>
    <n v="11269"/>
    <n v="225.38"/>
    <n v="169.04"/>
  </r>
  <r>
    <x v="285"/>
    <n v="11269"/>
    <n v="500"/>
    <n v="11769"/>
    <n v="235.38"/>
    <n v="176.54"/>
  </r>
  <r>
    <x v="286"/>
    <n v="11269"/>
    <n v="0"/>
    <n v="11269"/>
    <n v="225.38"/>
    <n v="169.04"/>
  </r>
  <r>
    <x v="287"/>
    <n v="11269"/>
    <n v="0"/>
    <n v="11269"/>
    <n v="225.38"/>
    <n v="169.04"/>
  </r>
  <r>
    <x v="288"/>
    <n v="12051"/>
    <n v="500"/>
    <n v="12551"/>
    <n v="251.02"/>
    <n v="188.27"/>
  </r>
  <r>
    <x v="289"/>
    <n v="12051"/>
    <n v="0"/>
    <n v="12051"/>
    <n v="241.02"/>
    <n v="180.77"/>
  </r>
  <r>
    <x v="290"/>
    <n v="12051"/>
    <n v="0"/>
    <n v="12051"/>
    <n v="241.02"/>
    <n v="180.77"/>
  </r>
  <r>
    <x v="291"/>
    <n v="12051"/>
    <n v="500"/>
    <n v="12551"/>
    <n v="251.02"/>
    <n v="188.27"/>
  </r>
  <r>
    <x v="292"/>
    <n v="12051"/>
    <n v="0"/>
    <n v="12051"/>
    <n v="241.02"/>
    <n v="180.77"/>
  </r>
  <r>
    <x v="293"/>
    <n v="12051"/>
    <n v="0"/>
    <n v="12051"/>
    <n v="241.02"/>
    <n v="180.77"/>
  </r>
  <r>
    <x v="294"/>
    <n v="12051"/>
    <n v="500"/>
    <n v="12551"/>
    <n v="251.02"/>
    <n v="188.27"/>
  </r>
  <r>
    <x v="295"/>
    <n v="12051"/>
    <n v="0"/>
    <n v="12051"/>
    <n v="241.02"/>
    <n v="180.77"/>
  </r>
  <r>
    <x v="296"/>
    <n v="12051"/>
    <n v="0"/>
    <n v="12051"/>
    <n v="241.02"/>
    <n v="180.77"/>
  </r>
  <r>
    <x v="297"/>
    <n v="12051"/>
    <n v="500"/>
    <n v="12551"/>
    <n v="251.02"/>
    <n v="188.27"/>
  </r>
  <r>
    <x v="298"/>
    <n v="12051"/>
    <n v="0"/>
    <n v="12051"/>
    <n v="241.02"/>
    <n v="180.77"/>
  </r>
  <r>
    <x v="299"/>
    <n v="12051"/>
    <n v="0"/>
    <n v="12051"/>
    <n v="241.02"/>
    <n v="180.77"/>
  </r>
  <r>
    <x v="300"/>
    <n v="12353"/>
    <n v="500"/>
    <n v="12853"/>
    <n v="257.06"/>
    <n v="192.8"/>
  </r>
  <r>
    <x v="301"/>
    <n v="12353"/>
    <n v="0"/>
    <n v="12353"/>
    <n v="247.06"/>
    <n v="185.3"/>
  </r>
  <r>
    <x v="302"/>
    <n v="12353"/>
    <n v="0"/>
    <n v="12353"/>
    <n v="247.06"/>
    <n v="185.3"/>
  </r>
  <r>
    <x v="303"/>
    <n v="12353"/>
    <n v="500"/>
    <n v="12853"/>
    <n v="257.06"/>
    <n v="192.8"/>
  </r>
  <r>
    <x v="304"/>
    <n v="12353"/>
    <n v="0"/>
    <n v="12353"/>
    <n v="247.06"/>
    <n v="185.3"/>
  </r>
  <r>
    <x v="305"/>
    <n v="12353"/>
    <n v="0"/>
    <n v="12353"/>
    <n v="247.06"/>
    <n v="185.3"/>
  </r>
  <r>
    <x v="306"/>
    <n v="12353"/>
    <n v="500"/>
    <n v="12853"/>
    <n v="257.06"/>
    <n v="192.8"/>
  </r>
  <r>
    <x v="307"/>
    <n v="12353"/>
    <n v="0"/>
    <n v="12353"/>
    <n v="247.06"/>
    <n v="185.3"/>
  </r>
  <r>
    <x v="308"/>
    <n v="12353"/>
    <n v="0"/>
    <n v="12353"/>
    <n v="247.06"/>
    <n v="185.3"/>
  </r>
  <r>
    <x v="309"/>
    <n v="12353"/>
    <n v="500"/>
    <n v="12853"/>
    <n v="257.06"/>
    <n v="192.8"/>
  </r>
  <r>
    <x v="310"/>
    <n v="12353"/>
    <n v="0"/>
    <n v="12353"/>
    <n v="247.06"/>
    <n v="185.3"/>
  </r>
  <r>
    <x v="311"/>
    <n v="12353"/>
    <n v="0"/>
    <n v="12353"/>
    <n v="247.06"/>
    <n v="185.3"/>
  </r>
  <r>
    <x v="312"/>
    <n v="12662"/>
    <n v="500"/>
    <n v="13162"/>
    <n v="263.24"/>
    <n v="197.43"/>
  </r>
  <r>
    <x v="313"/>
    <n v="12662"/>
    <n v="0"/>
    <n v="12662"/>
    <n v="253.24"/>
    <n v="189.93"/>
  </r>
  <r>
    <x v="314"/>
    <n v="12662"/>
    <n v="0"/>
    <n v="12662"/>
    <n v="253.24"/>
    <n v="189.93"/>
  </r>
  <r>
    <x v="315"/>
    <n v="12662"/>
    <n v="500"/>
    <n v="13162"/>
    <n v="263.24"/>
    <n v="197.43"/>
  </r>
  <r>
    <x v="316"/>
    <n v="12662"/>
    <n v="0"/>
    <n v="12662"/>
    <n v="253.24"/>
    <n v="189.93"/>
  </r>
  <r>
    <x v="317"/>
    <n v="12662"/>
    <n v="0"/>
    <n v="12662"/>
    <n v="253.24"/>
    <n v="189.93"/>
  </r>
  <r>
    <x v="318"/>
    <n v="12662"/>
    <n v="500"/>
    <n v="13162"/>
    <n v="263.24"/>
    <n v="197.43"/>
  </r>
  <r>
    <x v="319"/>
    <n v="12662"/>
    <n v="0"/>
    <n v="12662"/>
    <n v="253.24"/>
    <n v="189.93"/>
  </r>
  <r>
    <x v="320"/>
    <n v="12662"/>
    <n v="0"/>
    <n v="12662"/>
    <n v="253.24"/>
    <n v="189.93"/>
  </r>
  <r>
    <x v="321"/>
    <n v="12662"/>
    <n v="500"/>
    <n v="13162"/>
    <n v="263.24"/>
    <n v="197.43"/>
  </r>
  <r>
    <x v="322"/>
    <n v="12662"/>
    <n v="0"/>
    <n v="12662"/>
    <n v="253.24"/>
    <n v="189.93"/>
  </r>
  <r>
    <x v="323"/>
    <n v="12662"/>
    <n v="0"/>
    <n v="12662"/>
    <n v="253.24"/>
    <n v="189.93"/>
  </r>
  <r>
    <x v="324"/>
    <n v="12979"/>
    <n v="500"/>
    <n v="13479"/>
    <n v="269.58"/>
    <n v="202.19"/>
  </r>
  <r>
    <x v="325"/>
    <n v="12979"/>
    <n v="0"/>
    <n v="12979"/>
    <n v="259.58"/>
    <n v="194.69"/>
  </r>
  <r>
    <x v="326"/>
    <n v="12979"/>
    <n v="0"/>
    <n v="12979"/>
    <n v="259.58"/>
    <n v="194.69"/>
  </r>
  <r>
    <x v="327"/>
    <n v="12979"/>
    <n v="500"/>
    <n v="13479"/>
    <n v="269.58"/>
    <n v="202.19"/>
  </r>
  <r>
    <x v="328"/>
    <n v="12979"/>
    <n v="0"/>
    <n v="12979"/>
    <n v="259.58"/>
    <n v="194.69"/>
  </r>
  <r>
    <x v="329"/>
    <n v="12979"/>
    <n v="0"/>
    <n v="12979"/>
    <n v="259.58"/>
    <n v="194.69"/>
  </r>
  <r>
    <x v="330"/>
    <n v="12979"/>
    <n v="500"/>
    <n v="13479"/>
    <n v="269.58"/>
    <n v="202.19"/>
  </r>
  <r>
    <x v="331"/>
    <n v="12979"/>
    <n v="0"/>
    <n v="12979"/>
    <n v="259.58"/>
    <n v="194.69"/>
  </r>
  <r>
    <x v="332"/>
    <n v="12979"/>
    <n v="0"/>
    <n v="12979"/>
    <n v="259.58"/>
    <n v="194.69"/>
  </r>
  <r>
    <x v="333"/>
    <n v="12979"/>
    <n v="500"/>
    <n v="13479"/>
    <n v="269.58"/>
    <n v="202.19"/>
  </r>
  <r>
    <x v="334"/>
    <n v="12979"/>
    <n v="0"/>
    <n v="12979"/>
    <n v="259.58"/>
    <n v="194.69"/>
  </r>
  <r>
    <x v="335"/>
    <n v="12979"/>
    <n v="0"/>
    <n v="12979"/>
    <n v="259.58"/>
    <n v="194.69"/>
  </r>
  <r>
    <x v="336"/>
    <n v="13804"/>
    <n v="500"/>
    <n v="14304"/>
    <n v="286.08"/>
    <n v="214.56"/>
  </r>
  <r>
    <x v="337"/>
    <n v="13804"/>
    <n v="0"/>
    <n v="13804"/>
    <n v="276.08"/>
    <n v="207.06"/>
  </r>
  <r>
    <x v="338"/>
    <n v="13804"/>
    <n v="0"/>
    <n v="13804"/>
    <n v="276.08"/>
    <n v="207.06"/>
  </r>
  <r>
    <x v="339"/>
    <n v="13804"/>
    <n v="500"/>
    <n v="14304"/>
    <n v="286.08"/>
    <n v="214.56"/>
  </r>
  <r>
    <x v="340"/>
    <n v="13804"/>
    <n v="0"/>
    <n v="13804"/>
    <n v="276.08"/>
    <n v="207.06"/>
  </r>
  <r>
    <x v="341"/>
    <n v="13804"/>
    <n v="0"/>
    <n v="13804"/>
    <n v="276.08"/>
    <n v="207.06"/>
  </r>
  <r>
    <x v="342"/>
    <n v="13804"/>
    <n v="500"/>
    <n v="14304"/>
    <n v="286.08"/>
    <n v="214.56"/>
  </r>
  <r>
    <x v="343"/>
    <n v="13804"/>
    <n v="0"/>
    <n v="13804"/>
    <n v="276.08"/>
    <n v="207.06"/>
  </r>
  <r>
    <x v="344"/>
    <n v="13804"/>
    <n v="0"/>
    <n v="13804"/>
    <n v="276.08"/>
    <n v="207.06"/>
  </r>
  <r>
    <x v="345"/>
    <n v="13804"/>
    <n v="500"/>
    <n v="14304"/>
    <n v="286.08"/>
    <n v="214.56"/>
  </r>
  <r>
    <x v="346"/>
    <n v="13804"/>
    <n v="0"/>
    <n v="13804"/>
    <n v="276.08"/>
    <n v="207.06"/>
  </r>
  <r>
    <x v="347"/>
    <n v="13804"/>
    <n v="0"/>
    <n v="13804"/>
    <n v="276.08"/>
    <n v="207.06"/>
  </r>
  <r>
    <x v="348"/>
    <n v="14150"/>
    <n v="500"/>
    <n v="14650"/>
    <n v="293"/>
    <n v="219.75"/>
  </r>
  <r>
    <x v="349"/>
    <n v="14150"/>
    <n v="0"/>
    <n v="14150"/>
    <n v="283"/>
    <n v="212.25"/>
  </r>
  <r>
    <x v="350"/>
    <n v="14150"/>
    <n v="0"/>
    <n v="14150"/>
    <n v="283"/>
    <n v="212.25"/>
  </r>
  <r>
    <x v="351"/>
    <n v="14150"/>
    <n v="500"/>
    <n v="14650"/>
    <n v="293"/>
    <n v="219.75"/>
  </r>
  <r>
    <x v="352"/>
    <n v="14150"/>
    <n v="0"/>
    <n v="14150"/>
    <n v="283"/>
    <n v="212.25"/>
  </r>
  <r>
    <x v="353"/>
    <n v="14150"/>
    <n v="0"/>
    <n v="14150"/>
    <n v="283"/>
    <n v="212.25"/>
  </r>
  <r>
    <x v="354"/>
    <n v="14150"/>
    <n v="500"/>
    <n v="14650"/>
    <n v="293"/>
    <n v="219.75"/>
  </r>
  <r>
    <x v="355"/>
    <n v="14150"/>
    <n v="0"/>
    <n v="14150"/>
    <n v="283"/>
    <n v="212.25"/>
  </r>
  <r>
    <x v="356"/>
    <n v="14150"/>
    <n v="0"/>
    <n v="14150"/>
    <n v="283"/>
    <n v="212.25"/>
  </r>
  <r>
    <x v="357"/>
    <n v="14150"/>
    <n v="500"/>
    <n v="14650"/>
    <n v="293"/>
    <n v="219.75"/>
  </r>
  <r>
    <x v="358"/>
    <n v="14150"/>
    <n v="0"/>
    <n v="14150"/>
    <n v="283"/>
    <n v="212.25"/>
  </r>
  <r>
    <x v="359"/>
    <n v="14150"/>
    <n v="0"/>
    <n v="14150"/>
    <n v="283"/>
    <n v="212.25"/>
  </r>
  <r>
    <x v="360"/>
    <n v="14504"/>
    <n v="500"/>
    <n v="15004"/>
    <n v="300.08"/>
    <n v="225.06"/>
  </r>
  <r>
    <x v="361"/>
    <n v="14504"/>
    <n v="0"/>
    <n v="14504"/>
    <n v="290.08"/>
    <n v="217.56"/>
  </r>
  <r>
    <x v="362"/>
    <n v="14504"/>
    <n v="0"/>
    <n v="14504"/>
    <n v="290.08"/>
    <n v="217.56"/>
  </r>
  <r>
    <x v="363"/>
    <n v="14504"/>
    <n v="500"/>
    <n v="15004"/>
    <n v="300.08"/>
    <n v="225.06"/>
  </r>
  <r>
    <x v="364"/>
    <n v="14504"/>
    <n v="0"/>
    <n v="14504"/>
    <n v="290.08"/>
    <n v="217.56"/>
  </r>
  <r>
    <x v="365"/>
    <n v="14504"/>
    <n v="0"/>
    <n v="14504"/>
    <n v="290.08"/>
    <n v="217.56"/>
  </r>
  <r>
    <x v="366"/>
    <n v="14504"/>
    <n v="500"/>
    <n v="15004"/>
    <n v="300.08"/>
    <n v="225.06"/>
  </r>
  <r>
    <x v="367"/>
    <n v="14504"/>
    <n v="0"/>
    <n v="14504"/>
    <n v="290.08"/>
    <n v="217.56"/>
  </r>
  <r>
    <x v="368"/>
    <n v="14504"/>
    <n v="0"/>
    <n v="14504"/>
    <n v="290.08"/>
    <n v="217.56"/>
  </r>
  <r>
    <x v="369"/>
    <n v="14504"/>
    <n v="500"/>
    <n v="15004"/>
    <n v="300.08"/>
    <n v="225.06"/>
  </r>
  <r>
    <x v="370"/>
    <n v="14504"/>
    <n v="0"/>
    <n v="14504"/>
    <n v="290.08"/>
    <n v="217.56"/>
  </r>
  <r>
    <x v="371"/>
    <n v="14504"/>
    <n v="0"/>
    <n v="14504"/>
    <n v="290.08"/>
    <n v="217.56"/>
  </r>
  <r>
    <x v="372"/>
    <n v="14867"/>
    <n v="500"/>
    <n v="15367"/>
    <n v="307.33999999999997"/>
    <n v="230.51"/>
  </r>
  <r>
    <x v="373"/>
    <n v="14867"/>
    <n v="0"/>
    <n v="14867"/>
    <n v="297.33999999999997"/>
    <n v="223.01"/>
  </r>
  <r>
    <x v="374"/>
    <n v="14867"/>
    <n v="0"/>
    <n v="14867"/>
    <n v="297.33999999999997"/>
    <n v="223.01"/>
  </r>
  <r>
    <x v="375"/>
    <n v="14867"/>
    <n v="500"/>
    <n v="15367"/>
    <n v="307.33999999999997"/>
    <n v="230.51"/>
  </r>
  <r>
    <x v="376"/>
    <n v="14867"/>
    <n v="0"/>
    <n v="14867"/>
    <n v="297.33999999999997"/>
    <n v="223.01"/>
  </r>
  <r>
    <x v="377"/>
    <n v="14867"/>
    <n v="0"/>
    <n v="14867"/>
    <n v="297.33999999999997"/>
    <n v="223.01"/>
  </r>
  <r>
    <x v="378"/>
    <n v="14867"/>
    <n v="500"/>
    <n v="15367"/>
    <n v="307.33999999999997"/>
    <n v="230.51"/>
  </r>
  <r>
    <x v="379"/>
    <n v="14867"/>
    <n v="0"/>
    <n v="14867"/>
    <n v="297.33999999999997"/>
    <n v="223.01"/>
  </r>
  <r>
    <x v="380"/>
    <n v="14867"/>
    <n v="0"/>
    <n v="14867"/>
    <n v="297.33999999999997"/>
    <n v="223.01"/>
  </r>
  <r>
    <x v="381"/>
    <n v="14867"/>
    <n v="500"/>
    <n v="15367"/>
    <n v="307.33999999999997"/>
    <n v="230.51"/>
  </r>
  <r>
    <x v="382"/>
    <n v="14867"/>
    <n v="0"/>
    <n v="14867"/>
    <n v="297.33999999999997"/>
    <n v="223.01"/>
  </r>
  <r>
    <x v="383"/>
    <n v="14867"/>
    <n v="0"/>
    <n v="14867"/>
    <n v="297.33999999999997"/>
    <n v="223.01"/>
  </r>
  <r>
    <x v="384"/>
    <n v="15739"/>
    <n v="500"/>
    <n v="16239"/>
    <n v="324.77999999999997"/>
    <n v="243.59"/>
  </r>
  <r>
    <x v="385"/>
    <n v="15739"/>
    <n v="0"/>
    <n v="15739"/>
    <n v="314.77999999999997"/>
    <n v="236.09"/>
  </r>
  <r>
    <x v="386"/>
    <n v="15739"/>
    <n v="0"/>
    <n v="15739"/>
    <n v="314.77999999999997"/>
    <n v="236.09"/>
  </r>
  <r>
    <x v="387"/>
    <n v="15739"/>
    <n v="500"/>
    <n v="16239"/>
    <n v="324.77999999999997"/>
    <n v="243.59"/>
  </r>
  <r>
    <x v="388"/>
    <n v="15739"/>
    <n v="0"/>
    <n v="15739"/>
    <n v="314.77999999999997"/>
    <n v="236.09"/>
  </r>
  <r>
    <x v="389"/>
    <n v="15739"/>
    <n v="0"/>
    <n v="15739"/>
    <n v="314.77999999999997"/>
    <n v="236.09"/>
  </r>
  <r>
    <x v="390"/>
    <n v="15739"/>
    <n v="500"/>
    <n v="16239"/>
    <n v="324.77999999999997"/>
    <n v="243.59"/>
  </r>
  <r>
    <x v="391"/>
    <n v="15739"/>
    <n v="0"/>
    <n v="15739"/>
    <n v="314.77999999999997"/>
    <n v="236.09"/>
  </r>
  <r>
    <x v="392"/>
    <n v="15739"/>
    <n v="0"/>
    <n v="15739"/>
    <n v="314.77999999999997"/>
    <n v="236.09"/>
  </r>
  <r>
    <x v="393"/>
    <n v="15739"/>
    <n v="500"/>
    <n v="16239"/>
    <n v="324.77999999999997"/>
    <n v="243.59"/>
  </r>
  <r>
    <x v="394"/>
    <n v="15739"/>
    <n v="0"/>
    <n v="15739"/>
    <n v="314.77999999999997"/>
    <n v="236.09"/>
  </r>
  <r>
    <x v="395"/>
    <n v="15739"/>
    <n v="0"/>
    <n v="15739"/>
    <n v="314.77999999999997"/>
    <n v="236.09"/>
  </r>
  <r>
    <x v="396"/>
    <n v="16133"/>
    <n v="500"/>
    <n v="16633"/>
    <n v="332.66"/>
    <n v="249.5"/>
  </r>
  <r>
    <x v="397"/>
    <n v="16133"/>
    <n v="0"/>
    <n v="16133"/>
    <n v="322.66000000000003"/>
    <n v="242"/>
  </r>
  <r>
    <x v="398"/>
    <n v="16133"/>
    <n v="0"/>
    <n v="16133"/>
    <n v="322.66000000000003"/>
    <n v="242"/>
  </r>
  <r>
    <x v="399"/>
    <n v="16133"/>
    <n v="500"/>
    <n v="16633"/>
    <n v="332.66"/>
    <n v="249.5"/>
  </r>
  <r>
    <x v="400"/>
    <n v="16133"/>
    <n v="0"/>
    <n v="16133"/>
    <n v="322.66000000000003"/>
    <n v="242"/>
  </r>
  <r>
    <x v="401"/>
    <n v="16133"/>
    <n v="0"/>
    <n v="16133"/>
    <n v="322.66000000000003"/>
    <n v="242"/>
  </r>
  <r>
    <x v="402"/>
    <n v="16133"/>
    <n v="500"/>
    <n v="16633"/>
    <n v="332.66"/>
    <n v="249.5"/>
  </r>
  <r>
    <x v="403"/>
    <n v="16133"/>
    <n v="0"/>
    <n v="16133"/>
    <n v="322.66000000000003"/>
    <n v="242"/>
  </r>
  <r>
    <x v="404"/>
    <n v="16133"/>
    <n v="0"/>
    <n v="16133"/>
    <n v="322.66000000000003"/>
    <n v="242"/>
  </r>
  <r>
    <x v="405"/>
    <n v="16133"/>
    <n v="500"/>
    <n v="16633"/>
    <n v="332.66"/>
    <n v="249.5"/>
  </r>
  <r>
    <x v="406"/>
    <n v="16133"/>
    <n v="0"/>
    <n v="16133"/>
    <n v="322.66000000000003"/>
    <n v="242"/>
  </r>
  <r>
    <x v="407"/>
    <n v="16133"/>
    <n v="0"/>
    <n v="16133"/>
    <n v="322.66000000000003"/>
    <n v="242"/>
  </r>
  <r>
    <x v="408"/>
    <n v="16537"/>
    <n v="500"/>
    <n v="17037"/>
    <n v="340.74"/>
    <n v="255.56"/>
  </r>
  <r>
    <x v="409"/>
    <n v="16537"/>
    <n v="0"/>
    <n v="16537"/>
    <n v="330.74"/>
    <n v="248.06"/>
  </r>
  <r>
    <x v="410"/>
    <n v="16537"/>
    <n v="0"/>
    <n v="16537"/>
    <n v="330.74"/>
    <n v="248.06"/>
  </r>
  <r>
    <x v="411"/>
    <n v="16537"/>
    <n v="500"/>
    <n v="17037"/>
    <n v="340.74"/>
    <n v="255.56"/>
  </r>
  <r>
    <x v="412"/>
    <n v="16537"/>
    <n v="0"/>
    <n v="16537"/>
    <n v="330.74"/>
    <n v="248.06"/>
  </r>
  <r>
    <x v="413"/>
    <n v="16537"/>
    <n v="0"/>
    <n v="16537"/>
    <n v="330.74"/>
    <n v="248.06"/>
  </r>
  <r>
    <x v="414"/>
    <n v="16537"/>
    <n v="500"/>
    <n v="17037"/>
    <n v="340.74"/>
    <n v="255.56"/>
  </r>
  <r>
    <x v="415"/>
    <n v="16537"/>
    <n v="0"/>
    <n v="16537"/>
    <n v="330.74"/>
    <n v="248.06"/>
  </r>
  <r>
    <x v="416"/>
    <n v="16537"/>
    <n v="0"/>
    <n v="16537"/>
    <n v="330.74"/>
    <n v="248.06"/>
  </r>
  <r>
    <x v="417"/>
    <n v="16537"/>
    <n v="500"/>
    <n v="17037"/>
    <n v="340.74"/>
    <n v="255.56"/>
  </r>
  <r>
    <x v="418"/>
    <n v="16537"/>
    <n v="0"/>
    <n v="16537"/>
    <n v="330.74"/>
    <n v="248.06"/>
  </r>
  <r>
    <x v="419"/>
    <n v="16537"/>
    <n v="0"/>
    <n v="16537"/>
    <n v="330.74"/>
    <n v="248.06"/>
  </r>
  <r>
    <x v="420"/>
    <n v="16951"/>
    <n v="500"/>
    <n v="17451"/>
    <n v="349.02"/>
    <n v="261.77"/>
  </r>
  <r>
    <x v="421"/>
    <n v="16951"/>
    <n v="0"/>
    <n v="16951"/>
    <n v="339.02"/>
    <n v="254.27"/>
  </r>
  <r>
    <x v="422"/>
    <n v="16951"/>
    <n v="0"/>
    <n v="16951"/>
    <n v="339.02"/>
    <n v="254.27"/>
  </r>
  <r>
    <x v="423"/>
    <n v="16951"/>
    <n v="500"/>
    <n v="17451"/>
    <n v="349.02"/>
    <n v="261.77"/>
  </r>
  <r>
    <x v="424"/>
    <n v="16951"/>
    <n v="0"/>
    <n v="16951"/>
    <n v="339.02"/>
    <n v="254.27"/>
  </r>
  <r>
    <x v="425"/>
    <n v="16951"/>
    <n v="0"/>
    <n v="16951"/>
    <n v="339.02"/>
    <n v="254.27"/>
  </r>
  <r>
    <x v="426"/>
    <n v="16951"/>
    <n v="500"/>
    <n v="17451"/>
    <n v="349.02"/>
    <n v="261.77"/>
  </r>
  <r>
    <x v="427"/>
    <n v="16951"/>
    <n v="0"/>
    <n v="16951"/>
    <n v="339.02"/>
    <n v="254.27"/>
  </r>
  <r>
    <x v="428"/>
    <n v="16951"/>
    <n v="0"/>
    <n v="16951"/>
    <n v="339.02"/>
    <n v="254.27"/>
  </r>
  <r>
    <x v="429"/>
    <n v="16951"/>
    <n v="500"/>
    <n v="17451"/>
    <n v="349.02"/>
    <n v="261.77"/>
  </r>
  <r>
    <x v="430"/>
    <n v="16951"/>
    <n v="0"/>
    <n v="16951"/>
    <n v="339.02"/>
    <n v="254.27"/>
  </r>
  <r>
    <x v="431"/>
    <n v="16951"/>
    <n v="0"/>
    <n v="16951"/>
    <n v="339.02"/>
    <n v="254.27"/>
  </r>
  <r>
    <x v="432"/>
    <n v="17875"/>
    <n v="500"/>
    <n v="18375"/>
    <n v="367.5"/>
    <n v="275.63"/>
  </r>
  <r>
    <x v="433"/>
    <n v="17875"/>
    <n v="0"/>
    <n v="17875"/>
    <n v="357.5"/>
    <n v="268.13"/>
  </r>
  <r>
    <x v="434"/>
    <n v="17875"/>
    <n v="0"/>
    <n v="17875"/>
    <n v="357.5"/>
    <n v="268.13"/>
  </r>
  <r>
    <x v="435"/>
    <n v="17875"/>
    <n v="500"/>
    <n v="18375"/>
    <n v="367.5"/>
    <n v="275.63"/>
  </r>
  <r>
    <x v="436"/>
    <n v="17875"/>
    <n v="0"/>
    <n v="17875"/>
    <n v="357.5"/>
    <n v="268.13"/>
  </r>
  <r>
    <x v="437"/>
    <n v="17875"/>
    <n v="0"/>
    <n v="17875"/>
    <n v="357.5"/>
    <n v="268.13"/>
  </r>
  <r>
    <x v="438"/>
    <n v="17875"/>
    <n v="500"/>
    <n v="18375"/>
    <n v="367.5"/>
    <n v="275.63"/>
  </r>
  <r>
    <x v="439"/>
    <n v="17875"/>
    <n v="0"/>
    <n v="17875"/>
    <n v="357.5"/>
    <n v="268.13"/>
  </r>
  <r>
    <x v="440"/>
    <n v="17875"/>
    <n v="0"/>
    <n v="17875"/>
    <n v="357.5"/>
    <n v="268.13"/>
  </r>
  <r>
    <x v="441"/>
    <n v="17875"/>
    <n v="500"/>
    <n v="18375"/>
    <n v="367.5"/>
    <n v="275.63"/>
  </r>
  <r>
    <x v="442"/>
    <n v="17875"/>
    <n v="0"/>
    <n v="17875"/>
    <n v="357.5"/>
    <n v="268.13"/>
  </r>
  <r>
    <x v="443"/>
    <n v="17875"/>
    <n v="0"/>
    <n v="17875"/>
    <n v="357.5"/>
    <n v="268.13"/>
  </r>
  <r>
    <x v="444"/>
    <n v="18322"/>
    <n v="500"/>
    <n v="18822"/>
    <n v="376.44"/>
    <n v="282.33"/>
  </r>
  <r>
    <x v="445"/>
    <n v="18322"/>
    <n v="0"/>
    <n v="18322"/>
    <n v="366.44"/>
    <n v="274.83"/>
  </r>
  <r>
    <x v="446"/>
    <n v="18322"/>
    <n v="0"/>
    <n v="18322"/>
    <n v="366.44"/>
    <n v="274.83"/>
  </r>
  <r>
    <x v="447"/>
    <n v="18322"/>
    <n v="500"/>
    <n v="18822"/>
    <n v="376.44"/>
    <n v="282.33"/>
  </r>
  <r>
    <x v="448"/>
    <n v="18322"/>
    <n v="0"/>
    <n v="18322"/>
    <n v="366.44"/>
    <n v="274.83"/>
  </r>
  <r>
    <x v="449"/>
    <n v="18322"/>
    <n v="0"/>
    <n v="18322"/>
    <n v="366.44"/>
    <n v="274.83"/>
  </r>
  <r>
    <x v="450"/>
    <n v="18322"/>
    <n v="500"/>
    <n v="18822"/>
    <n v="376.44"/>
    <n v="282.33"/>
  </r>
  <r>
    <x v="451"/>
    <n v="18322"/>
    <n v="0"/>
    <n v="18322"/>
    <n v="366.44"/>
    <n v="274.83"/>
  </r>
  <r>
    <x v="452"/>
    <n v="18322"/>
    <n v="0"/>
    <n v="18322"/>
    <n v="366.44"/>
    <n v="274.83"/>
  </r>
  <r>
    <x v="453"/>
    <n v="18322"/>
    <n v="500"/>
    <n v="18822"/>
    <n v="376.44"/>
    <n v="282.33"/>
  </r>
  <r>
    <x v="454"/>
    <n v="18322"/>
    <n v="0"/>
    <n v="18322"/>
    <n v="366.44"/>
    <n v="274.83"/>
  </r>
  <r>
    <x v="455"/>
    <n v="18322"/>
    <n v="0"/>
    <n v="18322"/>
    <n v="366.44"/>
    <n v="274.83"/>
  </r>
  <r>
    <x v="456"/>
    <n v="18781"/>
    <n v="500"/>
    <n v="19281"/>
    <n v="385.62"/>
    <n v="289.22000000000003"/>
  </r>
  <r>
    <x v="457"/>
    <n v="18781"/>
    <n v="0"/>
    <n v="18781"/>
    <n v="375.62"/>
    <n v="281.72000000000003"/>
  </r>
  <r>
    <x v="458"/>
    <n v="18781"/>
    <n v="0"/>
    <n v="18781"/>
    <n v="375.62"/>
    <n v="281.72000000000003"/>
  </r>
  <r>
    <x v="459"/>
    <n v="18781"/>
    <n v="500"/>
    <n v="19281"/>
    <n v="385.62"/>
    <n v="289.22000000000003"/>
  </r>
  <r>
    <x v="460"/>
    <n v="18781"/>
    <n v="0"/>
    <n v="18781"/>
    <n v="375.62"/>
    <n v="281.72000000000003"/>
  </r>
  <r>
    <x v="461"/>
    <n v="18781"/>
    <n v="0"/>
    <n v="18781"/>
    <n v="375.62"/>
    <n v="281.72000000000003"/>
  </r>
  <r>
    <x v="462"/>
    <n v="18781"/>
    <n v="500"/>
    <n v="19281"/>
    <n v="385.62"/>
    <n v="289.22000000000003"/>
  </r>
  <r>
    <x v="463"/>
    <n v="18781"/>
    <n v="0"/>
    <n v="18781"/>
    <n v="375.62"/>
    <n v="281.72000000000003"/>
  </r>
  <r>
    <x v="464"/>
    <n v="18781"/>
    <n v="0"/>
    <n v="18781"/>
    <n v="375.62"/>
    <n v="281.72000000000003"/>
  </r>
  <r>
    <x v="465"/>
    <n v="18781"/>
    <n v="500"/>
    <n v="19281"/>
    <n v="385.62"/>
    <n v="289.22000000000003"/>
  </r>
  <r>
    <x v="466"/>
    <n v="18781"/>
    <n v="0"/>
    <n v="18781"/>
    <n v="375.62"/>
    <n v="281.72000000000003"/>
  </r>
  <r>
    <x v="467"/>
    <n v="18781"/>
    <n v="0"/>
    <n v="18781"/>
    <n v="375.62"/>
    <n v="281.72000000000003"/>
  </r>
  <r>
    <x v="468"/>
    <n v="19251"/>
    <n v="500"/>
    <n v="19751"/>
    <n v="395.02"/>
    <n v="296.27"/>
  </r>
  <r>
    <x v="469"/>
    <n v="19251"/>
    <n v="0"/>
    <n v="19251"/>
    <n v="385.02"/>
    <n v="288.77"/>
  </r>
  <r>
    <x v="470"/>
    <n v="19251"/>
    <n v="0"/>
    <n v="19251"/>
    <n v="385.02"/>
    <n v="288.77"/>
  </r>
  <r>
    <x v="471"/>
    <n v="19251"/>
    <n v="500"/>
    <n v="19751"/>
    <n v="395.02"/>
    <n v="296.27"/>
  </r>
  <r>
    <x v="472"/>
    <n v="19251"/>
    <n v="0"/>
    <n v="19251"/>
    <n v="385.02"/>
    <n v="288.77"/>
  </r>
  <r>
    <x v="473"/>
    <n v="19251"/>
    <n v="0"/>
    <n v="19251"/>
    <n v="385.02"/>
    <n v="288.77"/>
  </r>
  <r>
    <x v="474"/>
    <n v="19251"/>
    <n v="500"/>
    <n v="19751"/>
    <n v="395.02"/>
    <n v="296.27"/>
  </r>
  <r>
    <x v="475"/>
    <n v="19251"/>
    <n v="0"/>
    <n v="19251"/>
    <n v="385.02"/>
    <n v="288.77"/>
  </r>
  <r>
    <x v="476"/>
    <n v="19251"/>
    <n v="0"/>
    <n v="19251"/>
    <n v="385.02"/>
    <n v="288.77"/>
  </r>
  <r>
    <x v="477"/>
    <n v="19251"/>
    <n v="500"/>
    <n v="19751"/>
    <n v="395.02"/>
    <n v="296.27"/>
  </r>
  <r>
    <x v="478"/>
    <n v="19251"/>
    <n v="0"/>
    <n v="19251"/>
    <n v="385.02"/>
    <n v="288.77"/>
  </r>
  <r>
    <x v="479"/>
    <n v="19251"/>
    <n v="0"/>
    <n v="19251"/>
    <n v="385.02"/>
    <n v="288.77"/>
  </r>
  <r>
    <x v="480"/>
    <n v="20233"/>
    <n v="500"/>
    <n v="20733"/>
    <n v="414.66"/>
    <n v="311"/>
  </r>
  <r>
    <x v="481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x v="0"/>
    <n v="4500"/>
    <n v="0"/>
    <n v="4500"/>
    <n v="90"/>
    <n v="67.5"/>
    <n v="0"/>
    <n v="157.5"/>
    <n v="407.5"/>
  </r>
  <r>
    <x v="1"/>
    <n v="4500"/>
    <n v="0"/>
    <n v="4500"/>
    <n v="90"/>
    <n v="67.5"/>
    <n v="0"/>
    <n v="157.5"/>
    <n v="565"/>
  </r>
  <r>
    <x v="2"/>
    <n v="4500"/>
    <n v="0"/>
    <n v="4500"/>
    <n v="90"/>
    <n v="67.5"/>
    <n v="0"/>
    <n v="157.5"/>
    <n v="722.5"/>
  </r>
  <r>
    <x v="3"/>
    <n v="4500"/>
    <n v="500"/>
    <n v="5000"/>
    <n v="100"/>
    <n v="75"/>
    <n v="0"/>
    <n v="175"/>
    <n v="897.5"/>
  </r>
  <r>
    <x v="4"/>
    <n v="4500"/>
    <n v="0"/>
    <n v="4500"/>
    <n v="90"/>
    <n v="67.5"/>
    <n v="0"/>
    <n v="157.5"/>
    <n v="1055"/>
  </r>
  <r>
    <x v="5"/>
    <n v="4500"/>
    <n v="0"/>
    <n v="4500"/>
    <n v="90"/>
    <n v="67.5"/>
    <n v="0"/>
    <n v="157.5"/>
    <n v="1212.5"/>
  </r>
  <r>
    <x v="6"/>
    <n v="4500"/>
    <n v="500"/>
    <n v="5000"/>
    <n v="100"/>
    <n v="75"/>
    <n v="0"/>
    <n v="175"/>
    <n v="1387.5"/>
  </r>
  <r>
    <x v="7"/>
    <n v="4500"/>
    <n v="0"/>
    <n v="4500"/>
    <n v="90"/>
    <n v="67.5"/>
    <n v="0"/>
    <n v="157.5"/>
    <n v="1545"/>
  </r>
  <r>
    <x v="8"/>
    <n v="4500"/>
    <n v="0"/>
    <n v="4500"/>
    <n v="90"/>
    <n v="67.5"/>
    <n v="0"/>
    <n v="157.5"/>
    <n v="1702.5"/>
  </r>
  <r>
    <x v="9"/>
    <n v="4500"/>
    <n v="500"/>
    <n v="5000"/>
    <n v="100"/>
    <n v="75"/>
    <n v="0"/>
    <n v="175"/>
    <n v="1877.5"/>
  </r>
  <r>
    <x v="10"/>
    <n v="4500"/>
    <n v="0"/>
    <n v="4500"/>
    <n v="90"/>
    <n v="67.5"/>
    <n v="0"/>
    <n v="157.5"/>
    <n v="2035"/>
  </r>
  <r>
    <x v="11"/>
    <n v="4500"/>
    <n v="0"/>
    <n v="4500"/>
    <n v="90"/>
    <n v="67.5"/>
    <n v="240"/>
    <n v="157.5"/>
    <n v="2432.5"/>
  </r>
  <r>
    <x v="12"/>
    <n v="4613"/>
    <n v="500"/>
    <n v="5113"/>
    <n v="102.26"/>
    <n v="76.7"/>
    <n v="0"/>
    <n v="178.96"/>
    <n v="2611.46"/>
  </r>
  <r>
    <x v="13"/>
    <n v="4613"/>
    <n v="0"/>
    <n v="4613"/>
    <n v="92.26"/>
    <n v="69.2"/>
    <n v="0"/>
    <n v="161.46"/>
    <n v="2772.92"/>
  </r>
  <r>
    <x v="14"/>
    <n v="4613"/>
    <n v="0"/>
    <n v="4613"/>
    <n v="92.26"/>
    <n v="69.2"/>
    <n v="0"/>
    <n v="161.46"/>
    <n v="2934.38"/>
  </r>
  <r>
    <x v="15"/>
    <n v="4613"/>
    <n v="500"/>
    <n v="5113"/>
    <n v="102.26"/>
    <n v="76.7"/>
    <n v="0"/>
    <n v="178.96"/>
    <n v="3113.34"/>
  </r>
  <r>
    <x v="16"/>
    <n v="4613"/>
    <n v="0"/>
    <n v="4613"/>
    <n v="92.26"/>
    <n v="69.2"/>
    <n v="0"/>
    <n v="161.46"/>
    <n v="3274.8"/>
  </r>
  <r>
    <x v="17"/>
    <n v="4613"/>
    <n v="0"/>
    <n v="4613"/>
    <n v="92.26"/>
    <n v="69.2"/>
    <n v="0"/>
    <n v="161.46"/>
    <n v="3436.26"/>
  </r>
  <r>
    <x v="18"/>
    <n v="4613"/>
    <n v="500"/>
    <n v="5113"/>
    <n v="102.26"/>
    <n v="76.7"/>
    <n v="0"/>
    <n v="178.96"/>
    <n v="3615.2200000000003"/>
  </r>
  <r>
    <x v="19"/>
    <n v="4613"/>
    <n v="0"/>
    <n v="4613"/>
    <n v="92.26"/>
    <n v="69.2"/>
    <n v="0"/>
    <n v="161.46"/>
    <n v="3776.6800000000003"/>
  </r>
  <r>
    <x v="20"/>
    <n v="4613"/>
    <n v="0"/>
    <n v="4613"/>
    <n v="92.26"/>
    <n v="69.2"/>
    <n v="0"/>
    <n v="161.46"/>
    <n v="3938.1400000000003"/>
  </r>
  <r>
    <x v="21"/>
    <n v="4613"/>
    <n v="500"/>
    <n v="5113"/>
    <n v="102.26"/>
    <n v="76.7"/>
    <n v="0"/>
    <n v="178.96"/>
    <n v="4117.1000000000004"/>
  </r>
  <r>
    <x v="22"/>
    <n v="4613"/>
    <n v="0"/>
    <n v="4613"/>
    <n v="92.26"/>
    <n v="69.2"/>
    <n v="0"/>
    <n v="161.46"/>
    <n v="4278.5600000000004"/>
  </r>
  <r>
    <x v="23"/>
    <n v="4613"/>
    <n v="0"/>
    <n v="4613"/>
    <n v="92.26"/>
    <n v="69.2"/>
    <n v="240"/>
    <n v="161.46"/>
    <n v="4680.0200000000004"/>
  </r>
  <r>
    <x v="24"/>
    <n v="4729"/>
    <n v="500"/>
    <n v="5229"/>
    <n v="104.58"/>
    <n v="78.44"/>
    <n v="0"/>
    <n v="183.01999999999998"/>
    <n v="4863.04"/>
  </r>
  <r>
    <x v="25"/>
    <n v="4729"/>
    <n v="0"/>
    <n v="4729"/>
    <n v="94.58"/>
    <n v="70.94"/>
    <n v="0"/>
    <n v="165.51999999999998"/>
    <n v="5028.5599999999995"/>
  </r>
  <r>
    <x v="26"/>
    <n v="4729"/>
    <n v="0"/>
    <n v="4729"/>
    <n v="94.58"/>
    <n v="70.94"/>
    <n v="0"/>
    <n v="165.51999999999998"/>
    <n v="5194.079999999999"/>
  </r>
  <r>
    <x v="27"/>
    <n v="4729"/>
    <n v="500"/>
    <n v="5229"/>
    <n v="104.58"/>
    <n v="78.44"/>
    <n v="0"/>
    <n v="183.01999999999998"/>
    <n v="5377.0999999999985"/>
  </r>
  <r>
    <x v="28"/>
    <n v="4729"/>
    <n v="0"/>
    <n v="4729"/>
    <n v="94.58"/>
    <n v="70.94"/>
    <n v="0"/>
    <n v="165.51999999999998"/>
    <n v="5542.6199999999981"/>
  </r>
  <r>
    <x v="29"/>
    <n v="4729"/>
    <n v="0"/>
    <n v="4729"/>
    <n v="94.58"/>
    <n v="70.94"/>
    <n v="0"/>
    <n v="165.51999999999998"/>
    <n v="5708.1399999999976"/>
  </r>
  <r>
    <x v="30"/>
    <n v="4729"/>
    <n v="500"/>
    <n v="5229"/>
    <n v="104.58"/>
    <n v="78.44"/>
    <n v="0"/>
    <n v="183.01999999999998"/>
    <n v="5891.1599999999971"/>
  </r>
  <r>
    <x v="31"/>
    <n v="4729"/>
    <n v="0"/>
    <n v="4729"/>
    <n v="94.58"/>
    <n v="70.94"/>
    <n v="0"/>
    <n v="165.51999999999998"/>
    <n v="6056.6799999999967"/>
  </r>
  <r>
    <x v="32"/>
    <n v="4729"/>
    <n v="0"/>
    <n v="4729"/>
    <n v="94.58"/>
    <n v="70.94"/>
    <n v="0"/>
    <n v="165.51999999999998"/>
    <n v="6222.1999999999962"/>
  </r>
  <r>
    <x v="33"/>
    <n v="4729"/>
    <n v="500"/>
    <n v="5229"/>
    <n v="104.58"/>
    <n v="78.44"/>
    <n v="0"/>
    <n v="183.01999999999998"/>
    <n v="6405.2199999999957"/>
  </r>
  <r>
    <x v="34"/>
    <n v="4729"/>
    <n v="0"/>
    <n v="4729"/>
    <n v="94.58"/>
    <n v="70.94"/>
    <n v="0"/>
    <n v="165.51999999999998"/>
    <n v="6570.7399999999952"/>
  </r>
  <r>
    <x v="35"/>
    <n v="4729"/>
    <n v="0"/>
    <n v="4729"/>
    <n v="94.58"/>
    <n v="70.94"/>
    <n v="240"/>
    <n v="165.51999999999998"/>
    <n v="6976.2599999999948"/>
  </r>
  <r>
    <x v="36"/>
    <n v="4848"/>
    <n v="500"/>
    <n v="5348"/>
    <n v="106.96"/>
    <n v="80.22"/>
    <n v="0"/>
    <n v="187.18"/>
    <n v="7163.4399999999951"/>
  </r>
  <r>
    <x v="37"/>
    <n v="4848"/>
    <n v="0"/>
    <n v="4848"/>
    <n v="96.96"/>
    <n v="72.72"/>
    <n v="0"/>
    <n v="169.68"/>
    <n v="7333.1199999999953"/>
  </r>
  <r>
    <x v="38"/>
    <n v="4848"/>
    <n v="0"/>
    <n v="4848"/>
    <n v="96.96"/>
    <n v="72.72"/>
    <n v="0"/>
    <n v="169.68"/>
    <n v="7502.7999999999956"/>
  </r>
  <r>
    <x v="39"/>
    <n v="4848"/>
    <n v="500"/>
    <n v="5348"/>
    <n v="106.96"/>
    <n v="80.22"/>
    <n v="0"/>
    <n v="187.18"/>
    <n v="7689.9799999999959"/>
  </r>
  <r>
    <x v="40"/>
    <n v="4848"/>
    <n v="0"/>
    <n v="4848"/>
    <n v="96.96"/>
    <n v="72.72"/>
    <n v="0"/>
    <n v="169.68"/>
    <n v="7859.6599999999962"/>
  </r>
  <r>
    <x v="41"/>
    <n v="4848"/>
    <n v="0"/>
    <n v="4848"/>
    <n v="96.96"/>
    <n v="72.72"/>
    <n v="0"/>
    <n v="169.68"/>
    <n v="8029.3399999999965"/>
  </r>
  <r>
    <x v="42"/>
    <n v="4848"/>
    <n v="500"/>
    <n v="5348"/>
    <n v="106.96"/>
    <n v="80.22"/>
    <n v="0"/>
    <n v="187.18"/>
    <n v="8216.5199999999968"/>
  </r>
  <r>
    <x v="43"/>
    <n v="4848"/>
    <n v="0"/>
    <n v="4848"/>
    <n v="96.96"/>
    <n v="72.72"/>
    <n v="0"/>
    <n v="169.68"/>
    <n v="8386.1999999999953"/>
  </r>
  <r>
    <x v="44"/>
    <n v="4848"/>
    <n v="0"/>
    <n v="4848"/>
    <n v="96.96"/>
    <n v="72.72"/>
    <n v="0"/>
    <n v="169.68"/>
    <n v="8555.8799999999937"/>
  </r>
  <r>
    <x v="45"/>
    <n v="4848"/>
    <n v="500"/>
    <n v="5348"/>
    <n v="106.96"/>
    <n v="80.22"/>
    <n v="0"/>
    <n v="187.18"/>
    <n v="8743.0599999999922"/>
  </r>
  <r>
    <x v="46"/>
    <n v="4848"/>
    <n v="0"/>
    <n v="4848"/>
    <n v="96.96"/>
    <n v="72.72"/>
    <n v="0"/>
    <n v="169.68"/>
    <n v="8912.7399999999907"/>
  </r>
  <r>
    <x v="47"/>
    <n v="4848"/>
    <n v="0"/>
    <n v="4848"/>
    <n v="96.96"/>
    <n v="72.72"/>
    <n v="240"/>
    <n v="169.68"/>
    <n v="9322.4199999999892"/>
  </r>
  <r>
    <x v="48"/>
    <n v="5470"/>
    <n v="500"/>
    <n v="5970"/>
    <n v="119.4"/>
    <n v="89.55"/>
    <n v="0"/>
    <n v="208.95"/>
    <n v="9531.3699999999881"/>
  </r>
  <r>
    <x v="49"/>
    <n v="5470"/>
    <n v="0"/>
    <n v="5470"/>
    <n v="109.4"/>
    <n v="82.05"/>
    <n v="0"/>
    <n v="191.45"/>
    <n v="9722.819999999987"/>
  </r>
  <r>
    <x v="50"/>
    <n v="5470"/>
    <n v="0"/>
    <n v="5470"/>
    <n v="109.4"/>
    <n v="82.05"/>
    <n v="0"/>
    <n v="191.45"/>
    <n v="9914.2699999999859"/>
  </r>
  <r>
    <x v="51"/>
    <n v="5470"/>
    <n v="500"/>
    <n v="5970"/>
    <n v="119.4"/>
    <n v="89.55"/>
    <n v="0"/>
    <n v="208.95"/>
    <n v="10123.219999999985"/>
  </r>
  <r>
    <x v="52"/>
    <n v="5470"/>
    <n v="0"/>
    <n v="5470"/>
    <n v="109.4"/>
    <n v="82.05"/>
    <n v="0"/>
    <n v="191.45"/>
    <n v="10314.669999999984"/>
  </r>
  <r>
    <x v="53"/>
    <n v="5470"/>
    <n v="0"/>
    <n v="5470"/>
    <n v="109.4"/>
    <n v="82.05"/>
    <n v="0"/>
    <n v="191.45"/>
    <n v="10506.119999999983"/>
  </r>
  <r>
    <x v="54"/>
    <n v="5470"/>
    <n v="500"/>
    <n v="5970"/>
    <n v="119.4"/>
    <n v="89.55"/>
    <n v="0"/>
    <n v="208.95"/>
    <n v="10715.069999999982"/>
  </r>
  <r>
    <x v="55"/>
    <n v="5470"/>
    <n v="0"/>
    <n v="5470"/>
    <n v="109.4"/>
    <n v="82.05"/>
    <n v="0"/>
    <n v="191.45"/>
    <n v="10906.51999999998"/>
  </r>
  <r>
    <x v="56"/>
    <n v="5470"/>
    <n v="0"/>
    <n v="5470"/>
    <n v="109.4"/>
    <n v="82.05"/>
    <n v="0"/>
    <n v="191.45"/>
    <n v="11097.969999999979"/>
  </r>
  <r>
    <x v="57"/>
    <n v="5470"/>
    <n v="500"/>
    <n v="5970"/>
    <n v="119.4"/>
    <n v="89.55"/>
    <n v="0"/>
    <n v="208.95"/>
    <n v="11306.919999999978"/>
  </r>
  <r>
    <x v="58"/>
    <n v="5470"/>
    <n v="0"/>
    <n v="5470"/>
    <n v="109.4"/>
    <n v="82.05"/>
    <n v="0"/>
    <n v="191.45"/>
    <n v="11498.369999999977"/>
  </r>
  <r>
    <x v="59"/>
    <n v="5470"/>
    <n v="0"/>
    <n v="5470"/>
    <n v="109.4"/>
    <n v="82.05"/>
    <n v="240"/>
    <n v="191.45"/>
    <n v="11929.819999999976"/>
  </r>
  <r>
    <x v="60"/>
    <n v="5607"/>
    <n v="500"/>
    <n v="6107"/>
    <n v="122.14"/>
    <n v="91.61"/>
    <n v="0"/>
    <n v="213.75"/>
    <n v="12143.569999999976"/>
  </r>
  <r>
    <x v="61"/>
    <n v="5607"/>
    <n v="0"/>
    <n v="5607"/>
    <n v="112.14"/>
    <n v="84.11"/>
    <n v="0"/>
    <n v="196.25"/>
    <n v="12339.819999999976"/>
  </r>
  <r>
    <x v="62"/>
    <n v="5607"/>
    <n v="0"/>
    <n v="5607"/>
    <n v="112.14"/>
    <n v="84.11"/>
    <n v="0"/>
    <n v="196.25"/>
    <n v="12536.069999999976"/>
  </r>
  <r>
    <x v="63"/>
    <n v="5607"/>
    <n v="500"/>
    <n v="6107"/>
    <n v="122.14"/>
    <n v="91.61"/>
    <n v="0"/>
    <n v="213.75"/>
    <n v="12749.819999999976"/>
  </r>
  <r>
    <x v="64"/>
    <n v="5607"/>
    <n v="0"/>
    <n v="5607"/>
    <n v="112.14"/>
    <n v="84.11"/>
    <n v="0"/>
    <n v="196.25"/>
    <n v="12946.069999999976"/>
  </r>
  <r>
    <x v="65"/>
    <n v="5607"/>
    <n v="0"/>
    <n v="5607"/>
    <n v="112.14"/>
    <n v="84.11"/>
    <n v="0"/>
    <n v="196.25"/>
    <n v="13142.319999999976"/>
  </r>
  <r>
    <x v="66"/>
    <n v="5607"/>
    <n v="500"/>
    <n v="6107"/>
    <n v="122.14"/>
    <n v="91.61"/>
    <n v="0"/>
    <n v="213.75"/>
    <n v="13356.069999999976"/>
  </r>
  <r>
    <x v="67"/>
    <n v="5607"/>
    <n v="0"/>
    <n v="5607"/>
    <n v="112.14"/>
    <n v="84.11"/>
    <n v="0"/>
    <n v="196.25"/>
    <n v="13552.319999999976"/>
  </r>
  <r>
    <x v="68"/>
    <n v="5607"/>
    <n v="0"/>
    <n v="5607"/>
    <n v="112.14"/>
    <n v="84.11"/>
    <n v="0"/>
    <n v="196.25"/>
    <n v="13748.569999999976"/>
  </r>
  <r>
    <x v="69"/>
    <n v="5607"/>
    <n v="500"/>
    <n v="6107"/>
    <n v="122.14"/>
    <n v="91.61"/>
    <n v="0"/>
    <n v="213.75"/>
    <n v="13962.319999999976"/>
  </r>
  <r>
    <x v="70"/>
    <n v="5607"/>
    <n v="0"/>
    <n v="5607"/>
    <n v="112.14"/>
    <n v="84.11"/>
    <n v="0"/>
    <n v="196.25"/>
    <n v="14158.569999999976"/>
  </r>
  <r>
    <x v="71"/>
    <n v="5607"/>
    <n v="0"/>
    <n v="5607"/>
    <n v="112.14"/>
    <n v="84.11"/>
    <n v="240"/>
    <n v="196.25"/>
    <n v="14594.819999999976"/>
  </r>
  <r>
    <x v="72"/>
    <n v="5748"/>
    <n v="500"/>
    <n v="6248"/>
    <n v="124.96"/>
    <n v="93.72"/>
    <n v="0"/>
    <n v="218.68"/>
    <n v="14813.499999999975"/>
  </r>
  <r>
    <x v="73"/>
    <n v="5748"/>
    <n v="0"/>
    <n v="5748"/>
    <n v="114.96"/>
    <n v="86.22"/>
    <n v="0"/>
    <n v="201.18"/>
    <n v="15014.679999999973"/>
  </r>
  <r>
    <x v="74"/>
    <n v="5748"/>
    <n v="0"/>
    <n v="5748"/>
    <n v="114.96"/>
    <n v="86.22"/>
    <n v="0"/>
    <n v="201.18"/>
    <n v="15215.859999999971"/>
  </r>
  <r>
    <x v="75"/>
    <n v="5748"/>
    <n v="500"/>
    <n v="6248"/>
    <n v="124.96"/>
    <n v="93.72"/>
    <n v="0"/>
    <n v="218.68"/>
    <n v="15434.53999999997"/>
  </r>
  <r>
    <x v="76"/>
    <n v="5748"/>
    <n v="0"/>
    <n v="5748"/>
    <n v="114.96"/>
    <n v="86.22"/>
    <n v="0"/>
    <n v="201.18"/>
    <n v="15635.719999999968"/>
  </r>
  <r>
    <x v="77"/>
    <n v="5748"/>
    <n v="0"/>
    <n v="5748"/>
    <n v="114.96"/>
    <n v="86.22"/>
    <n v="0"/>
    <n v="201.18"/>
    <n v="15836.899999999967"/>
  </r>
  <r>
    <x v="78"/>
    <n v="5748"/>
    <n v="500"/>
    <n v="6248"/>
    <n v="124.96"/>
    <n v="93.72"/>
    <n v="0"/>
    <n v="218.68"/>
    <n v="16055.579999999965"/>
  </r>
  <r>
    <x v="79"/>
    <n v="5748"/>
    <n v="0"/>
    <n v="5748"/>
    <n v="114.96"/>
    <n v="86.22"/>
    <n v="0"/>
    <n v="201.18"/>
    <n v="16256.759999999964"/>
  </r>
  <r>
    <x v="80"/>
    <n v="5748"/>
    <n v="0"/>
    <n v="5748"/>
    <n v="114.96"/>
    <n v="86.22"/>
    <n v="0"/>
    <n v="201.18"/>
    <n v="16457.939999999962"/>
  </r>
  <r>
    <x v="81"/>
    <n v="5748"/>
    <n v="500"/>
    <n v="6248"/>
    <n v="124.96"/>
    <n v="93.72"/>
    <n v="0"/>
    <n v="218.68"/>
    <n v="16676.619999999963"/>
  </r>
  <r>
    <x v="82"/>
    <n v="5748"/>
    <n v="0"/>
    <n v="5748"/>
    <n v="114.96"/>
    <n v="86.22"/>
    <n v="0"/>
    <n v="201.18"/>
    <n v="16877.799999999963"/>
  </r>
  <r>
    <x v="83"/>
    <n v="5748"/>
    <n v="0"/>
    <n v="5748"/>
    <n v="114.96"/>
    <n v="86.22"/>
    <n v="240"/>
    <n v="201.18"/>
    <n v="17318.979999999963"/>
  </r>
  <r>
    <x v="84"/>
    <n v="5892"/>
    <n v="500"/>
    <n v="6392"/>
    <n v="127.84"/>
    <n v="95.88"/>
    <n v="0"/>
    <n v="223.72"/>
    <n v="17542.699999999964"/>
  </r>
  <r>
    <x v="85"/>
    <n v="5892"/>
    <n v="0"/>
    <n v="5892"/>
    <n v="117.84"/>
    <n v="88.38"/>
    <n v="0"/>
    <n v="206.22"/>
    <n v="17748.919999999966"/>
  </r>
  <r>
    <x v="86"/>
    <n v="5892"/>
    <n v="0"/>
    <n v="5892"/>
    <n v="117.84"/>
    <n v="88.38"/>
    <n v="0"/>
    <n v="206.22"/>
    <n v="17955.139999999967"/>
  </r>
  <r>
    <x v="87"/>
    <n v="5892"/>
    <n v="500"/>
    <n v="6392"/>
    <n v="127.84"/>
    <n v="95.88"/>
    <n v="0"/>
    <n v="223.72"/>
    <n v="18178.859999999968"/>
  </r>
  <r>
    <x v="88"/>
    <n v="5892"/>
    <n v="0"/>
    <n v="5892"/>
    <n v="117.84"/>
    <n v="88.38"/>
    <n v="0"/>
    <n v="206.22"/>
    <n v="18385.079999999969"/>
  </r>
  <r>
    <x v="89"/>
    <n v="5892"/>
    <n v="0"/>
    <n v="5892"/>
    <n v="117.84"/>
    <n v="88.38"/>
    <n v="0"/>
    <n v="206.22"/>
    <n v="18591.29999999997"/>
  </r>
  <r>
    <x v="90"/>
    <n v="5892"/>
    <n v="500"/>
    <n v="6392"/>
    <n v="127.84"/>
    <n v="95.88"/>
    <n v="0"/>
    <n v="223.72"/>
    <n v="18815.019999999971"/>
  </r>
  <r>
    <x v="91"/>
    <n v="5892"/>
    <n v="0"/>
    <n v="5892"/>
    <n v="117.84"/>
    <n v="88.38"/>
    <n v="0"/>
    <n v="206.22"/>
    <n v="19021.239999999972"/>
  </r>
  <r>
    <x v="92"/>
    <n v="5892"/>
    <n v="0"/>
    <n v="5892"/>
    <n v="117.84"/>
    <n v="88.38"/>
    <n v="0"/>
    <n v="206.22"/>
    <n v="19227.459999999974"/>
  </r>
  <r>
    <x v="93"/>
    <n v="5892"/>
    <n v="500"/>
    <n v="6392"/>
    <n v="127.84"/>
    <n v="95.88"/>
    <n v="0"/>
    <n v="223.72"/>
    <n v="19451.179999999975"/>
  </r>
  <r>
    <x v="94"/>
    <n v="5892"/>
    <n v="0"/>
    <n v="5892"/>
    <n v="117.84"/>
    <n v="88.38"/>
    <n v="0"/>
    <n v="206.22"/>
    <n v="19657.399999999976"/>
  </r>
  <r>
    <x v="95"/>
    <n v="5892"/>
    <n v="0"/>
    <n v="5892"/>
    <n v="117.84"/>
    <n v="88.38"/>
    <n v="240"/>
    <n v="206.22"/>
    <n v="20103.619999999977"/>
  </r>
  <r>
    <x v="96"/>
    <n v="6540"/>
    <n v="500"/>
    <n v="7040"/>
    <n v="140.80000000000001"/>
    <n v="105.6"/>
    <n v="0"/>
    <n v="246.4"/>
    <n v="20350.019999999975"/>
  </r>
  <r>
    <x v="97"/>
    <n v="6540"/>
    <n v="0"/>
    <n v="6540"/>
    <n v="130.80000000000001"/>
    <n v="98.1"/>
    <n v="0"/>
    <n v="228.9"/>
    <n v="20578.919999999973"/>
  </r>
  <r>
    <x v="98"/>
    <n v="6540"/>
    <n v="0"/>
    <n v="6540"/>
    <n v="130.80000000000001"/>
    <n v="98.1"/>
    <n v="0"/>
    <n v="228.9"/>
    <n v="20807.819999999971"/>
  </r>
  <r>
    <x v="99"/>
    <n v="6540"/>
    <n v="500"/>
    <n v="7040"/>
    <n v="140.80000000000001"/>
    <n v="105.6"/>
    <n v="0"/>
    <n v="246.4"/>
    <n v="21054.219999999968"/>
  </r>
  <r>
    <x v="100"/>
    <n v="6540"/>
    <n v="0"/>
    <n v="6540"/>
    <n v="130.80000000000001"/>
    <n v="98.1"/>
    <n v="0"/>
    <n v="228.9"/>
    <n v="21283.119999999966"/>
  </r>
  <r>
    <x v="101"/>
    <n v="6540"/>
    <n v="0"/>
    <n v="6540"/>
    <n v="130.80000000000001"/>
    <n v="98.1"/>
    <n v="0"/>
    <n v="228.9"/>
    <n v="21512.019999999964"/>
  </r>
  <r>
    <x v="102"/>
    <n v="6540"/>
    <n v="500"/>
    <n v="7040"/>
    <n v="140.80000000000001"/>
    <n v="105.6"/>
    <n v="0"/>
    <n v="246.4"/>
    <n v="21758.419999999962"/>
  </r>
  <r>
    <x v="103"/>
    <n v="6540"/>
    <n v="0"/>
    <n v="6540"/>
    <n v="130.80000000000001"/>
    <n v="98.1"/>
    <n v="0"/>
    <n v="228.9"/>
    <n v="21987.31999999996"/>
  </r>
  <r>
    <x v="104"/>
    <n v="6540"/>
    <n v="0"/>
    <n v="6540"/>
    <n v="130.80000000000001"/>
    <n v="98.1"/>
    <n v="0"/>
    <n v="228.9"/>
    <n v="22216.219999999958"/>
  </r>
  <r>
    <x v="105"/>
    <n v="6540"/>
    <n v="500"/>
    <n v="7040"/>
    <n v="140.80000000000001"/>
    <n v="105.6"/>
    <n v="0"/>
    <n v="246.4"/>
    <n v="22462.619999999955"/>
  </r>
  <r>
    <x v="106"/>
    <n v="6540"/>
    <n v="0"/>
    <n v="6540"/>
    <n v="130.80000000000001"/>
    <n v="98.1"/>
    <n v="0"/>
    <n v="228.9"/>
    <n v="22691.519999999953"/>
  </r>
  <r>
    <x v="107"/>
    <n v="6540"/>
    <n v="0"/>
    <n v="6540"/>
    <n v="130.80000000000001"/>
    <n v="98.1"/>
    <n v="240"/>
    <n v="228.9"/>
    <n v="23160.419999999951"/>
  </r>
  <r>
    <x v="108"/>
    <n v="6704"/>
    <n v="500"/>
    <n v="7204"/>
    <n v="144.08000000000001"/>
    <n v="108.06"/>
    <n v="0"/>
    <n v="252.14000000000001"/>
    <n v="23412.559999999954"/>
  </r>
  <r>
    <x v="109"/>
    <n v="6704"/>
    <n v="0"/>
    <n v="6704"/>
    <n v="134.08000000000001"/>
    <n v="100.56"/>
    <n v="0"/>
    <n v="234.64000000000001"/>
    <n v="23647.199999999957"/>
  </r>
  <r>
    <x v="110"/>
    <n v="6704"/>
    <n v="0"/>
    <n v="6704"/>
    <n v="134.08000000000001"/>
    <n v="100.56"/>
    <n v="0"/>
    <n v="234.64000000000001"/>
    <n v="23881.83999999996"/>
  </r>
  <r>
    <x v="111"/>
    <n v="6704"/>
    <n v="500"/>
    <n v="7204"/>
    <n v="144.08000000000001"/>
    <n v="108.06"/>
    <n v="0"/>
    <n v="252.14000000000001"/>
    <n v="24133.979999999963"/>
  </r>
  <r>
    <x v="112"/>
    <n v="6704"/>
    <n v="0"/>
    <n v="6704"/>
    <n v="134.08000000000001"/>
    <n v="100.56"/>
    <n v="0"/>
    <n v="234.64000000000001"/>
    <n v="24368.619999999966"/>
  </r>
  <r>
    <x v="113"/>
    <n v="6704"/>
    <n v="0"/>
    <n v="6704"/>
    <n v="134.08000000000001"/>
    <n v="100.56"/>
    <n v="0"/>
    <n v="234.64000000000001"/>
    <n v="24603.259999999969"/>
  </r>
  <r>
    <x v="114"/>
    <n v="6704"/>
    <n v="500"/>
    <n v="7204"/>
    <n v="144.08000000000001"/>
    <n v="108.06"/>
    <n v="0"/>
    <n v="252.14000000000001"/>
    <n v="24855.399999999972"/>
  </r>
  <r>
    <x v="115"/>
    <n v="6704"/>
    <n v="0"/>
    <n v="6704"/>
    <n v="134.08000000000001"/>
    <n v="100.56"/>
    <n v="0"/>
    <n v="234.64000000000001"/>
    <n v="25090.039999999975"/>
  </r>
  <r>
    <x v="116"/>
    <n v="6704"/>
    <n v="0"/>
    <n v="6704"/>
    <n v="134.08000000000001"/>
    <n v="100.56"/>
    <n v="0"/>
    <n v="234.64000000000001"/>
    <n v="25324.679999999978"/>
  </r>
  <r>
    <x v="117"/>
    <n v="6704"/>
    <n v="500"/>
    <n v="7204"/>
    <n v="144.08000000000001"/>
    <n v="108.06"/>
    <n v="0"/>
    <n v="252.14000000000001"/>
    <n v="25576.819999999982"/>
  </r>
  <r>
    <x v="118"/>
    <n v="6704"/>
    <n v="0"/>
    <n v="6704"/>
    <n v="134.08000000000001"/>
    <n v="100.56"/>
    <n v="0"/>
    <n v="234.64000000000001"/>
    <n v="25811.459999999985"/>
  </r>
  <r>
    <x v="119"/>
    <n v="6704"/>
    <n v="0"/>
    <n v="6704"/>
    <n v="134.08000000000001"/>
    <n v="100.56"/>
    <n v="240"/>
    <n v="234.64000000000001"/>
    <n v="26286.099999999988"/>
  </r>
  <r>
    <x v="120"/>
    <n v="6872"/>
    <n v="500"/>
    <n v="7372"/>
    <n v="147.44"/>
    <n v="110.58"/>
    <n v="0"/>
    <n v="258.02"/>
    <n v="26544.119999999988"/>
  </r>
  <r>
    <x v="121"/>
    <n v="6872"/>
    <n v="0"/>
    <n v="6872"/>
    <n v="137.44"/>
    <n v="103.08"/>
    <n v="0"/>
    <n v="240.51999999999998"/>
    <n v="26784.639999999989"/>
  </r>
  <r>
    <x v="122"/>
    <n v="6872"/>
    <n v="0"/>
    <n v="6872"/>
    <n v="137.44"/>
    <n v="103.08"/>
    <n v="0"/>
    <n v="240.51999999999998"/>
    <n v="27025.159999999989"/>
  </r>
  <r>
    <x v="123"/>
    <n v="6872"/>
    <n v="500"/>
    <n v="7372"/>
    <n v="147.44"/>
    <n v="110.58"/>
    <n v="0"/>
    <n v="258.02"/>
    <n v="27283.179999999989"/>
  </r>
  <r>
    <x v="124"/>
    <n v="6872"/>
    <n v="0"/>
    <n v="6872"/>
    <n v="137.44"/>
    <n v="103.08"/>
    <n v="0"/>
    <n v="240.51999999999998"/>
    <n v="27523.69999999999"/>
  </r>
  <r>
    <x v="125"/>
    <n v="6872"/>
    <n v="0"/>
    <n v="6872"/>
    <n v="137.44"/>
    <n v="103.08"/>
    <n v="0"/>
    <n v="240.51999999999998"/>
    <n v="27764.21999999999"/>
  </r>
  <r>
    <x v="126"/>
    <n v="6872"/>
    <n v="500"/>
    <n v="7372"/>
    <n v="147.44"/>
    <n v="110.58"/>
    <n v="0"/>
    <n v="258.02"/>
    <n v="28022.239999999991"/>
  </r>
  <r>
    <x v="127"/>
    <n v="6872"/>
    <n v="0"/>
    <n v="6872"/>
    <n v="137.44"/>
    <n v="103.08"/>
    <n v="0"/>
    <n v="240.51999999999998"/>
    <n v="28262.759999999991"/>
  </r>
  <r>
    <x v="128"/>
    <n v="6872"/>
    <n v="0"/>
    <n v="6872"/>
    <n v="137.44"/>
    <n v="103.08"/>
    <n v="0"/>
    <n v="240.51999999999998"/>
    <n v="28503.279999999992"/>
  </r>
  <r>
    <x v="129"/>
    <n v="6872"/>
    <n v="500"/>
    <n v="7372"/>
    <n v="147.44"/>
    <n v="110.58"/>
    <n v="0"/>
    <n v="258.02"/>
    <n v="28761.299999999992"/>
  </r>
  <r>
    <x v="130"/>
    <n v="6872"/>
    <n v="0"/>
    <n v="6872"/>
    <n v="137.44"/>
    <n v="103.08"/>
    <n v="0"/>
    <n v="240.51999999999998"/>
    <n v="29001.819999999992"/>
  </r>
  <r>
    <x v="131"/>
    <n v="6872"/>
    <n v="0"/>
    <n v="6872"/>
    <n v="137.44"/>
    <n v="103.08"/>
    <n v="240"/>
    <n v="240.51999999999998"/>
    <n v="29482.339999999993"/>
  </r>
  <r>
    <x v="132"/>
    <n v="7044"/>
    <n v="500"/>
    <n v="7544"/>
    <n v="150.88"/>
    <n v="113.16"/>
    <n v="0"/>
    <n v="264.03999999999996"/>
    <n v="29746.379999999994"/>
  </r>
  <r>
    <x v="133"/>
    <n v="7044"/>
    <n v="0"/>
    <n v="7044"/>
    <n v="140.88"/>
    <n v="105.66"/>
    <n v="0"/>
    <n v="246.54"/>
    <n v="29992.919999999995"/>
  </r>
  <r>
    <x v="134"/>
    <n v="7044"/>
    <n v="0"/>
    <n v="7044"/>
    <n v="140.88"/>
    <n v="105.66"/>
    <n v="0"/>
    <n v="246.54"/>
    <n v="30239.459999999995"/>
  </r>
  <r>
    <x v="135"/>
    <n v="7044"/>
    <n v="500"/>
    <n v="7544"/>
    <n v="150.88"/>
    <n v="113.16"/>
    <n v="0"/>
    <n v="264.03999999999996"/>
    <n v="30503.499999999996"/>
  </r>
  <r>
    <x v="136"/>
    <n v="7044"/>
    <n v="0"/>
    <n v="7044"/>
    <n v="140.88"/>
    <n v="105.66"/>
    <n v="0"/>
    <n v="246.54"/>
    <n v="30750.039999999997"/>
  </r>
  <r>
    <x v="137"/>
    <n v="7044"/>
    <n v="0"/>
    <n v="7044"/>
    <n v="140.88"/>
    <n v="105.66"/>
    <n v="0"/>
    <n v="246.54"/>
    <n v="30996.579999999998"/>
  </r>
  <r>
    <x v="138"/>
    <n v="7044"/>
    <n v="500"/>
    <n v="7544"/>
    <n v="150.88"/>
    <n v="113.16"/>
    <n v="0"/>
    <n v="264.03999999999996"/>
    <n v="31260.62"/>
  </r>
  <r>
    <x v="139"/>
    <n v="7044"/>
    <n v="0"/>
    <n v="7044"/>
    <n v="140.88"/>
    <n v="105.66"/>
    <n v="0"/>
    <n v="246.54"/>
    <n v="31507.16"/>
  </r>
  <r>
    <x v="140"/>
    <n v="7044"/>
    <n v="0"/>
    <n v="7044"/>
    <n v="140.88"/>
    <n v="105.66"/>
    <n v="0"/>
    <n v="246.54"/>
    <n v="31753.7"/>
  </r>
  <r>
    <x v="141"/>
    <n v="7044"/>
    <n v="500"/>
    <n v="7544"/>
    <n v="150.88"/>
    <n v="113.16"/>
    <n v="0"/>
    <n v="264.03999999999996"/>
    <n v="32017.74"/>
  </r>
  <r>
    <x v="142"/>
    <n v="7044"/>
    <n v="0"/>
    <n v="7044"/>
    <n v="140.88"/>
    <n v="105.66"/>
    <n v="0"/>
    <n v="246.54"/>
    <n v="32264.280000000002"/>
  </r>
  <r>
    <x v="143"/>
    <n v="7044"/>
    <n v="0"/>
    <n v="7044"/>
    <n v="140.88"/>
    <n v="105.66"/>
    <n v="240"/>
    <n v="246.54"/>
    <n v="32750.820000000003"/>
  </r>
  <r>
    <x v="144"/>
    <n v="7721"/>
    <n v="500"/>
    <n v="8221"/>
    <n v="164.42"/>
    <n v="123.32"/>
    <n v="0"/>
    <n v="287.74"/>
    <n v="33038.560000000005"/>
  </r>
  <r>
    <x v="145"/>
    <n v="7721"/>
    <n v="0"/>
    <n v="7721"/>
    <n v="154.41999999999999"/>
    <n v="115.82"/>
    <n v="0"/>
    <n v="270.24"/>
    <n v="33308.800000000003"/>
  </r>
  <r>
    <x v="146"/>
    <n v="7721"/>
    <n v="0"/>
    <n v="7721"/>
    <n v="154.41999999999999"/>
    <n v="115.82"/>
    <n v="0"/>
    <n v="270.24"/>
    <n v="33579.040000000001"/>
  </r>
  <r>
    <x v="147"/>
    <n v="7721"/>
    <n v="500"/>
    <n v="8221"/>
    <n v="164.42"/>
    <n v="123.32"/>
    <n v="0"/>
    <n v="287.74"/>
    <n v="33866.78"/>
  </r>
  <r>
    <x v="148"/>
    <n v="7721"/>
    <n v="0"/>
    <n v="7721"/>
    <n v="154.41999999999999"/>
    <n v="115.82"/>
    <n v="0"/>
    <n v="270.24"/>
    <n v="34137.019999999997"/>
  </r>
  <r>
    <x v="149"/>
    <n v="7721"/>
    <n v="0"/>
    <n v="7721"/>
    <n v="154.41999999999999"/>
    <n v="115.82"/>
    <n v="0"/>
    <n v="270.24"/>
    <n v="34407.259999999995"/>
  </r>
  <r>
    <x v="150"/>
    <n v="7721"/>
    <n v="500"/>
    <n v="8221"/>
    <n v="164.42"/>
    <n v="123.32"/>
    <n v="0"/>
    <n v="287.74"/>
    <n v="34694.999999999993"/>
  </r>
  <r>
    <x v="151"/>
    <n v="7721"/>
    <n v="0"/>
    <n v="7721"/>
    <n v="154.41999999999999"/>
    <n v="115.82"/>
    <n v="0"/>
    <n v="270.24"/>
    <n v="34965.239999999991"/>
  </r>
  <r>
    <x v="152"/>
    <n v="7721"/>
    <n v="0"/>
    <n v="7721"/>
    <n v="154.41999999999999"/>
    <n v="115.82"/>
    <n v="0"/>
    <n v="270.24"/>
    <n v="35235.479999999989"/>
  </r>
  <r>
    <x v="153"/>
    <n v="7721"/>
    <n v="500"/>
    <n v="8221"/>
    <n v="164.42"/>
    <n v="123.32"/>
    <n v="0"/>
    <n v="287.74"/>
    <n v="35523.219999999987"/>
  </r>
  <r>
    <x v="154"/>
    <n v="7721"/>
    <n v="0"/>
    <n v="7721"/>
    <n v="154.41999999999999"/>
    <n v="115.82"/>
    <n v="0"/>
    <n v="270.24"/>
    <n v="35793.459999999985"/>
  </r>
  <r>
    <x v="155"/>
    <n v="7721"/>
    <n v="0"/>
    <n v="7721"/>
    <n v="154.41999999999999"/>
    <n v="115.82"/>
    <n v="240"/>
    <n v="270.24"/>
    <n v="36303.699999999983"/>
  </r>
  <r>
    <x v="156"/>
    <n v="7915"/>
    <n v="500"/>
    <n v="8415"/>
    <n v="168.3"/>
    <n v="126.23"/>
    <n v="0"/>
    <n v="294.53000000000003"/>
    <n v="36598.229999999989"/>
  </r>
  <r>
    <x v="157"/>
    <n v="7915"/>
    <n v="0"/>
    <n v="7915"/>
    <n v="158.30000000000001"/>
    <n v="118.73"/>
    <n v="0"/>
    <n v="277.03000000000003"/>
    <n v="36875.259999999995"/>
  </r>
  <r>
    <x v="158"/>
    <n v="7915"/>
    <n v="0"/>
    <n v="7915"/>
    <n v="158.30000000000001"/>
    <n v="118.73"/>
    <n v="0"/>
    <n v="277.03000000000003"/>
    <n v="37152.29"/>
  </r>
  <r>
    <x v="159"/>
    <n v="7915"/>
    <n v="500"/>
    <n v="8415"/>
    <n v="168.3"/>
    <n v="126.23"/>
    <n v="0"/>
    <n v="294.53000000000003"/>
    <n v="37446.820000000007"/>
  </r>
  <r>
    <x v="160"/>
    <n v="7915"/>
    <n v="0"/>
    <n v="7915"/>
    <n v="158.30000000000001"/>
    <n v="118.73"/>
    <n v="0"/>
    <n v="277.03000000000003"/>
    <n v="37723.850000000013"/>
  </r>
  <r>
    <x v="161"/>
    <n v="7915"/>
    <n v="0"/>
    <n v="7915"/>
    <n v="158.30000000000001"/>
    <n v="118.73"/>
    <n v="0"/>
    <n v="277.03000000000003"/>
    <n v="38000.880000000019"/>
  </r>
  <r>
    <x v="162"/>
    <n v="7915"/>
    <n v="500"/>
    <n v="8415"/>
    <n v="168.3"/>
    <n v="126.23"/>
    <n v="0"/>
    <n v="294.53000000000003"/>
    <n v="38295.410000000025"/>
  </r>
  <r>
    <x v="163"/>
    <n v="7915"/>
    <n v="0"/>
    <n v="7915"/>
    <n v="158.30000000000001"/>
    <n v="118.73"/>
    <n v="0"/>
    <n v="277.03000000000003"/>
    <n v="38572.440000000031"/>
  </r>
  <r>
    <x v="164"/>
    <n v="7915"/>
    <n v="0"/>
    <n v="7915"/>
    <n v="158.30000000000001"/>
    <n v="118.73"/>
    <n v="0"/>
    <n v="277.03000000000003"/>
    <n v="38849.470000000038"/>
  </r>
  <r>
    <x v="165"/>
    <n v="7915"/>
    <n v="500"/>
    <n v="8415"/>
    <n v="168.3"/>
    <n v="126.23"/>
    <n v="0"/>
    <n v="294.53000000000003"/>
    <n v="39144.000000000044"/>
  </r>
  <r>
    <x v="166"/>
    <n v="7915"/>
    <n v="0"/>
    <n v="7915"/>
    <n v="158.30000000000001"/>
    <n v="118.73"/>
    <n v="0"/>
    <n v="277.03000000000003"/>
    <n v="39421.03000000005"/>
  </r>
  <r>
    <x v="167"/>
    <n v="7915"/>
    <n v="0"/>
    <n v="7915"/>
    <n v="158.30000000000001"/>
    <n v="118.73"/>
    <n v="240"/>
    <n v="277.03000000000003"/>
    <n v="39938.060000000056"/>
  </r>
  <r>
    <x v="168"/>
    <n v="8113"/>
    <n v="500"/>
    <n v="8613"/>
    <n v="344.52"/>
    <n v="344.52"/>
    <n v="0"/>
    <n v="689.04"/>
    <n v="40627.100000000049"/>
  </r>
  <r>
    <x v="169"/>
    <n v="8113"/>
    <n v="0"/>
    <n v="8113"/>
    <n v="324.52"/>
    <n v="324.52"/>
    <n v="0"/>
    <n v="649.04"/>
    <n v="41276.140000000043"/>
  </r>
  <r>
    <x v="170"/>
    <n v="8113"/>
    <n v="0"/>
    <n v="8113"/>
    <n v="324.52"/>
    <n v="324.52"/>
    <n v="0"/>
    <n v="649.04"/>
    <n v="41925.180000000037"/>
  </r>
  <r>
    <x v="171"/>
    <n v="8113"/>
    <n v="500"/>
    <n v="8613"/>
    <n v="344.52"/>
    <n v="344.52"/>
    <n v="0"/>
    <n v="689.04"/>
    <n v="42614.22000000003"/>
  </r>
  <r>
    <x v="172"/>
    <n v="8113"/>
    <n v="0"/>
    <n v="8113"/>
    <n v="324.52"/>
    <n v="324.52"/>
    <n v="0"/>
    <n v="649.04"/>
    <n v="43263.260000000024"/>
  </r>
  <r>
    <x v="173"/>
    <n v="8113"/>
    <n v="0"/>
    <n v="8113"/>
    <n v="324.52"/>
    <n v="324.52"/>
    <n v="0"/>
    <n v="649.04"/>
    <n v="43912.300000000017"/>
  </r>
  <r>
    <x v="174"/>
    <n v="8113"/>
    <n v="500"/>
    <n v="8613"/>
    <n v="344.52"/>
    <n v="344.52"/>
    <n v="0"/>
    <n v="689.04"/>
    <n v="44601.340000000011"/>
  </r>
  <r>
    <x v="175"/>
    <n v="8113"/>
    <n v="0"/>
    <n v="8113"/>
    <n v="324.52"/>
    <n v="324.52"/>
    <n v="0"/>
    <n v="649.04"/>
    <n v="45250.380000000005"/>
  </r>
  <r>
    <x v="176"/>
    <n v="8113"/>
    <n v="0"/>
    <n v="8113"/>
    <n v="324.52"/>
    <n v="324.52"/>
    <n v="0"/>
    <n v="649.04"/>
    <n v="45899.42"/>
  </r>
  <r>
    <x v="177"/>
    <n v="8113"/>
    <n v="500"/>
    <n v="8613"/>
    <n v="344.52"/>
    <n v="344.52"/>
    <n v="0"/>
    <n v="689.04"/>
    <n v="46588.459999999992"/>
  </r>
  <r>
    <x v="178"/>
    <n v="8113"/>
    <n v="0"/>
    <n v="8113"/>
    <n v="324.52"/>
    <n v="324.52"/>
    <n v="0"/>
    <n v="649.04"/>
    <n v="47237.499999999985"/>
  </r>
  <r>
    <x v="179"/>
    <n v="8113"/>
    <n v="0"/>
    <n v="8113"/>
    <n v="324.52"/>
    <n v="324.52"/>
    <n v="240"/>
    <n v="649.04"/>
    <n v="48126.539999999979"/>
  </r>
  <r>
    <x v="180"/>
    <n v="8316"/>
    <n v="500"/>
    <n v="8816"/>
    <n v="352.64"/>
    <n v="352.64"/>
    <n v="0"/>
    <n v="705.28"/>
    <n v="48831.819999999978"/>
  </r>
  <r>
    <x v="181"/>
    <n v="8316"/>
    <n v="0"/>
    <n v="8316"/>
    <n v="332.64"/>
    <n v="332.64"/>
    <n v="0"/>
    <n v="665.28"/>
    <n v="49497.099999999977"/>
  </r>
  <r>
    <x v="182"/>
    <n v="8316"/>
    <n v="0"/>
    <n v="8316"/>
    <n v="332.64"/>
    <n v="332.64"/>
    <n v="0"/>
    <n v="665.28"/>
    <n v="50162.379999999976"/>
  </r>
  <r>
    <x v="183"/>
    <n v="8316"/>
    <n v="500"/>
    <n v="8816"/>
    <n v="352.64"/>
    <n v="352.64"/>
    <n v="0"/>
    <n v="705.28"/>
    <n v="50867.659999999974"/>
  </r>
  <r>
    <x v="184"/>
    <n v="8316"/>
    <n v="0"/>
    <n v="8316"/>
    <n v="332.64"/>
    <n v="332.64"/>
    <n v="0"/>
    <n v="665.28"/>
    <n v="51532.939999999973"/>
  </r>
  <r>
    <x v="185"/>
    <n v="8316"/>
    <n v="0"/>
    <n v="8316"/>
    <n v="332.64"/>
    <n v="332.64"/>
    <n v="0"/>
    <n v="665.28"/>
    <n v="52198.219999999972"/>
  </r>
  <r>
    <x v="186"/>
    <n v="8316"/>
    <n v="500"/>
    <n v="8816"/>
    <n v="352.64"/>
    <n v="352.64"/>
    <n v="0"/>
    <n v="705.28"/>
    <n v="52903.499999999971"/>
  </r>
  <r>
    <x v="187"/>
    <n v="8316"/>
    <n v="0"/>
    <n v="8316"/>
    <n v="332.64"/>
    <n v="332.64"/>
    <n v="0"/>
    <n v="665.28"/>
    <n v="53568.77999999997"/>
  </r>
  <r>
    <x v="188"/>
    <n v="8316"/>
    <n v="0"/>
    <n v="8316"/>
    <n v="332.64"/>
    <n v="332.64"/>
    <n v="0"/>
    <n v="665.28"/>
    <n v="54234.059999999969"/>
  </r>
  <r>
    <x v="189"/>
    <n v="8316"/>
    <n v="500"/>
    <n v="8816"/>
    <n v="352.64"/>
    <n v="352.64"/>
    <n v="0"/>
    <n v="705.28"/>
    <n v="54939.339999999967"/>
  </r>
  <r>
    <x v="190"/>
    <n v="8316"/>
    <n v="0"/>
    <n v="8316"/>
    <n v="332.64"/>
    <n v="332.64"/>
    <n v="0"/>
    <n v="665.28"/>
    <n v="55604.619999999966"/>
  </r>
  <r>
    <x v="191"/>
    <n v="8316"/>
    <n v="0"/>
    <n v="8316"/>
    <n v="332.64"/>
    <n v="332.64"/>
    <n v="240"/>
    <n v="665.28"/>
    <n v="56509.899999999965"/>
  </r>
  <r>
    <x v="192"/>
    <n v="9024"/>
    <n v="500"/>
    <n v="9524"/>
    <n v="380.96"/>
    <n v="380.96"/>
    <n v="0"/>
    <n v="761.92"/>
    <n v="57271.819999999963"/>
  </r>
  <r>
    <x v="193"/>
    <n v="9024"/>
    <n v="0"/>
    <n v="9024"/>
    <n v="360.96"/>
    <n v="360.96"/>
    <n v="0"/>
    <n v="721.92"/>
    <n v="57993.739999999962"/>
  </r>
  <r>
    <x v="194"/>
    <n v="9024"/>
    <n v="0"/>
    <n v="9024"/>
    <n v="360.96"/>
    <n v="360.96"/>
    <n v="0"/>
    <n v="721.92"/>
    <n v="58715.65999999996"/>
  </r>
  <r>
    <x v="195"/>
    <n v="9024"/>
    <n v="500"/>
    <n v="9524"/>
    <n v="380.96"/>
    <n v="380.96"/>
    <n v="0"/>
    <n v="761.92"/>
    <n v="59477.579999999958"/>
  </r>
  <r>
    <x v="196"/>
    <n v="9024"/>
    <n v="0"/>
    <n v="9024"/>
    <n v="360.96"/>
    <n v="360.96"/>
    <n v="0"/>
    <n v="721.92"/>
    <n v="60199.499999999956"/>
  </r>
  <r>
    <x v="197"/>
    <n v="9024"/>
    <n v="0"/>
    <n v="9024"/>
    <n v="360.96"/>
    <n v="360.96"/>
    <n v="0"/>
    <n v="721.92"/>
    <n v="60921.419999999955"/>
  </r>
  <r>
    <x v="198"/>
    <n v="9024"/>
    <n v="500"/>
    <n v="9524"/>
    <n v="380.96"/>
    <n v="380.96"/>
    <n v="0"/>
    <n v="761.92"/>
    <n v="61683.339999999953"/>
  </r>
  <r>
    <x v="199"/>
    <n v="9024"/>
    <n v="0"/>
    <n v="9024"/>
    <n v="360.96"/>
    <n v="360.96"/>
    <n v="0"/>
    <n v="721.92"/>
    <n v="62405.259999999951"/>
  </r>
  <r>
    <x v="200"/>
    <n v="9024"/>
    <n v="0"/>
    <n v="9024"/>
    <n v="360.96"/>
    <n v="360.96"/>
    <n v="0"/>
    <n v="721.92"/>
    <n v="63127.179999999949"/>
  </r>
  <r>
    <x v="201"/>
    <n v="9024"/>
    <n v="500"/>
    <n v="9524"/>
    <n v="380.96"/>
    <n v="380.96"/>
    <n v="0"/>
    <n v="761.92"/>
    <n v="63889.099999999948"/>
  </r>
  <r>
    <x v="202"/>
    <n v="9024"/>
    <n v="0"/>
    <n v="9024"/>
    <n v="360.96"/>
    <n v="360.96"/>
    <n v="0"/>
    <n v="721.92"/>
    <n v="64611.019999999946"/>
  </r>
  <r>
    <x v="203"/>
    <n v="9024"/>
    <n v="0"/>
    <n v="9024"/>
    <n v="360.96"/>
    <n v="360.96"/>
    <n v="240"/>
    <n v="721.92"/>
    <n v="65572.939999999944"/>
  </r>
  <r>
    <x v="204"/>
    <n v="9250"/>
    <n v="500"/>
    <n v="9750"/>
    <n v="390"/>
    <n v="390"/>
    <n v="0"/>
    <n v="780"/>
    <n v="66352.939999999944"/>
  </r>
  <r>
    <x v="205"/>
    <n v="9250"/>
    <n v="0"/>
    <n v="9250"/>
    <n v="370"/>
    <n v="370"/>
    <n v="0"/>
    <n v="740"/>
    <n v="67092.939999999944"/>
  </r>
  <r>
    <x v="206"/>
    <n v="9250"/>
    <n v="0"/>
    <n v="9250"/>
    <n v="370"/>
    <n v="370"/>
    <n v="0"/>
    <n v="740"/>
    <n v="67832.939999999944"/>
  </r>
  <r>
    <x v="207"/>
    <n v="9250"/>
    <n v="500"/>
    <n v="9750"/>
    <n v="390"/>
    <n v="390"/>
    <n v="0"/>
    <n v="780"/>
    <n v="68612.939999999944"/>
  </r>
  <r>
    <x v="208"/>
    <n v="9250"/>
    <n v="0"/>
    <n v="9250"/>
    <n v="370"/>
    <n v="370"/>
    <n v="0"/>
    <n v="740"/>
    <n v="69352.939999999944"/>
  </r>
  <r>
    <x v="209"/>
    <n v="9250"/>
    <n v="0"/>
    <n v="9250"/>
    <n v="370"/>
    <n v="370"/>
    <n v="0"/>
    <n v="740"/>
    <n v="70092.939999999944"/>
  </r>
  <r>
    <x v="210"/>
    <n v="9250"/>
    <n v="500"/>
    <n v="9750"/>
    <n v="390"/>
    <n v="390"/>
    <n v="0"/>
    <n v="780"/>
    <n v="70872.939999999944"/>
  </r>
  <r>
    <x v="211"/>
    <n v="9250"/>
    <n v="0"/>
    <n v="9250"/>
    <n v="370"/>
    <n v="370"/>
    <n v="0"/>
    <n v="740"/>
    <n v="71612.939999999944"/>
  </r>
  <r>
    <x v="212"/>
    <n v="9250"/>
    <n v="0"/>
    <n v="9250"/>
    <n v="370"/>
    <n v="370"/>
    <n v="0"/>
    <n v="740"/>
    <n v="72352.939999999944"/>
  </r>
  <r>
    <x v="213"/>
    <n v="9250"/>
    <n v="500"/>
    <n v="9750"/>
    <n v="390"/>
    <n v="390"/>
    <n v="0"/>
    <n v="780"/>
    <n v="73132.939999999944"/>
  </r>
  <r>
    <x v="214"/>
    <n v="9250"/>
    <n v="0"/>
    <n v="9250"/>
    <n v="370"/>
    <n v="370"/>
    <n v="0"/>
    <n v="740"/>
    <n v="73872.939999999944"/>
  </r>
  <r>
    <x v="215"/>
    <n v="9250"/>
    <n v="0"/>
    <n v="9250"/>
    <n v="370"/>
    <n v="370"/>
    <n v="240"/>
    <n v="740"/>
    <n v="74852.939999999944"/>
  </r>
  <r>
    <x v="216"/>
    <n v="9482"/>
    <n v="500"/>
    <n v="9982"/>
    <n v="399.28"/>
    <n v="399.28"/>
    <n v="0"/>
    <n v="798.56"/>
    <n v="75651.499999999942"/>
  </r>
  <r>
    <x v="217"/>
    <n v="9482"/>
    <n v="0"/>
    <n v="9482"/>
    <n v="379.28"/>
    <n v="379.28"/>
    <n v="0"/>
    <n v="758.56"/>
    <n v="76410.059999999939"/>
  </r>
  <r>
    <x v="218"/>
    <n v="9482"/>
    <n v="0"/>
    <n v="9482"/>
    <n v="379.28"/>
    <n v="379.28"/>
    <n v="0"/>
    <n v="758.56"/>
    <n v="77168.619999999937"/>
  </r>
  <r>
    <x v="219"/>
    <n v="9482"/>
    <n v="500"/>
    <n v="9982"/>
    <n v="399.28"/>
    <n v="399.28"/>
    <n v="0"/>
    <n v="798.56"/>
    <n v="77967.179999999935"/>
  </r>
  <r>
    <x v="220"/>
    <n v="9482"/>
    <n v="0"/>
    <n v="9482"/>
    <n v="379.28"/>
    <n v="379.28"/>
    <n v="0"/>
    <n v="758.56"/>
    <n v="78725.739999999932"/>
  </r>
  <r>
    <x v="221"/>
    <n v="9482"/>
    <n v="0"/>
    <n v="9482"/>
    <n v="379.28"/>
    <n v="379.28"/>
    <n v="0"/>
    <n v="758.56"/>
    <n v="79484.29999999993"/>
  </r>
  <r>
    <x v="222"/>
    <n v="9482"/>
    <n v="500"/>
    <n v="9982"/>
    <n v="399.28"/>
    <n v="399.28"/>
    <n v="0"/>
    <n v="798.56"/>
    <n v="80282.859999999928"/>
  </r>
  <r>
    <x v="223"/>
    <n v="9482"/>
    <n v="0"/>
    <n v="9482"/>
    <n v="379.28"/>
    <n v="379.28"/>
    <n v="0"/>
    <n v="758.56"/>
    <n v="81041.419999999925"/>
  </r>
  <r>
    <x v="224"/>
    <n v="9482"/>
    <n v="0"/>
    <n v="9482"/>
    <n v="379.28"/>
    <n v="379.28"/>
    <n v="0"/>
    <n v="758.56"/>
    <n v="81799.979999999923"/>
  </r>
  <r>
    <x v="225"/>
    <n v="9482"/>
    <n v="500"/>
    <n v="9982"/>
    <n v="399.28"/>
    <n v="399.28"/>
    <n v="0"/>
    <n v="798.56"/>
    <n v="82598.539999999921"/>
  </r>
  <r>
    <x v="226"/>
    <n v="9482"/>
    <n v="0"/>
    <n v="9482"/>
    <n v="379.28"/>
    <n v="379.28"/>
    <n v="0"/>
    <n v="758.56"/>
    <n v="83357.099999999919"/>
  </r>
  <r>
    <x v="227"/>
    <n v="9482"/>
    <n v="0"/>
    <n v="9482"/>
    <n v="379.28"/>
    <n v="379.28"/>
    <n v="240"/>
    <n v="758.56"/>
    <n v="84355.659999999916"/>
  </r>
  <r>
    <x v="228"/>
    <n v="9720"/>
    <n v="500"/>
    <n v="10220"/>
    <n v="408.8"/>
    <n v="408.8"/>
    <n v="0"/>
    <n v="817.6"/>
    <n v="85173.259999999922"/>
  </r>
  <r>
    <x v="229"/>
    <n v="9720"/>
    <n v="0"/>
    <n v="9720"/>
    <n v="388.8"/>
    <n v="388.8"/>
    <n v="0"/>
    <n v="777.6"/>
    <n v="85950.859999999928"/>
  </r>
  <r>
    <x v="230"/>
    <n v="9720"/>
    <n v="0"/>
    <n v="9720"/>
    <n v="388.8"/>
    <n v="388.8"/>
    <n v="0"/>
    <n v="777.6"/>
    <n v="86728.459999999934"/>
  </r>
  <r>
    <x v="231"/>
    <n v="9720"/>
    <n v="500"/>
    <n v="10220"/>
    <n v="408.8"/>
    <n v="408.8"/>
    <n v="0"/>
    <n v="817.6"/>
    <n v="87546.059999999939"/>
  </r>
  <r>
    <x v="232"/>
    <n v="9720"/>
    <n v="0"/>
    <n v="9720"/>
    <n v="388.8"/>
    <n v="388.8"/>
    <n v="0"/>
    <n v="777.6"/>
    <n v="88323.659999999945"/>
  </r>
  <r>
    <x v="233"/>
    <n v="9720"/>
    <n v="0"/>
    <n v="9720"/>
    <n v="388.8"/>
    <n v="388.8"/>
    <n v="0"/>
    <n v="777.6"/>
    <n v="89101.259999999951"/>
  </r>
  <r>
    <x v="234"/>
    <n v="9720"/>
    <n v="500"/>
    <n v="10220"/>
    <n v="408.8"/>
    <n v="408.8"/>
    <n v="0"/>
    <n v="817.6"/>
    <n v="89918.859999999957"/>
  </r>
  <r>
    <x v="235"/>
    <n v="9720"/>
    <n v="0"/>
    <n v="9720"/>
    <n v="388.8"/>
    <n v="388.8"/>
    <n v="0"/>
    <n v="777.6"/>
    <n v="90696.459999999963"/>
  </r>
  <r>
    <x v="236"/>
    <n v="9720"/>
    <n v="0"/>
    <n v="9720"/>
    <n v="388.8"/>
    <n v="388.8"/>
    <n v="0"/>
    <n v="777.6"/>
    <n v="91474.059999999969"/>
  </r>
  <r>
    <x v="237"/>
    <n v="9720"/>
    <n v="500"/>
    <n v="10220"/>
    <n v="408.8"/>
    <n v="408.8"/>
    <n v="0"/>
    <n v="817.6"/>
    <n v="92291.659999999974"/>
  </r>
  <r>
    <x v="238"/>
    <n v="9720"/>
    <n v="0"/>
    <n v="9720"/>
    <n v="388.8"/>
    <n v="388.8"/>
    <n v="0"/>
    <n v="777.6"/>
    <n v="93069.25999999998"/>
  </r>
  <r>
    <x v="239"/>
    <n v="9720"/>
    <n v="0"/>
    <n v="9720"/>
    <n v="388.8"/>
    <n v="388.8"/>
    <n v="240"/>
    <n v="777.6"/>
    <n v="94086.859999999986"/>
  </r>
  <r>
    <x v="240"/>
    <n v="10463"/>
    <n v="500"/>
    <n v="10963"/>
    <n v="438.52"/>
    <n v="438.52"/>
    <n v="0"/>
    <n v="877.04"/>
    <n v="94963.9"/>
  </r>
  <r>
    <x v="241"/>
    <n v="10463"/>
    <n v="0"/>
    <n v="10463"/>
    <n v="418.52"/>
    <n v="418.52"/>
    <n v="0"/>
    <n v="837.04"/>
    <n v="95800.94"/>
  </r>
  <r>
    <x v="242"/>
    <n v="10463"/>
    <n v="0"/>
    <n v="10463"/>
    <n v="418.52"/>
    <n v="418.52"/>
    <n v="0"/>
    <n v="837.04"/>
    <n v="96637.98000000001"/>
  </r>
  <r>
    <x v="243"/>
    <n v="10463"/>
    <n v="500"/>
    <n v="10963"/>
    <n v="438.52"/>
    <n v="438.52"/>
    <n v="0"/>
    <n v="877.04"/>
    <n v="97515.020000000019"/>
  </r>
  <r>
    <x v="244"/>
    <n v="10463"/>
    <n v="0"/>
    <n v="10463"/>
    <n v="418.52"/>
    <n v="418.52"/>
    <n v="0"/>
    <n v="837.04"/>
    <n v="98352.060000000027"/>
  </r>
  <r>
    <x v="245"/>
    <n v="10463"/>
    <n v="0"/>
    <n v="10463"/>
    <n v="418.52"/>
    <n v="418.52"/>
    <n v="0"/>
    <n v="837.04"/>
    <n v="99189.100000000035"/>
  </r>
  <r>
    <x v="246"/>
    <n v="10463"/>
    <n v="500"/>
    <n v="10963"/>
    <n v="438.52"/>
    <n v="438.52"/>
    <n v="0"/>
    <n v="877.04"/>
    <n v="100066.14000000004"/>
  </r>
  <r>
    <x v="247"/>
    <n v="10463"/>
    <n v="0"/>
    <n v="10463"/>
    <n v="418.52"/>
    <n v="418.52"/>
    <n v="0"/>
    <n v="837.04"/>
    <n v="100903.18000000005"/>
  </r>
  <r>
    <x v="248"/>
    <n v="10463"/>
    <n v="0"/>
    <n v="10463"/>
    <n v="418.52"/>
    <n v="418.52"/>
    <n v="0"/>
    <n v="837.04"/>
    <n v="101740.22000000006"/>
  </r>
  <r>
    <x v="249"/>
    <n v="10463"/>
    <n v="500"/>
    <n v="10963"/>
    <n v="438.52"/>
    <n v="438.52"/>
    <n v="0"/>
    <n v="877.04"/>
    <n v="102617.26000000007"/>
  </r>
  <r>
    <x v="250"/>
    <n v="10463"/>
    <n v="0"/>
    <n v="10463"/>
    <n v="418.52"/>
    <n v="418.52"/>
    <n v="0"/>
    <n v="837.04"/>
    <n v="103454.30000000008"/>
  </r>
  <r>
    <x v="251"/>
    <n v="10463"/>
    <n v="0"/>
    <n v="10463"/>
    <n v="418.52"/>
    <n v="418.52"/>
    <n v="240"/>
    <n v="837.04"/>
    <n v="104531.34000000008"/>
  </r>
  <r>
    <x v="252"/>
    <n v="10725"/>
    <n v="500"/>
    <n v="11225"/>
    <n v="449"/>
    <n v="449"/>
    <n v="0"/>
    <n v="898"/>
    <n v="105429.34000000008"/>
  </r>
  <r>
    <x v="253"/>
    <n v="10725"/>
    <n v="0"/>
    <n v="10725"/>
    <n v="429"/>
    <n v="429"/>
    <n v="0"/>
    <n v="858"/>
    <n v="106287.34000000008"/>
  </r>
  <r>
    <x v="254"/>
    <n v="10725"/>
    <n v="0"/>
    <n v="10725"/>
    <n v="429"/>
    <n v="429"/>
    <n v="0"/>
    <n v="858"/>
    <n v="107145.34000000008"/>
  </r>
  <r>
    <x v="255"/>
    <n v="10725"/>
    <n v="500"/>
    <n v="11225"/>
    <n v="449"/>
    <n v="449"/>
    <n v="0"/>
    <n v="898"/>
    <n v="108043.34000000008"/>
  </r>
  <r>
    <x v="256"/>
    <n v="10725"/>
    <n v="0"/>
    <n v="10725"/>
    <n v="429"/>
    <n v="429"/>
    <n v="0"/>
    <n v="858"/>
    <n v="108901.34000000008"/>
  </r>
  <r>
    <x v="257"/>
    <n v="10725"/>
    <n v="0"/>
    <n v="10725"/>
    <n v="429"/>
    <n v="429"/>
    <n v="0"/>
    <n v="858"/>
    <n v="109759.34000000008"/>
  </r>
  <r>
    <x v="258"/>
    <n v="10725"/>
    <n v="500"/>
    <n v="11225"/>
    <n v="449"/>
    <n v="449"/>
    <n v="0"/>
    <n v="898"/>
    <n v="110657.34000000008"/>
  </r>
  <r>
    <x v="259"/>
    <n v="10725"/>
    <n v="0"/>
    <n v="10725"/>
    <n v="429"/>
    <n v="429"/>
    <n v="0"/>
    <n v="858"/>
    <n v="111515.34000000008"/>
  </r>
  <r>
    <x v="260"/>
    <n v="10725"/>
    <n v="0"/>
    <n v="10725"/>
    <n v="429"/>
    <n v="429"/>
    <n v="0"/>
    <n v="858"/>
    <n v="112373.34000000008"/>
  </r>
  <r>
    <x v="261"/>
    <n v="10725"/>
    <n v="500"/>
    <n v="11225"/>
    <n v="449"/>
    <n v="449"/>
    <n v="0"/>
    <n v="898"/>
    <n v="113271.34000000008"/>
  </r>
  <r>
    <x v="262"/>
    <n v="10725"/>
    <n v="0"/>
    <n v="10725"/>
    <n v="429"/>
    <n v="429"/>
    <n v="0"/>
    <n v="858"/>
    <n v="114129.34000000008"/>
  </r>
  <r>
    <x v="263"/>
    <n v="10725"/>
    <n v="0"/>
    <n v="10725"/>
    <n v="429"/>
    <n v="429"/>
    <n v="240"/>
    <n v="858"/>
    <n v="115227.34000000008"/>
  </r>
  <r>
    <x v="264"/>
    <n v="10994"/>
    <n v="500"/>
    <n v="11494"/>
    <n v="459.76"/>
    <n v="459.76"/>
    <n v="0"/>
    <n v="919.52"/>
    <n v="116146.86000000007"/>
  </r>
  <r>
    <x v="265"/>
    <n v="10994"/>
    <n v="0"/>
    <n v="10994"/>
    <n v="439.76"/>
    <n v="439.76"/>
    <n v="0"/>
    <n v="879.52"/>
    <n v="117026.38000000006"/>
  </r>
  <r>
    <x v="266"/>
    <n v="10994"/>
    <n v="0"/>
    <n v="10994"/>
    <n v="439.76"/>
    <n v="439.76"/>
    <n v="0"/>
    <n v="879.52"/>
    <n v="117905.90000000005"/>
  </r>
  <r>
    <x v="267"/>
    <n v="10994"/>
    <n v="500"/>
    <n v="11494"/>
    <n v="459.76"/>
    <n v="459.76"/>
    <n v="0"/>
    <n v="919.52"/>
    <n v="118825.42000000004"/>
  </r>
  <r>
    <x v="268"/>
    <n v="10994"/>
    <n v="0"/>
    <n v="10994"/>
    <n v="439.76"/>
    <n v="439.76"/>
    <n v="0"/>
    <n v="879.52"/>
    <n v="119704.94000000003"/>
  </r>
  <r>
    <x v="269"/>
    <n v="10994"/>
    <n v="0"/>
    <n v="10994"/>
    <n v="439.76"/>
    <n v="439.76"/>
    <n v="0"/>
    <n v="879.52"/>
    <n v="120584.46000000002"/>
  </r>
  <r>
    <x v="270"/>
    <n v="10994"/>
    <n v="500"/>
    <n v="11494"/>
    <n v="459.76"/>
    <n v="459.76"/>
    <n v="0"/>
    <n v="919.52"/>
    <n v="121503.98000000001"/>
  </r>
  <r>
    <x v="271"/>
    <n v="10994"/>
    <n v="0"/>
    <n v="10994"/>
    <n v="439.76"/>
    <n v="439.76"/>
    <n v="0"/>
    <n v="879.52"/>
    <n v="122383.5"/>
  </r>
  <r>
    <x v="272"/>
    <n v="10994"/>
    <n v="0"/>
    <n v="10994"/>
    <n v="439.76"/>
    <n v="439.76"/>
    <n v="0"/>
    <n v="879.52"/>
    <n v="123263.01999999999"/>
  </r>
  <r>
    <x v="273"/>
    <n v="10994"/>
    <n v="500"/>
    <n v="11494"/>
    <n v="459.76"/>
    <n v="459.76"/>
    <n v="0"/>
    <n v="919.52"/>
    <n v="124182.53999999998"/>
  </r>
  <r>
    <x v="274"/>
    <n v="10994"/>
    <n v="0"/>
    <n v="10994"/>
    <n v="439.76"/>
    <n v="439.76"/>
    <n v="0"/>
    <n v="879.52"/>
    <n v="125062.05999999997"/>
  </r>
  <r>
    <x v="275"/>
    <n v="10994"/>
    <n v="0"/>
    <n v="10994"/>
    <n v="439.76"/>
    <n v="439.76"/>
    <n v="240"/>
    <n v="879.52"/>
    <n v="126181.57999999996"/>
  </r>
  <r>
    <x v="276"/>
    <n v="11269"/>
    <n v="500"/>
    <n v="11769"/>
    <n v="470.76"/>
    <n v="470.76"/>
    <n v="0"/>
    <n v="941.52"/>
    <n v="127123.09999999995"/>
  </r>
  <r>
    <x v="277"/>
    <n v="11269"/>
    <n v="0"/>
    <n v="11269"/>
    <n v="450.76"/>
    <n v="450.76"/>
    <n v="0"/>
    <n v="901.52"/>
    <n v="128024.61999999994"/>
  </r>
  <r>
    <x v="278"/>
    <n v="11269"/>
    <n v="0"/>
    <n v="11269"/>
    <n v="450.76"/>
    <n v="450.76"/>
    <n v="0"/>
    <n v="901.52"/>
    <n v="128926.13999999993"/>
  </r>
  <r>
    <x v="279"/>
    <n v="11269"/>
    <n v="500"/>
    <n v="11769"/>
    <n v="470.76"/>
    <n v="470.76"/>
    <n v="0"/>
    <n v="941.52"/>
    <n v="129867.65999999992"/>
  </r>
  <r>
    <x v="280"/>
    <n v="11269"/>
    <n v="0"/>
    <n v="11269"/>
    <n v="450.76"/>
    <n v="450.76"/>
    <n v="0"/>
    <n v="901.52"/>
    <n v="130769.17999999991"/>
  </r>
  <r>
    <x v="281"/>
    <n v="11269"/>
    <n v="0"/>
    <n v="11269"/>
    <n v="450.76"/>
    <n v="450.76"/>
    <n v="0"/>
    <n v="901.52"/>
    <n v="131670.69999999992"/>
  </r>
  <r>
    <x v="282"/>
    <n v="11269"/>
    <n v="500"/>
    <n v="11769"/>
    <n v="470.76"/>
    <n v="470.76"/>
    <n v="0"/>
    <n v="941.52"/>
    <n v="132612.21999999994"/>
  </r>
  <r>
    <x v="283"/>
    <n v="11269"/>
    <n v="0"/>
    <n v="11269"/>
    <n v="450.76"/>
    <n v="450.76"/>
    <n v="0"/>
    <n v="901.52"/>
    <n v="133513.73999999996"/>
  </r>
  <r>
    <x v="284"/>
    <n v="11269"/>
    <n v="0"/>
    <n v="11269"/>
    <n v="450.76"/>
    <n v="450.76"/>
    <n v="0"/>
    <n v="901.52"/>
    <n v="134415.25999999998"/>
  </r>
  <r>
    <x v="285"/>
    <n v="11269"/>
    <n v="500"/>
    <n v="11769"/>
    <n v="470.76"/>
    <n v="470.76"/>
    <n v="0"/>
    <n v="941.52"/>
    <n v="135356.78"/>
  </r>
  <r>
    <x v="286"/>
    <n v="11269"/>
    <n v="0"/>
    <n v="11269"/>
    <n v="450.76"/>
    <n v="450.76"/>
    <n v="0"/>
    <n v="901.52"/>
    <n v="136258.30000000002"/>
  </r>
  <r>
    <x v="287"/>
    <n v="11269"/>
    <n v="0"/>
    <n v="11269"/>
    <n v="450.76"/>
    <n v="450.76"/>
    <n v="240"/>
    <n v="901.52"/>
    <n v="137399.82000000004"/>
  </r>
  <r>
    <x v="288"/>
    <n v="12051"/>
    <n v="500"/>
    <n v="12551"/>
    <n v="502.04"/>
    <n v="502.04"/>
    <n v="0"/>
    <n v="1004.08"/>
    <n v="138403.90000000005"/>
  </r>
  <r>
    <x v="289"/>
    <n v="12051"/>
    <n v="0"/>
    <n v="12051"/>
    <n v="482.04"/>
    <n v="482.04"/>
    <n v="0"/>
    <n v="964.08"/>
    <n v="139367.98000000007"/>
  </r>
  <r>
    <x v="290"/>
    <n v="12051"/>
    <n v="0"/>
    <n v="12051"/>
    <n v="482.04"/>
    <n v="482.04"/>
    <n v="0"/>
    <n v="964.08"/>
    <n v="140332.06000000008"/>
  </r>
  <r>
    <x v="291"/>
    <n v="12051"/>
    <n v="500"/>
    <n v="12551"/>
    <n v="502.04"/>
    <n v="502.04"/>
    <n v="0"/>
    <n v="1004.08"/>
    <n v="141336.1400000001"/>
  </r>
  <r>
    <x v="292"/>
    <n v="12051"/>
    <n v="0"/>
    <n v="12051"/>
    <n v="482.04"/>
    <n v="482.04"/>
    <n v="0"/>
    <n v="964.08"/>
    <n v="142300.22000000012"/>
  </r>
  <r>
    <x v="293"/>
    <n v="12051"/>
    <n v="0"/>
    <n v="12051"/>
    <n v="482.04"/>
    <n v="482.04"/>
    <n v="0"/>
    <n v="964.08"/>
    <n v="143264.30000000013"/>
  </r>
  <r>
    <x v="294"/>
    <n v="12051"/>
    <n v="500"/>
    <n v="12551"/>
    <n v="502.04"/>
    <n v="502.04"/>
    <n v="0"/>
    <n v="1004.08"/>
    <n v="144268.38000000015"/>
  </r>
  <r>
    <x v="295"/>
    <n v="12051"/>
    <n v="0"/>
    <n v="12051"/>
    <n v="482.04"/>
    <n v="482.04"/>
    <n v="0"/>
    <n v="964.08"/>
    <n v="145232.46000000017"/>
  </r>
  <r>
    <x v="296"/>
    <n v="12051"/>
    <n v="0"/>
    <n v="12051"/>
    <n v="482.04"/>
    <n v="482.04"/>
    <n v="0"/>
    <n v="964.08"/>
    <n v="146196.54000000018"/>
  </r>
  <r>
    <x v="297"/>
    <n v="12051"/>
    <n v="500"/>
    <n v="12551"/>
    <n v="502.04"/>
    <n v="502.04"/>
    <n v="0"/>
    <n v="1004.08"/>
    <n v="147200.6200000002"/>
  </r>
  <r>
    <x v="298"/>
    <n v="12051"/>
    <n v="0"/>
    <n v="12051"/>
    <n v="482.04"/>
    <n v="482.04"/>
    <n v="0"/>
    <n v="964.08"/>
    <n v="148164.70000000022"/>
  </r>
  <r>
    <x v="299"/>
    <n v="12051"/>
    <n v="0"/>
    <n v="12051"/>
    <n v="482.04"/>
    <n v="482.04"/>
    <n v="240"/>
    <n v="964.08"/>
    <n v="149368.78000000023"/>
  </r>
  <r>
    <x v="300"/>
    <n v="12353"/>
    <n v="500"/>
    <n v="12853"/>
    <n v="514.12"/>
    <n v="514.12"/>
    <n v="0"/>
    <n v="1028.24"/>
    <n v="150397.02000000022"/>
  </r>
  <r>
    <x v="301"/>
    <n v="12353"/>
    <n v="0"/>
    <n v="12353"/>
    <n v="494.12"/>
    <n v="494.12"/>
    <n v="0"/>
    <n v="988.24"/>
    <n v="151385.26000000021"/>
  </r>
  <r>
    <x v="302"/>
    <n v="12353"/>
    <n v="0"/>
    <n v="12353"/>
    <n v="494.12"/>
    <n v="494.12"/>
    <n v="0"/>
    <n v="988.24"/>
    <n v="152373.5000000002"/>
  </r>
  <r>
    <x v="303"/>
    <n v="12353"/>
    <n v="500"/>
    <n v="12853"/>
    <n v="514.12"/>
    <n v="514.12"/>
    <n v="0"/>
    <n v="1028.24"/>
    <n v="153401.74000000019"/>
  </r>
  <r>
    <x v="304"/>
    <n v="12353"/>
    <n v="0"/>
    <n v="12353"/>
    <n v="494.12"/>
    <n v="494.12"/>
    <n v="0"/>
    <n v="988.24"/>
    <n v="154389.98000000019"/>
  </r>
  <r>
    <x v="305"/>
    <n v="12353"/>
    <n v="0"/>
    <n v="12353"/>
    <n v="494.12"/>
    <n v="494.12"/>
    <n v="0"/>
    <n v="988.24"/>
    <n v="155378.22000000018"/>
  </r>
  <r>
    <x v="306"/>
    <n v="12353"/>
    <n v="500"/>
    <n v="12853"/>
    <n v="514.12"/>
    <n v="514.12"/>
    <n v="0"/>
    <n v="1028.24"/>
    <n v="156406.46000000017"/>
  </r>
  <r>
    <x v="307"/>
    <n v="12353"/>
    <n v="0"/>
    <n v="12353"/>
    <n v="494.12"/>
    <n v="494.12"/>
    <n v="0"/>
    <n v="988.24"/>
    <n v="157394.70000000016"/>
  </r>
  <r>
    <x v="308"/>
    <n v="12353"/>
    <n v="0"/>
    <n v="12353"/>
    <n v="494.12"/>
    <n v="494.12"/>
    <n v="0"/>
    <n v="988.24"/>
    <n v="158382.94000000015"/>
  </r>
  <r>
    <x v="309"/>
    <n v="12353"/>
    <n v="500"/>
    <n v="12853"/>
    <n v="514.12"/>
    <n v="514.12"/>
    <n v="0"/>
    <n v="1028.24"/>
    <n v="159411.18000000014"/>
  </r>
  <r>
    <x v="310"/>
    <n v="12353"/>
    <n v="0"/>
    <n v="12353"/>
    <n v="494.12"/>
    <n v="494.12"/>
    <n v="0"/>
    <n v="988.24"/>
    <n v="160399.42000000013"/>
  </r>
  <r>
    <x v="311"/>
    <n v="12353"/>
    <n v="0"/>
    <n v="12353"/>
    <n v="494.12"/>
    <n v="494.12"/>
    <n v="240"/>
    <n v="988.24"/>
    <n v="161627.66000000012"/>
  </r>
  <r>
    <x v="312"/>
    <n v="12662"/>
    <n v="500"/>
    <n v="13162"/>
    <n v="526.48"/>
    <n v="526.48"/>
    <n v="0"/>
    <n v="1052.96"/>
    <n v="162680.62000000014"/>
  </r>
  <r>
    <x v="313"/>
    <n v="12662"/>
    <n v="0"/>
    <n v="12662"/>
    <n v="506.48"/>
    <n v="506.48"/>
    <n v="0"/>
    <n v="1012.96"/>
    <n v="163693.58000000016"/>
  </r>
  <r>
    <x v="314"/>
    <n v="12662"/>
    <n v="0"/>
    <n v="12662"/>
    <n v="506.48"/>
    <n v="506.48"/>
    <n v="0"/>
    <n v="1012.96"/>
    <n v="164706.54000000018"/>
  </r>
  <r>
    <x v="315"/>
    <n v="12662"/>
    <n v="500"/>
    <n v="13162"/>
    <n v="526.48"/>
    <n v="526.48"/>
    <n v="0"/>
    <n v="1052.96"/>
    <n v="165759.5000000002"/>
  </r>
  <r>
    <x v="316"/>
    <n v="12662"/>
    <n v="0"/>
    <n v="12662"/>
    <n v="506.48"/>
    <n v="506.48"/>
    <n v="0"/>
    <n v="1012.96"/>
    <n v="166772.46000000022"/>
  </r>
  <r>
    <x v="317"/>
    <n v="12662"/>
    <n v="0"/>
    <n v="12662"/>
    <n v="506.48"/>
    <n v="506.48"/>
    <n v="0"/>
    <n v="1012.96"/>
    <n v="167785.42000000025"/>
  </r>
  <r>
    <x v="318"/>
    <n v="12662"/>
    <n v="500"/>
    <n v="13162"/>
    <n v="526.48"/>
    <n v="526.48"/>
    <n v="0"/>
    <n v="1052.96"/>
    <n v="168838.38000000027"/>
  </r>
  <r>
    <x v="319"/>
    <n v="12662"/>
    <n v="0"/>
    <n v="12662"/>
    <n v="506.48"/>
    <n v="506.48"/>
    <n v="0"/>
    <n v="1012.96"/>
    <n v="169851.34000000029"/>
  </r>
  <r>
    <x v="320"/>
    <n v="12662"/>
    <n v="0"/>
    <n v="12662"/>
    <n v="506.48"/>
    <n v="506.48"/>
    <n v="0"/>
    <n v="1012.96"/>
    <n v="170864.30000000031"/>
  </r>
  <r>
    <x v="321"/>
    <n v="12662"/>
    <n v="500"/>
    <n v="13162"/>
    <n v="526.48"/>
    <n v="526.48"/>
    <n v="0"/>
    <n v="1052.96"/>
    <n v="171917.26000000033"/>
  </r>
  <r>
    <x v="322"/>
    <n v="12662"/>
    <n v="0"/>
    <n v="12662"/>
    <n v="506.48"/>
    <n v="506.48"/>
    <n v="0"/>
    <n v="1012.96"/>
    <n v="172930.22000000035"/>
  </r>
  <r>
    <x v="323"/>
    <n v="12662"/>
    <n v="0"/>
    <n v="12662"/>
    <n v="506.48"/>
    <n v="506.48"/>
    <n v="240"/>
    <n v="1012.96"/>
    <n v="174183.18000000037"/>
  </r>
  <r>
    <x v="324"/>
    <n v="12979"/>
    <n v="500"/>
    <n v="13479"/>
    <n v="539.16"/>
    <n v="539.16"/>
    <n v="0"/>
    <n v="1078.32"/>
    <n v="175261.50000000038"/>
  </r>
  <r>
    <x v="325"/>
    <n v="12979"/>
    <n v="0"/>
    <n v="12979"/>
    <n v="519.16"/>
    <n v="519.16"/>
    <n v="0"/>
    <n v="1038.32"/>
    <n v="176299.82000000039"/>
  </r>
  <r>
    <x v="326"/>
    <n v="12979"/>
    <n v="0"/>
    <n v="12979"/>
    <n v="519.16"/>
    <n v="519.16"/>
    <n v="0"/>
    <n v="1038.32"/>
    <n v="177338.14000000039"/>
  </r>
  <r>
    <x v="327"/>
    <n v="12979"/>
    <n v="500"/>
    <n v="13479"/>
    <n v="539.16"/>
    <n v="539.16"/>
    <n v="0"/>
    <n v="1078.32"/>
    <n v="178416.4600000004"/>
  </r>
  <r>
    <x v="328"/>
    <n v="12979"/>
    <n v="0"/>
    <n v="12979"/>
    <n v="519.16"/>
    <n v="519.16"/>
    <n v="0"/>
    <n v="1038.32"/>
    <n v="179454.78000000041"/>
  </r>
  <r>
    <x v="329"/>
    <n v="12979"/>
    <n v="0"/>
    <n v="12979"/>
    <n v="519.16"/>
    <n v="519.16"/>
    <n v="0"/>
    <n v="1038.32"/>
    <n v="180493.10000000041"/>
  </r>
  <r>
    <x v="330"/>
    <n v="12979"/>
    <n v="500"/>
    <n v="13479"/>
    <n v="539.16"/>
    <n v="539.16"/>
    <n v="0"/>
    <n v="1078.32"/>
    <n v="181571.42000000042"/>
  </r>
  <r>
    <x v="331"/>
    <n v="12979"/>
    <n v="0"/>
    <n v="12979"/>
    <n v="519.16"/>
    <n v="519.16"/>
    <n v="0"/>
    <n v="1038.32"/>
    <n v="182609.74000000043"/>
  </r>
  <r>
    <x v="332"/>
    <n v="12979"/>
    <n v="0"/>
    <n v="12979"/>
    <n v="519.16"/>
    <n v="519.16"/>
    <n v="0"/>
    <n v="1038.32"/>
    <n v="183648.06000000043"/>
  </r>
  <r>
    <x v="333"/>
    <n v="12979"/>
    <n v="500"/>
    <n v="13479"/>
    <n v="539.16"/>
    <n v="539.16"/>
    <n v="0"/>
    <n v="1078.32"/>
    <n v="184726.38000000044"/>
  </r>
  <r>
    <x v="334"/>
    <n v="12979"/>
    <n v="0"/>
    <n v="12979"/>
    <n v="519.16"/>
    <n v="519.16"/>
    <n v="0"/>
    <n v="1038.32"/>
    <n v="185764.70000000045"/>
  </r>
  <r>
    <x v="335"/>
    <n v="12979"/>
    <n v="0"/>
    <n v="12979"/>
    <n v="519.16"/>
    <n v="519.16"/>
    <n v="240"/>
    <n v="1038.32"/>
    <n v="187043.02000000046"/>
  </r>
  <r>
    <x v="336"/>
    <n v="13804"/>
    <n v="500"/>
    <n v="14304"/>
    <n v="572.16"/>
    <n v="572.16"/>
    <n v="0"/>
    <n v="1144.32"/>
    <n v="188187.34000000046"/>
  </r>
  <r>
    <x v="337"/>
    <n v="13804"/>
    <n v="0"/>
    <n v="13804"/>
    <n v="552.16"/>
    <n v="552.16"/>
    <n v="0"/>
    <n v="1104.32"/>
    <n v="189291.66000000047"/>
  </r>
  <r>
    <x v="338"/>
    <n v="13804"/>
    <n v="0"/>
    <n v="13804"/>
    <n v="552.16"/>
    <n v="552.16"/>
    <n v="0"/>
    <n v="1104.32"/>
    <n v="190395.98000000048"/>
  </r>
  <r>
    <x v="339"/>
    <n v="13804"/>
    <n v="500"/>
    <n v="14304"/>
    <n v="572.16"/>
    <n v="572.16"/>
    <n v="0"/>
    <n v="1144.32"/>
    <n v="191540.30000000048"/>
  </r>
  <r>
    <x v="340"/>
    <n v="13804"/>
    <n v="0"/>
    <n v="13804"/>
    <n v="552.16"/>
    <n v="552.16"/>
    <n v="0"/>
    <n v="1104.32"/>
    <n v="192644.62000000049"/>
  </r>
  <r>
    <x v="341"/>
    <n v="13804"/>
    <n v="0"/>
    <n v="13804"/>
    <n v="552.16"/>
    <n v="552.16"/>
    <n v="0"/>
    <n v="1104.32"/>
    <n v="193748.9400000005"/>
  </r>
  <r>
    <x v="342"/>
    <n v="13804"/>
    <n v="500"/>
    <n v="14304"/>
    <n v="572.16"/>
    <n v="572.16"/>
    <n v="0"/>
    <n v="1144.32"/>
    <n v="194893.2600000005"/>
  </r>
  <r>
    <x v="343"/>
    <n v="13804"/>
    <n v="0"/>
    <n v="13804"/>
    <n v="552.16"/>
    <n v="552.16"/>
    <n v="0"/>
    <n v="1104.32"/>
    <n v="195997.58000000051"/>
  </r>
  <r>
    <x v="344"/>
    <n v="13804"/>
    <n v="0"/>
    <n v="13804"/>
    <n v="552.16"/>
    <n v="552.16"/>
    <n v="0"/>
    <n v="1104.32"/>
    <n v="197101.90000000052"/>
  </r>
  <r>
    <x v="345"/>
    <n v="13804"/>
    <n v="500"/>
    <n v="14304"/>
    <n v="572.16"/>
    <n v="572.16"/>
    <n v="0"/>
    <n v="1144.32"/>
    <n v="198246.22000000053"/>
  </r>
  <r>
    <x v="346"/>
    <n v="13804"/>
    <n v="0"/>
    <n v="13804"/>
    <n v="552.16"/>
    <n v="552.16"/>
    <n v="0"/>
    <n v="1104.32"/>
    <n v="199350.54000000053"/>
  </r>
  <r>
    <x v="347"/>
    <n v="13804"/>
    <n v="0"/>
    <n v="13804"/>
    <n v="552.16"/>
    <n v="552.16"/>
    <n v="240"/>
    <n v="1104.32"/>
    <n v="200694.86000000054"/>
  </r>
  <r>
    <x v="348"/>
    <n v="14150"/>
    <n v="500"/>
    <n v="14650"/>
    <n v="586"/>
    <n v="586"/>
    <n v="0"/>
    <n v="1172"/>
    <n v="201866.86000000054"/>
  </r>
  <r>
    <x v="349"/>
    <n v="14150"/>
    <n v="0"/>
    <n v="14150"/>
    <n v="566"/>
    <n v="566"/>
    <n v="0"/>
    <n v="1132"/>
    <n v="202998.86000000054"/>
  </r>
  <r>
    <x v="350"/>
    <n v="14150"/>
    <n v="0"/>
    <n v="14150"/>
    <n v="566"/>
    <n v="566"/>
    <n v="0"/>
    <n v="1132"/>
    <n v="204130.86000000054"/>
  </r>
  <r>
    <x v="351"/>
    <n v="14150"/>
    <n v="500"/>
    <n v="14650"/>
    <n v="586"/>
    <n v="586"/>
    <n v="0"/>
    <n v="1172"/>
    <n v="205302.86000000054"/>
  </r>
  <r>
    <x v="352"/>
    <n v="14150"/>
    <n v="0"/>
    <n v="14150"/>
    <n v="566"/>
    <n v="566"/>
    <n v="0"/>
    <n v="1132"/>
    <n v="206434.86000000054"/>
  </r>
  <r>
    <x v="353"/>
    <n v="14150"/>
    <n v="0"/>
    <n v="14150"/>
    <n v="566"/>
    <n v="566"/>
    <n v="0"/>
    <n v="1132"/>
    <n v="207566.86000000054"/>
  </r>
  <r>
    <x v="354"/>
    <n v="14150"/>
    <n v="500"/>
    <n v="14650"/>
    <n v="586"/>
    <n v="586"/>
    <n v="0"/>
    <n v="1172"/>
    <n v="208738.86000000054"/>
  </r>
  <r>
    <x v="355"/>
    <n v="14150"/>
    <n v="0"/>
    <n v="14150"/>
    <n v="566"/>
    <n v="566"/>
    <n v="0"/>
    <n v="1132"/>
    <n v="209870.86000000054"/>
  </r>
  <r>
    <x v="356"/>
    <n v="14150"/>
    <n v="0"/>
    <n v="14150"/>
    <n v="566"/>
    <n v="566"/>
    <n v="0"/>
    <n v="1132"/>
    <n v="211002.86000000054"/>
  </r>
  <r>
    <x v="357"/>
    <n v="14150"/>
    <n v="500"/>
    <n v="14650"/>
    <n v="586"/>
    <n v="586"/>
    <n v="0"/>
    <n v="1172"/>
    <n v="212174.86000000054"/>
  </r>
  <r>
    <x v="358"/>
    <n v="14150"/>
    <n v="0"/>
    <n v="14150"/>
    <n v="566"/>
    <n v="566"/>
    <n v="0"/>
    <n v="1132"/>
    <n v="213306.86000000054"/>
  </r>
  <r>
    <x v="359"/>
    <n v="14150"/>
    <n v="0"/>
    <n v="14150"/>
    <n v="566"/>
    <n v="566"/>
    <n v="240"/>
    <n v="1132"/>
    <n v="214678.86000000054"/>
  </r>
  <r>
    <x v="360"/>
    <n v="14504"/>
    <n v="500"/>
    <n v="15004"/>
    <n v="600.16"/>
    <n v="600.16"/>
    <n v="0"/>
    <n v="1200.32"/>
    <n v="215879.18000000055"/>
  </r>
  <r>
    <x v="361"/>
    <n v="14504"/>
    <n v="0"/>
    <n v="14504"/>
    <n v="580.16"/>
    <n v="580.16"/>
    <n v="0"/>
    <n v="1160.32"/>
    <n v="217039.50000000055"/>
  </r>
  <r>
    <x v="362"/>
    <n v="14504"/>
    <n v="0"/>
    <n v="14504"/>
    <n v="580.16"/>
    <n v="580.16"/>
    <n v="0"/>
    <n v="1160.32"/>
    <n v="218199.82000000056"/>
  </r>
  <r>
    <x v="363"/>
    <n v="14504"/>
    <n v="500"/>
    <n v="15004"/>
    <n v="600.16"/>
    <n v="600.16"/>
    <n v="0"/>
    <n v="1200.32"/>
    <n v="219400.14000000057"/>
  </r>
  <r>
    <x v="364"/>
    <n v="14504"/>
    <n v="0"/>
    <n v="14504"/>
    <n v="580.16"/>
    <n v="580.16"/>
    <n v="0"/>
    <n v="1160.32"/>
    <n v="220560.46000000057"/>
  </r>
  <r>
    <x v="365"/>
    <n v="14504"/>
    <n v="0"/>
    <n v="14504"/>
    <n v="580.16"/>
    <n v="580.16"/>
    <n v="0"/>
    <n v="1160.32"/>
    <n v="221720.78000000058"/>
  </r>
  <r>
    <x v="366"/>
    <n v="14504"/>
    <n v="500"/>
    <n v="15004"/>
    <n v="600.16"/>
    <n v="600.16"/>
    <n v="0"/>
    <n v="1200.32"/>
    <n v="222921.10000000059"/>
  </r>
  <r>
    <x v="367"/>
    <n v="14504"/>
    <n v="0"/>
    <n v="14504"/>
    <n v="580.16"/>
    <n v="580.16"/>
    <n v="0"/>
    <n v="1160.32"/>
    <n v="224081.42000000059"/>
  </r>
  <r>
    <x v="368"/>
    <n v="14504"/>
    <n v="0"/>
    <n v="14504"/>
    <n v="580.16"/>
    <n v="580.16"/>
    <n v="0"/>
    <n v="1160.32"/>
    <n v="225241.7400000006"/>
  </r>
  <r>
    <x v="369"/>
    <n v="14504"/>
    <n v="500"/>
    <n v="15004"/>
    <n v="600.16"/>
    <n v="600.16"/>
    <n v="0"/>
    <n v="1200.32"/>
    <n v="226442.06000000061"/>
  </r>
  <r>
    <x v="370"/>
    <n v="14504"/>
    <n v="0"/>
    <n v="14504"/>
    <n v="580.16"/>
    <n v="580.16"/>
    <n v="0"/>
    <n v="1160.32"/>
    <n v="227602.38000000062"/>
  </r>
  <r>
    <x v="371"/>
    <n v="14504"/>
    <n v="0"/>
    <n v="14504"/>
    <n v="580.16"/>
    <n v="580.16"/>
    <n v="240"/>
    <n v="1160.32"/>
    <n v="229002.70000000062"/>
  </r>
  <r>
    <x v="372"/>
    <n v="14867"/>
    <n v="500"/>
    <n v="15367"/>
    <n v="614.67999999999995"/>
    <n v="614.67999999999995"/>
    <n v="0"/>
    <n v="1229.3599999999999"/>
    <n v="230232.06000000061"/>
  </r>
  <r>
    <x v="373"/>
    <n v="14867"/>
    <n v="0"/>
    <n v="14867"/>
    <n v="594.67999999999995"/>
    <n v="594.67999999999995"/>
    <n v="0"/>
    <n v="1189.3599999999999"/>
    <n v="231421.42000000059"/>
  </r>
  <r>
    <x v="374"/>
    <n v="14867"/>
    <n v="0"/>
    <n v="14867"/>
    <n v="594.67999999999995"/>
    <n v="594.67999999999995"/>
    <n v="0"/>
    <n v="1189.3599999999999"/>
    <n v="232610.78000000058"/>
  </r>
  <r>
    <x v="375"/>
    <n v="14867"/>
    <n v="500"/>
    <n v="15367"/>
    <n v="614.67999999999995"/>
    <n v="614.67999999999995"/>
    <n v="0"/>
    <n v="1229.3599999999999"/>
    <n v="233840.14000000057"/>
  </r>
  <r>
    <x v="376"/>
    <n v="14867"/>
    <n v="0"/>
    <n v="14867"/>
    <n v="594.67999999999995"/>
    <n v="594.67999999999995"/>
    <n v="0"/>
    <n v="1189.3599999999999"/>
    <n v="235029.50000000055"/>
  </r>
  <r>
    <x v="377"/>
    <n v="14867"/>
    <n v="0"/>
    <n v="14867"/>
    <n v="594.67999999999995"/>
    <n v="594.67999999999995"/>
    <n v="0"/>
    <n v="1189.3599999999999"/>
    <n v="236218.86000000054"/>
  </r>
  <r>
    <x v="378"/>
    <n v="14867"/>
    <n v="500"/>
    <n v="15367"/>
    <n v="614.67999999999995"/>
    <n v="614.67999999999995"/>
    <n v="0"/>
    <n v="1229.3599999999999"/>
    <n v="237448.22000000053"/>
  </r>
  <r>
    <x v="379"/>
    <n v="14867"/>
    <n v="0"/>
    <n v="14867"/>
    <n v="594.67999999999995"/>
    <n v="594.67999999999995"/>
    <n v="0"/>
    <n v="1189.3599999999999"/>
    <n v="238637.58000000051"/>
  </r>
  <r>
    <x v="380"/>
    <n v="14867"/>
    <n v="0"/>
    <n v="14867"/>
    <n v="594.67999999999995"/>
    <n v="594.67999999999995"/>
    <n v="0"/>
    <n v="1189.3599999999999"/>
    <n v="239826.9400000005"/>
  </r>
  <r>
    <x v="381"/>
    <n v="14867"/>
    <n v="500"/>
    <n v="15367"/>
    <n v="614.67999999999995"/>
    <n v="614.67999999999995"/>
    <n v="0"/>
    <n v="1229.3599999999999"/>
    <n v="241056.30000000048"/>
  </r>
  <r>
    <x v="382"/>
    <n v="14867"/>
    <n v="0"/>
    <n v="14867"/>
    <n v="594.67999999999995"/>
    <n v="594.67999999999995"/>
    <n v="0"/>
    <n v="1189.3599999999999"/>
    <n v="242245.66000000047"/>
  </r>
  <r>
    <x v="383"/>
    <n v="14867"/>
    <n v="0"/>
    <n v="14867"/>
    <n v="594.67999999999995"/>
    <n v="594.67999999999995"/>
    <n v="240"/>
    <n v="1189.3599999999999"/>
    <n v="243675.02000000046"/>
  </r>
  <r>
    <x v="384"/>
    <n v="15739"/>
    <n v="500"/>
    <n v="16239"/>
    <n v="649.55999999999995"/>
    <n v="649.55999999999995"/>
    <n v="0"/>
    <n v="1299.1199999999999"/>
    <n v="244974.14000000045"/>
  </r>
  <r>
    <x v="385"/>
    <n v="15739"/>
    <n v="0"/>
    <n v="15739"/>
    <n v="629.55999999999995"/>
    <n v="629.55999999999995"/>
    <n v="0"/>
    <n v="1259.1199999999999"/>
    <n v="246233.26000000045"/>
  </r>
  <r>
    <x v="386"/>
    <n v="15739"/>
    <n v="0"/>
    <n v="15739"/>
    <n v="629.55999999999995"/>
    <n v="629.55999999999995"/>
    <n v="0"/>
    <n v="1259.1199999999999"/>
    <n v="247492.38000000044"/>
  </r>
  <r>
    <x v="387"/>
    <n v="15739"/>
    <n v="500"/>
    <n v="16239"/>
    <n v="649.55999999999995"/>
    <n v="649.55999999999995"/>
    <n v="0"/>
    <n v="1299.1199999999999"/>
    <n v="248791.50000000044"/>
  </r>
  <r>
    <x v="388"/>
    <n v="15739"/>
    <n v="0"/>
    <n v="15739"/>
    <n v="629.55999999999995"/>
    <n v="629.55999999999995"/>
    <n v="0"/>
    <n v="1259.1199999999999"/>
    <n v="250050.62000000043"/>
  </r>
  <r>
    <x v="389"/>
    <n v="15739"/>
    <n v="0"/>
    <n v="15739"/>
    <n v="629.55999999999995"/>
    <n v="629.55999999999995"/>
    <n v="0"/>
    <n v="1259.1199999999999"/>
    <n v="251309.74000000043"/>
  </r>
  <r>
    <x v="390"/>
    <n v="15739"/>
    <n v="500"/>
    <n v="16239"/>
    <n v="649.55999999999995"/>
    <n v="649.55999999999995"/>
    <n v="0"/>
    <n v="1299.1199999999999"/>
    <n v="252608.86000000042"/>
  </r>
  <r>
    <x v="391"/>
    <n v="15739"/>
    <n v="0"/>
    <n v="15739"/>
    <n v="629.55999999999995"/>
    <n v="629.55999999999995"/>
    <n v="0"/>
    <n v="1259.1199999999999"/>
    <n v="253867.98000000042"/>
  </r>
  <r>
    <x v="392"/>
    <n v="15739"/>
    <n v="0"/>
    <n v="15739"/>
    <n v="629.55999999999995"/>
    <n v="629.55999999999995"/>
    <n v="0"/>
    <n v="1259.1199999999999"/>
    <n v="255127.10000000041"/>
  </r>
  <r>
    <x v="393"/>
    <n v="15739"/>
    <n v="500"/>
    <n v="16239"/>
    <n v="649.55999999999995"/>
    <n v="649.55999999999995"/>
    <n v="0"/>
    <n v="1299.1199999999999"/>
    <n v="256426.22000000041"/>
  </r>
  <r>
    <x v="394"/>
    <n v="15739"/>
    <n v="0"/>
    <n v="15739"/>
    <n v="629.55999999999995"/>
    <n v="629.55999999999995"/>
    <n v="0"/>
    <n v="1259.1199999999999"/>
    <n v="257685.3400000004"/>
  </r>
  <r>
    <x v="395"/>
    <n v="15739"/>
    <n v="0"/>
    <n v="15739"/>
    <n v="629.55999999999995"/>
    <n v="629.55999999999995"/>
    <n v="240"/>
    <n v="1259.1199999999999"/>
    <n v="259184.4600000004"/>
  </r>
  <r>
    <x v="396"/>
    <n v="16133"/>
    <n v="500"/>
    <n v="16633"/>
    <n v="665.32"/>
    <n v="665.32"/>
    <n v="0"/>
    <n v="1330.64"/>
    <n v="260515.10000000041"/>
  </r>
  <r>
    <x v="397"/>
    <n v="16133"/>
    <n v="0"/>
    <n v="16133"/>
    <n v="645.32000000000005"/>
    <n v="645.32000000000005"/>
    <n v="0"/>
    <n v="1290.6400000000001"/>
    <n v="261805.74000000043"/>
  </r>
  <r>
    <x v="398"/>
    <n v="16133"/>
    <n v="0"/>
    <n v="16133"/>
    <n v="645.32000000000005"/>
    <n v="645.32000000000005"/>
    <n v="0"/>
    <n v="1290.6400000000001"/>
    <n v="263096.38000000041"/>
  </r>
  <r>
    <x v="399"/>
    <n v="16133"/>
    <n v="500"/>
    <n v="16633"/>
    <n v="665.32"/>
    <n v="665.32"/>
    <n v="0"/>
    <n v="1330.64"/>
    <n v="264427.02000000043"/>
  </r>
  <r>
    <x v="400"/>
    <n v="16133"/>
    <n v="0"/>
    <n v="16133"/>
    <n v="645.32000000000005"/>
    <n v="645.32000000000005"/>
    <n v="0"/>
    <n v="1290.6400000000001"/>
    <n v="265717.66000000044"/>
  </r>
  <r>
    <x v="401"/>
    <n v="16133"/>
    <n v="0"/>
    <n v="16133"/>
    <n v="645.32000000000005"/>
    <n v="645.32000000000005"/>
    <n v="0"/>
    <n v="1290.6400000000001"/>
    <n v="267008.30000000045"/>
  </r>
  <r>
    <x v="402"/>
    <n v="16133"/>
    <n v="500"/>
    <n v="16633"/>
    <n v="665.32"/>
    <n v="665.32"/>
    <n v="0"/>
    <n v="1330.64"/>
    <n v="268338.94000000047"/>
  </r>
  <r>
    <x v="403"/>
    <n v="16133"/>
    <n v="0"/>
    <n v="16133"/>
    <n v="645.32000000000005"/>
    <n v="645.32000000000005"/>
    <n v="0"/>
    <n v="1290.6400000000001"/>
    <n v="269629.58000000048"/>
  </r>
  <r>
    <x v="404"/>
    <n v="16133"/>
    <n v="0"/>
    <n v="16133"/>
    <n v="645.32000000000005"/>
    <n v="645.32000000000005"/>
    <n v="0"/>
    <n v="1290.6400000000001"/>
    <n v="270920.2200000005"/>
  </r>
  <r>
    <x v="405"/>
    <n v="16133"/>
    <n v="500"/>
    <n v="16633"/>
    <n v="665.32"/>
    <n v="665.32"/>
    <n v="0"/>
    <n v="1330.64"/>
    <n v="272250.86000000051"/>
  </r>
  <r>
    <x v="406"/>
    <n v="16133"/>
    <n v="0"/>
    <n v="16133"/>
    <n v="645.32000000000005"/>
    <n v="645.32000000000005"/>
    <n v="0"/>
    <n v="1290.6400000000001"/>
    <n v="273541.50000000052"/>
  </r>
  <r>
    <x v="407"/>
    <n v="16133"/>
    <n v="0"/>
    <n v="16133"/>
    <n v="645.32000000000005"/>
    <n v="645.32000000000005"/>
    <n v="240"/>
    <n v="1290.6400000000001"/>
    <n v="275072.14000000054"/>
  </r>
  <r>
    <x v="408"/>
    <n v="16537"/>
    <n v="500"/>
    <n v="17037"/>
    <n v="681.48"/>
    <n v="681.48"/>
    <n v="0"/>
    <n v="1362.96"/>
    <n v="276435.1000000005"/>
  </r>
  <r>
    <x v="409"/>
    <n v="16537"/>
    <n v="0"/>
    <n v="16537"/>
    <n v="661.48"/>
    <n v="661.48"/>
    <n v="0"/>
    <n v="1322.96"/>
    <n v="277758.06000000046"/>
  </r>
  <r>
    <x v="410"/>
    <n v="16537"/>
    <n v="0"/>
    <n v="16537"/>
    <n v="661.48"/>
    <n v="661.48"/>
    <n v="0"/>
    <n v="1322.96"/>
    <n v="279081.02000000043"/>
  </r>
  <r>
    <x v="411"/>
    <n v="16537"/>
    <n v="500"/>
    <n v="17037"/>
    <n v="681.48"/>
    <n v="681.48"/>
    <n v="0"/>
    <n v="1362.96"/>
    <n v="280443.98000000039"/>
  </r>
  <r>
    <x v="412"/>
    <n v="16537"/>
    <n v="0"/>
    <n v="16537"/>
    <n v="661.48"/>
    <n v="661.48"/>
    <n v="0"/>
    <n v="1322.96"/>
    <n v="281766.94000000035"/>
  </r>
  <r>
    <x v="413"/>
    <n v="16537"/>
    <n v="0"/>
    <n v="16537"/>
    <n v="661.48"/>
    <n v="661.48"/>
    <n v="0"/>
    <n v="1322.96"/>
    <n v="283089.90000000031"/>
  </r>
  <r>
    <x v="414"/>
    <n v="16537"/>
    <n v="500"/>
    <n v="17037"/>
    <n v="681.48"/>
    <n v="681.48"/>
    <n v="0"/>
    <n v="1362.96"/>
    <n v="284452.86000000028"/>
  </r>
  <r>
    <x v="415"/>
    <n v="16537"/>
    <n v="0"/>
    <n v="16537"/>
    <n v="661.48"/>
    <n v="661.48"/>
    <n v="0"/>
    <n v="1322.96"/>
    <n v="285775.82000000024"/>
  </r>
  <r>
    <x v="416"/>
    <n v="16537"/>
    <n v="0"/>
    <n v="16537"/>
    <n v="661.48"/>
    <n v="661.48"/>
    <n v="0"/>
    <n v="1322.96"/>
    <n v="287098.7800000002"/>
  </r>
  <r>
    <x v="417"/>
    <n v="16537"/>
    <n v="500"/>
    <n v="17037"/>
    <n v="681.48"/>
    <n v="681.48"/>
    <n v="0"/>
    <n v="1362.96"/>
    <n v="288461.74000000017"/>
  </r>
  <r>
    <x v="418"/>
    <n v="16537"/>
    <n v="0"/>
    <n v="16537"/>
    <n v="661.48"/>
    <n v="661.48"/>
    <n v="0"/>
    <n v="1322.96"/>
    <n v="289784.70000000013"/>
  </r>
  <r>
    <x v="419"/>
    <n v="16537"/>
    <n v="0"/>
    <n v="16537"/>
    <n v="661.48"/>
    <n v="661.48"/>
    <n v="240"/>
    <n v="1322.96"/>
    <n v="291347.66000000009"/>
  </r>
  <r>
    <x v="420"/>
    <n v="16951"/>
    <n v="500"/>
    <n v="17451"/>
    <n v="698.04"/>
    <n v="698.04"/>
    <n v="0"/>
    <n v="1396.08"/>
    <n v="292743.74000000005"/>
  </r>
  <r>
    <x v="421"/>
    <n v="16951"/>
    <n v="0"/>
    <n v="16951"/>
    <n v="678.04"/>
    <n v="678.04"/>
    <n v="0"/>
    <n v="1356.08"/>
    <n v="294099.82"/>
  </r>
  <r>
    <x v="422"/>
    <n v="16951"/>
    <n v="0"/>
    <n v="16951"/>
    <n v="678.04"/>
    <n v="678.04"/>
    <n v="0"/>
    <n v="1356.08"/>
    <n v="295455.89999999997"/>
  </r>
  <r>
    <x v="423"/>
    <n v="16951"/>
    <n v="500"/>
    <n v="17451"/>
    <n v="698.04"/>
    <n v="698.04"/>
    <n v="0"/>
    <n v="1396.08"/>
    <n v="296851.97999999992"/>
  </r>
  <r>
    <x v="424"/>
    <n v="16951"/>
    <n v="0"/>
    <n v="16951"/>
    <n v="678.04"/>
    <n v="678.04"/>
    <n v="0"/>
    <n v="1356.08"/>
    <n v="298208.05999999988"/>
  </r>
  <r>
    <x v="425"/>
    <n v="16951"/>
    <n v="0"/>
    <n v="16951"/>
    <n v="678.04"/>
    <n v="678.04"/>
    <n v="0"/>
    <n v="1356.08"/>
    <n v="299564.13999999984"/>
  </r>
  <r>
    <x v="426"/>
    <n v="16951"/>
    <n v="500"/>
    <n v="17451"/>
    <n v="698.04"/>
    <n v="698.04"/>
    <n v="0"/>
    <n v="1396.08"/>
    <n v="300960.2199999998"/>
  </r>
  <r>
    <x v="427"/>
    <n v="16951"/>
    <n v="0"/>
    <n v="16951"/>
    <n v="678.04"/>
    <n v="678.04"/>
    <n v="0"/>
    <n v="1356.08"/>
    <n v="302316.29999999976"/>
  </r>
  <r>
    <x v="428"/>
    <n v="16951"/>
    <n v="0"/>
    <n v="16951"/>
    <n v="678.04"/>
    <n v="678.04"/>
    <n v="0"/>
    <n v="1356.08"/>
    <n v="303672.37999999971"/>
  </r>
  <r>
    <x v="429"/>
    <n v="16951"/>
    <n v="500"/>
    <n v="17451"/>
    <n v="698.04"/>
    <n v="698.04"/>
    <n v="0"/>
    <n v="1396.08"/>
    <n v="305068.45999999967"/>
  </r>
  <r>
    <x v="430"/>
    <n v="16951"/>
    <n v="0"/>
    <n v="16951"/>
    <n v="678.04"/>
    <n v="678.04"/>
    <n v="0"/>
    <n v="1356.08"/>
    <n v="306424.53999999963"/>
  </r>
  <r>
    <x v="431"/>
    <n v="16951"/>
    <n v="0"/>
    <n v="16951"/>
    <n v="678.04"/>
    <n v="678.04"/>
    <n v="240"/>
    <n v="1356.08"/>
    <n v="308020.61999999959"/>
  </r>
  <r>
    <x v="432"/>
    <n v="17875"/>
    <n v="500"/>
    <n v="18375"/>
    <n v="735"/>
    <n v="735"/>
    <n v="0"/>
    <n v="1470"/>
    <n v="309490.61999999959"/>
  </r>
  <r>
    <x v="433"/>
    <n v="17875"/>
    <n v="0"/>
    <n v="17875"/>
    <n v="715"/>
    <n v="715"/>
    <n v="0"/>
    <n v="1430"/>
    <n v="310920.61999999959"/>
  </r>
  <r>
    <x v="434"/>
    <n v="17875"/>
    <n v="0"/>
    <n v="17875"/>
    <n v="715"/>
    <n v="715"/>
    <n v="0"/>
    <n v="1430"/>
    <n v="312350.61999999959"/>
  </r>
  <r>
    <x v="435"/>
    <n v="17875"/>
    <n v="500"/>
    <n v="18375"/>
    <n v="735"/>
    <n v="735"/>
    <n v="0"/>
    <n v="1470"/>
    <n v="313820.61999999959"/>
  </r>
  <r>
    <x v="436"/>
    <n v="17875"/>
    <n v="0"/>
    <n v="17875"/>
    <n v="715"/>
    <n v="715"/>
    <n v="0"/>
    <n v="1430"/>
    <n v="315250.61999999959"/>
  </r>
  <r>
    <x v="437"/>
    <n v="17875"/>
    <n v="0"/>
    <n v="17875"/>
    <n v="715"/>
    <n v="715"/>
    <n v="0"/>
    <n v="1430"/>
    <n v="316680.61999999959"/>
  </r>
  <r>
    <x v="438"/>
    <n v="17875"/>
    <n v="500"/>
    <n v="18375"/>
    <n v="735"/>
    <n v="735"/>
    <n v="0"/>
    <n v="1470"/>
    <n v="318150.61999999959"/>
  </r>
  <r>
    <x v="439"/>
    <n v="17875"/>
    <n v="0"/>
    <n v="17875"/>
    <n v="715"/>
    <n v="715"/>
    <n v="0"/>
    <n v="1430"/>
    <n v="319580.61999999959"/>
  </r>
  <r>
    <x v="440"/>
    <n v="17875"/>
    <n v="0"/>
    <n v="17875"/>
    <n v="715"/>
    <n v="715"/>
    <n v="0"/>
    <n v="1430"/>
    <n v="321010.61999999959"/>
  </r>
  <r>
    <x v="441"/>
    <n v="17875"/>
    <n v="500"/>
    <n v="18375"/>
    <n v="735"/>
    <n v="735"/>
    <n v="0"/>
    <n v="1470"/>
    <n v="322480.61999999959"/>
  </r>
  <r>
    <x v="442"/>
    <n v="17875"/>
    <n v="0"/>
    <n v="17875"/>
    <n v="715"/>
    <n v="715"/>
    <n v="0"/>
    <n v="1430"/>
    <n v="323910.61999999959"/>
  </r>
  <r>
    <x v="443"/>
    <n v="17875"/>
    <n v="0"/>
    <n v="17875"/>
    <n v="715"/>
    <n v="715"/>
    <n v="240"/>
    <n v="1430"/>
    <n v="325580.61999999959"/>
  </r>
  <r>
    <x v="444"/>
    <n v="18322"/>
    <n v="500"/>
    <n v="18822"/>
    <n v="752.88"/>
    <n v="752.88"/>
    <n v="0"/>
    <n v="1505.76"/>
    <n v="327086.3799999996"/>
  </r>
  <r>
    <x v="445"/>
    <n v="18322"/>
    <n v="0"/>
    <n v="18322"/>
    <n v="732.88"/>
    <n v="732.88"/>
    <n v="0"/>
    <n v="1465.76"/>
    <n v="328552.13999999961"/>
  </r>
  <r>
    <x v="446"/>
    <n v="18322"/>
    <n v="0"/>
    <n v="18322"/>
    <n v="732.88"/>
    <n v="732.88"/>
    <n v="0"/>
    <n v="1465.76"/>
    <n v="330017.89999999962"/>
  </r>
  <r>
    <x v="447"/>
    <n v="18322"/>
    <n v="500"/>
    <n v="18822"/>
    <n v="752.88"/>
    <n v="752.88"/>
    <n v="0"/>
    <n v="1505.76"/>
    <n v="331523.65999999963"/>
  </r>
  <r>
    <x v="448"/>
    <n v="18322"/>
    <n v="0"/>
    <n v="18322"/>
    <n v="732.88"/>
    <n v="732.88"/>
    <n v="0"/>
    <n v="1465.76"/>
    <n v="332989.41999999963"/>
  </r>
  <r>
    <x v="449"/>
    <n v="18322"/>
    <n v="0"/>
    <n v="18322"/>
    <n v="732.88"/>
    <n v="732.88"/>
    <n v="0"/>
    <n v="1465.76"/>
    <n v="334455.17999999964"/>
  </r>
  <r>
    <x v="450"/>
    <n v="18322"/>
    <n v="500"/>
    <n v="18822"/>
    <n v="752.88"/>
    <n v="752.88"/>
    <n v="0"/>
    <n v="1505.76"/>
    <n v="335960.93999999965"/>
  </r>
  <r>
    <x v="451"/>
    <n v="18322"/>
    <n v="0"/>
    <n v="18322"/>
    <n v="732.88"/>
    <n v="732.88"/>
    <n v="0"/>
    <n v="1465.76"/>
    <n v="337426.69999999966"/>
  </r>
  <r>
    <x v="452"/>
    <n v="18322"/>
    <n v="0"/>
    <n v="18322"/>
    <n v="732.88"/>
    <n v="732.88"/>
    <n v="0"/>
    <n v="1465.76"/>
    <n v="338892.45999999967"/>
  </r>
  <r>
    <x v="453"/>
    <n v="18322"/>
    <n v="500"/>
    <n v="18822"/>
    <n v="752.88"/>
    <n v="752.88"/>
    <n v="0"/>
    <n v="1505.76"/>
    <n v="340398.21999999968"/>
  </r>
  <r>
    <x v="454"/>
    <n v="18322"/>
    <n v="0"/>
    <n v="18322"/>
    <n v="732.88"/>
    <n v="732.88"/>
    <n v="0"/>
    <n v="1465.76"/>
    <n v="341863.97999999969"/>
  </r>
  <r>
    <x v="455"/>
    <n v="18322"/>
    <n v="0"/>
    <n v="18322"/>
    <n v="732.88"/>
    <n v="732.88"/>
    <n v="240"/>
    <n v="1465.76"/>
    <n v="343569.7399999997"/>
  </r>
  <r>
    <x v="456"/>
    <n v="18781"/>
    <n v="500"/>
    <n v="19281"/>
    <n v="771.24"/>
    <n v="771.24"/>
    <n v="0"/>
    <n v="1542.48"/>
    <n v="345112.21999999968"/>
  </r>
  <r>
    <x v="457"/>
    <n v="18781"/>
    <n v="0"/>
    <n v="18781"/>
    <n v="751.24"/>
    <n v="751.24"/>
    <n v="0"/>
    <n v="1502.48"/>
    <n v="346614.69999999966"/>
  </r>
  <r>
    <x v="458"/>
    <n v="18781"/>
    <n v="0"/>
    <n v="18781"/>
    <n v="751.24"/>
    <n v="751.24"/>
    <n v="0"/>
    <n v="1502.48"/>
    <n v="348117.17999999964"/>
  </r>
  <r>
    <x v="459"/>
    <n v="18781"/>
    <n v="500"/>
    <n v="19281"/>
    <n v="771.24"/>
    <n v="771.24"/>
    <n v="0"/>
    <n v="1542.48"/>
    <n v="349659.65999999963"/>
  </r>
  <r>
    <x v="460"/>
    <n v="18781"/>
    <n v="0"/>
    <n v="18781"/>
    <n v="751.24"/>
    <n v="751.24"/>
    <n v="0"/>
    <n v="1502.48"/>
    <n v="351162.13999999961"/>
  </r>
  <r>
    <x v="461"/>
    <n v="18781"/>
    <n v="0"/>
    <n v="18781"/>
    <n v="751.24"/>
    <n v="751.24"/>
    <n v="0"/>
    <n v="1502.48"/>
    <n v="352664.61999999959"/>
  </r>
  <r>
    <x v="462"/>
    <n v="18781"/>
    <n v="500"/>
    <n v="19281"/>
    <n v="771.24"/>
    <n v="771.24"/>
    <n v="0"/>
    <n v="1542.48"/>
    <n v="354207.09999999957"/>
  </r>
  <r>
    <x v="463"/>
    <n v="18781"/>
    <n v="0"/>
    <n v="18781"/>
    <n v="751.24"/>
    <n v="751.24"/>
    <n v="0"/>
    <n v="1502.48"/>
    <n v="355709.57999999955"/>
  </r>
  <r>
    <x v="464"/>
    <n v="18781"/>
    <n v="0"/>
    <n v="18781"/>
    <n v="751.24"/>
    <n v="751.24"/>
    <n v="0"/>
    <n v="1502.48"/>
    <n v="357212.05999999953"/>
  </r>
  <r>
    <x v="465"/>
    <n v="18781"/>
    <n v="500"/>
    <n v="19281"/>
    <n v="771.24"/>
    <n v="771.24"/>
    <n v="0"/>
    <n v="1542.48"/>
    <n v="358754.53999999951"/>
  </r>
  <r>
    <x v="466"/>
    <n v="18781"/>
    <n v="0"/>
    <n v="18781"/>
    <n v="751.24"/>
    <n v="751.24"/>
    <n v="0"/>
    <n v="1502.48"/>
    <n v="360257.01999999949"/>
  </r>
  <r>
    <x v="467"/>
    <n v="18781"/>
    <n v="0"/>
    <n v="18781"/>
    <n v="751.24"/>
    <n v="751.24"/>
    <n v="240"/>
    <n v="1502.48"/>
    <n v="361999.49999999948"/>
  </r>
  <r>
    <x v="468"/>
    <n v="19251"/>
    <n v="500"/>
    <n v="19751"/>
    <n v="790.04"/>
    <n v="790.04"/>
    <n v="0"/>
    <n v="1580.08"/>
    <n v="363579.57999999943"/>
  </r>
  <r>
    <x v="469"/>
    <n v="19251"/>
    <n v="0"/>
    <n v="19251"/>
    <n v="770.04"/>
    <n v="770.04"/>
    <n v="0"/>
    <n v="1540.08"/>
    <n v="365119.65999999939"/>
  </r>
  <r>
    <x v="470"/>
    <n v="19251"/>
    <n v="0"/>
    <n v="19251"/>
    <n v="770.04"/>
    <n v="770.04"/>
    <n v="0"/>
    <n v="1540.08"/>
    <n v="366659.73999999935"/>
  </r>
  <r>
    <x v="471"/>
    <n v="19251"/>
    <n v="500"/>
    <n v="19751"/>
    <n v="790.04"/>
    <n v="790.04"/>
    <n v="0"/>
    <n v="1580.08"/>
    <n v="368239.81999999931"/>
  </r>
  <r>
    <x v="472"/>
    <n v="19251"/>
    <n v="0"/>
    <n v="19251"/>
    <n v="770.04"/>
    <n v="770.04"/>
    <n v="0"/>
    <n v="1540.08"/>
    <n v="369779.89999999927"/>
  </r>
  <r>
    <x v="473"/>
    <n v="19251"/>
    <n v="0"/>
    <n v="19251"/>
    <n v="770.04"/>
    <n v="770.04"/>
    <n v="0"/>
    <n v="1540.08"/>
    <n v="371319.97999999922"/>
  </r>
  <r>
    <x v="474"/>
    <n v="19251"/>
    <n v="500"/>
    <n v="19751"/>
    <n v="790.04"/>
    <n v="790.04"/>
    <n v="0"/>
    <n v="1580.08"/>
    <n v="372900.05999999918"/>
  </r>
  <r>
    <x v="475"/>
    <n v="19251"/>
    <n v="0"/>
    <n v="19251"/>
    <n v="770.04"/>
    <n v="770.04"/>
    <n v="0"/>
    <n v="1540.08"/>
    <n v="374440.13999999914"/>
  </r>
  <r>
    <x v="476"/>
    <n v="19251"/>
    <n v="0"/>
    <n v="19251"/>
    <n v="770.04"/>
    <n v="770.04"/>
    <n v="0"/>
    <n v="1540.08"/>
    <n v="375980.2199999991"/>
  </r>
  <r>
    <x v="477"/>
    <n v="19251"/>
    <n v="500"/>
    <n v="19751"/>
    <n v="790.04"/>
    <n v="790.04"/>
    <n v="0"/>
    <n v="1580.08"/>
    <n v="377560.29999999906"/>
  </r>
  <r>
    <x v="478"/>
    <n v="19251"/>
    <n v="0"/>
    <n v="19251"/>
    <n v="770.04"/>
    <n v="770.04"/>
    <n v="0"/>
    <n v="1540.08"/>
    <n v="379100.37999999902"/>
  </r>
  <r>
    <x v="479"/>
    <n v="19251"/>
    <n v="0"/>
    <n v="19251"/>
    <n v="770.04"/>
    <n v="770.04"/>
    <n v="240"/>
    <n v="1540.08"/>
    <n v="380880.45999999897"/>
  </r>
  <r>
    <x v="480"/>
    <n v="20233"/>
    <n v="500"/>
    <n v="20733"/>
    <n v="829.32"/>
    <n v="829.32"/>
    <n v="0"/>
    <n v="1658.64"/>
    <n v="382539.09999999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B4122-9D58-4659-9413-25B90F60BA29}" name="Tabela przestawna3" cacheId="8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">
  <location ref="A3:C46" firstHeaderRow="0" firstDataRow="1" firstDataCol="1"/>
  <pivotFields count="8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dataField="1" showAll="0"/>
    <pivotField showAll="0">
      <items count="7">
        <item x="0"/>
        <item sd="0" x="1"/>
        <item sd="0" x="2"/>
        <item sd="0" x="3"/>
        <item sd="0" x="4"/>
        <item sd="0" x="5"/>
        <item t="default"/>
      </items>
    </pivotField>
    <pivotField axis="axisRow" showAll="0">
      <items count="4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t="default"/>
      </items>
    </pivotField>
  </pivotFields>
  <rowFields count="1">
    <field x="7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Roczne wpłaty na PPK (Pracodawca)" fld="5" baseField="7" baseItem="1" numFmtId="166"/>
    <dataField name="Roczne wpłaty na PPK (Pracownik)" fld="4" baseField="7" baseItem="1" numFmtId="166"/>
  </dataFields>
  <formats count="2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BBDFD-1AFA-47E4-8604-5B2773EE36B2}" name="Tabela przestawna4" cacheId="11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2">
  <location ref="A3:B44" firstHeaderRow="1" firstDataRow="1" firstDataCol="1"/>
  <pivotFields count="11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numFmtId="166" showAll="0"/>
    <pivotField showAll="0">
      <items count="7">
        <item sd="0" x="0"/>
        <item x="1"/>
        <item sd="0" x="2"/>
        <item sd="0" x="3"/>
        <item x="4"/>
        <item sd="0" x="5"/>
        <item t="default"/>
      </items>
    </pivotField>
    <pivotField axis="axisRow" showAll="0">
      <items count="4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t="default"/>
      </items>
    </pivotField>
  </pivotFields>
  <rowFields count="2">
    <field x="10"/>
    <field x="0"/>
  </rowFields>
  <rowItems count="4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wpłata (Pracownik + Pracodawca)" fld="7" baseField="10" baseItem="1" numFmtId="166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M12" evalOrder="-1" id="2">
      <autoFilter ref="A1">
        <filterColumn colId="0">
          <dynamicFilter type="M1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3"/>
  <sheetViews>
    <sheetView workbookViewId="0">
      <selection activeCell="L23" sqref="L23"/>
    </sheetView>
  </sheetViews>
  <sheetFormatPr defaultRowHeight="15" x14ac:dyDescent="0.25"/>
  <cols>
    <col min="1" max="1" width="14.140625" customWidth="1"/>
    <col min="2" max="2" width="16.140625" style="2" customWidth="1"/>
    <col min="3" max="3" width="9.85546875" style="2" bestFit="1" customWidth="1"/>
    <col min="4" max="4" width="16.85546875" style="2" customWidth="1"/>
    <col min="5" max="5" width="18.140625" customWidth="1"/>
    <col min="6" max="6" width="21.28515625" customWidth="1"/>
    <col min="7" max="7" width="16.5703125" customWidth="1"/>
    <col min="8" max="8" width="16.140625" customWidth="1"/>
    <col min="11" max="11" width="15.85546875" customWidth="1"/>
  </cols>
  <sheetData>
    <row r="1" spans="1:11" x14ac:dyDescent="0.25">
      <c r="H1" t="s">
        <v>7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250</v>
      </c>
    </row>
    <row r="3" spans="1:11" x14ac:dyDescent="0.25">
      <c r="A3" s="1">
        <v>43831</v>
      </c>
      <c r="B3" s="2">
        <v>4500</v>
      </c>
      <c r="C3" s="2">
        <f>IF(AND(OR(MONTH(A3)=1,MONTH(A3)=4,MONTH(A3)=7,MONTH(A3)=10),DATE(2020,1,1)&lt;&gt;A3),500,0)</f>
        <v>0</v>
      </c>
      <c r="D3" s="2">
        <f>B3+C3</f>
        <v>4500</v>
      </c>
      <c r="E3" s="2">
        <f>ROUND(D3*0.02,2)</f>
        <v>90</v>
      </c>
      <c r="F3" s="2">
        <f>ROUND(D3*0.015,2)</f>
        <v>67.5</v>
      </c>
      <c r="G3" s="2">
        <f>IF(MONTH(A3)=12,240,0)</f>
        <v>0</v>
      </c>
      <c r="H3" s="2">
        <f>H2+E3+F3+G3</f>
        <v>407.5</v>
      </c>
      <c r="K3" s="5" t="s">
        <v>8</v>
      </c>
    </row>
    <row r="4" spans="1:11" x14ac:dyDescent="0.25">
      <c r="A4" s="1">
        <v>43862</v>
      </c>
      <c r="B4" s="2">
        <f>IF(YEAR($A4) &gt; YEAR($A3),IF(AND(MOD(YEAR(A4),4)=0,YEAR(A4)&lt;&gt;2020),ROUNDUP($B3*1.025,0)+500,ROUNDUP($B3*1.025,0)),$B3)</f>
        <v>4500</v>
      </c>
      <c r="C4" s="2">
        <f t="shared" ref="C4:C67" si="0">IF(AND(OR(MONTH(A4)=1,MONTH(A4)=4,MONTH(A4)=7,MONTH(A4)=10),DATE(2020,1,1)&lt;&gt;A4),500,0)</f>
        <v>0</v>
      </c>
      <c r="D4" s="2">
        <f t="shared" ref="D4:D67" si="1">B4+C4</f>
        <v>4500</v>
      </c>
      <c r="E4" s="2">
        <f t="shared" ref="E4:E67" si="2">ROUND(D4*0.02,2)</f>
        <v>90</v>
      </c>
      <c r="F4" s="2">
        <f t="shared" ref="F4:F67" si="3">ROUND(D4*0.015,2)</f>
        <v>67.5</v>
      </c>
      <c r="G4" s="2">
        <f t="shared" ref="G4:G67" si="4">IF(MONTH(A4)=12,240,0)</f>
        <v>0</v>
      </c>
      <c r="H4" s="2">
        <f t="shared" ref="H4:H67" si="5">H3+E4+F4+G4</f>
        <v>565</v>
      </c>
      <c r="K4" s="2">
        <f>$D$363</f>
        <v>15004</v>
      </c>
    </row>
    <row r="5" spans="1:11" x14ac:dyDescent="0.25">
      <c r="A5" s="1">
        <v>43891</v>
      </c>
      <c r="B5" s="2">
        <f t="shared" ref="B5:B68" si="6">IF(YEAR($A5) &gt; YEAR($A4),IF(AND(MOD(YEAR(A5),4)=0,YEAR(A5)&lt;&gt;2020),ROUNDUP($B4*1.025,0)+500,ROUNDUP($B4*1.025,0)),$B4)</f>
        <v>4500</v>
      </c>
      <c r="C5" s="2">
        <f t="shared" si="0"/>
        <v>0</v>
      </c>
      <c r="D5" s="2">
        <f t="shared" si="1"/>
        <v>4500</v>
      </c>
      <c r="E5" s="2">
        <f t="shared" si="2"/>
        <v>90</v>
      </c>
      <c r="F5" s="2">
        <f t="shared" si="3"/>
        <v>67.5</v>
      </c>
      <c r="G5" s="2">
        <f t="shared" si="4"/>
        <v>0</v>
      </c>
      <c r="H5" s="2">
        <f t="shared" si="5"/>
        <v>722.5</v>
      </c>
    </row>
    <row r="6" spans="1:11" x14ac:dyDescent="0.25">
      <c r="A6" s="1">
        <v>43922</v>
      </c>
      <c r="B6" s="2">
        <f t="shared" si="6"/>
        <v>4500</v>
      </c>
      <c r="C6" s="2">
        <f t="shared" si="0"/>
        <v>500</v>
      </c>
      <c r="D6" s="2">
        <f t="shared" si="1"/>
        <v>5000</v>
      </c>
      <c r="E6" s="2">
        <f t="shared" si="2"/>
        <v>100</v>
      </c>
      <c r="F6" s="2">
        <f t="shared" si="3"/>
        <v>75</v>
      </c>
      <c r="G6" s="2">
        <f t="shared" si="4"/>
        <v>0</v>
      </c>
      <c r="H6" s="2">
        <f t="shared" si="5"/>
        <v>897.5</v>
      </c>
      <c r="K6" s="5" t="s">
        <v>11</v>
      </c>
    </row>
    <row r="7" spans="1:11" x14ac:dyDescent="0.25">
      <c r="A7" s="1">
        <v>43952</v>
      </c>
      <c r="B7" s="2">
        <f t="shared" si="6"/>
        <v>4500</v>
      </c>
      <c r="C7" s="2">
        <f t="shared" si="0"/>
        <v>0</v>
      </c>
      <c r="D7" s="2">
        <f t="shared" si="1"/>
        <v>4500</v>
      </c>
      <c r="E7" s="2">
        <f t="shared" si="2"/>
        <v>90</v>
      </c>
      <c r="F7" s="2">
        <f t="shared" si="3"/>
        <v>67.5</v>
      </c>
      <c r="G7" s="2">
        <f t="shared" si="4"/>
        <v>0</v>
      </c>
      <c r="H7" s="2">
        <f t="shared" si="5"/>
        <v>1055</v>
      </c>
      <c r="J7" t="s">
        <v>10</v>
      </c>
      <c r="K7">
        <f>MATCH(20000,H3:H483,1)</f>
        <v>95</v>
      </c>
    </row>
    <row r="8" spans="1:11" x14ac:dyDescent="0.25">
      <c r="A8" s="1">
        <v>43983</v>
      </c>
      <c r="B8" s="2">
        <f t="shared" si="6"/>
        <v>4500</v>
      </c>
      <c r="C8" s="2">
        <f t="shared" si="0"/>
        <v>0</v>
      </c>
      <c r="D8" s="2">
        <f t="shared" si="1"/>
        <v>4500</v>
      </c>
      <c r="E8" s="2">
        <f t="shared" si="2"/>
        <v>90</v>
      </c>
      <c r="F8" s="2">
        <f t="shared" si="3"/>
        <v>67.5</v>
      </c>
      <c r="G8" s="2">
        <f t="shared" si="4"/>
        <v>0</v>
      </c>
      <c r="H8" s="2">
        <f t="shared" si="5"/>
        <v>1212.5</v>
      </c>
      <c r="J8" t="s">
        <v>9</v>
      </c>
      <c r="K8" s="1">
        <f ca="1">INDIRECT("A"&amp;(3+K7))</f>
        <v>46722</v>
      </c>
    </row>
    <row r="9" spans="1:11" x14ac:dyDescent="0.25">
      <c r="A9" s="1">
        <v>44013</v>
      </c>
      <c r="B9" s="2">
        <f t="shared" si="6"/>
        <v>4500</v>
      </c>
      <c r="C9" s="2">
        <f t="shared" si="0"/>
        <v>500</v>
      </c>
      <c r="D9" s="2">
        <f t="shared" si="1"/>
        <v>5000</v>
      </c>
      <c r="E9" s="2">
        <f t="shared" si="2"/>
        <v>100</v>
      </c>
      <c r="F9" s="2">
        <f t="shared" si="3"/>
        <v>75</v>
      </c>
      <c r="G9" s="2">
        <f t="shared" si="4"/>
        <v>0</v>
      </c>
      <c r="H9" s="2">
        <f t="shared" si="5"/>
        <v>1387.5</v>
      </c>
    </row>
    <row r="10" spans="1:11" x14ac:dyDescent="0.25">
      <c r="A10" s="1">
        <v>44044</v>
      </c>
      <c r="B10" s="2">
        <f t="shared" si="6"/>
        <v>4500</v>
      </c>
      <c r="C10" s="2">
        <f t="shared" si="0"/>
        <v>0</v>
      </c>
      <c r="D10" s="2">
        <f t="shared" si="1"/>
        <v>4500</v>
      </c>
      <c r="E10" s="2">
        <f t="shared" si="2"/>
        <v>90</v>
      </c>
      <c r="F10" s="2">
        <f t="shared" si="3"/>
        <v>67.5</v>
      </c>
      <c r="G10" s="2">
        <f t="shared" si="4"/>
        <v>0</v>
      </c>
      <c r="H10" s="2">
        <f t="shared" si="5"/>
        <v>1545</v>
      </c>
      <c r="K10" s="5" t="s">
        <v>59</v>
      </c>
    </row>
    <row r="11" spans="1:11" x14ac:dyDescent="0.25">
      <c r="A11" s="1">
        <v>44075</v>
      </c>
      <c r="B11" s="2">
        <f t="shared" si="6"/>
        <v>4500</v>
      </c>
      <c r="C11" s="2">
        <f t="shared" si="0"/>
        <v>0</v>
      </c>
      <c r="D11" s="2">
        <f t="shared" si="1"/>
        <v>4500</v>
      </c>
      <c r="E11" s="2">
        <f t="shared" si="2"/>
        <v>90</v>
      </c>
      <c r="F11" s="2">
        <f t="shared" si="3"/>
        <v>67.5</v>
      </c>
      <c r="G11" s="2">
        <f t="shared" si="4"/>
        <v>0</v>
      </c>
      <c r="H11" s="2">
        <f t="shared" si="5"/>
        <v>1702.5</v>
      </c>
      <c r="J11" t="s">
        <v>58</v>
      </c>
      <c r="K11" s="2">
        <f>H483/240</f>
        <v>805.57049999999776</v>
      </c>
    </row>
    <row r="12" spans="1:11" x14ac:dyDescent="0.25">
      <c r="A12" s="1">
        <v>44105</v>
      </c>
      <c r="B12" s="2">
        <f t="shared" si="6"/>
        <v>4500</v>
      </c>
      <c r="C12" s="2">
        <f t="shared" si="0"/>
        <v>500</v>
      </c>
      <c r="D12" s="2">
        <f t="shared" si="1"/>
        <v>5000</v>
      </c>
      <c r="E12" s="2">
        <f t="shared" si="2"/>
        <v>100</v>
      </c>
      <c r="F12" s="2">
        <f t="shared" si="3"/>
        <v>75</v>
      </c>
      <c r="G12" s="2">
        <f t="shared" si="4"/>
        <v>0</v>
      </c>
      <c r="H12" s="2">
        <f t="shared" si="5"/>
        <v>1877.5</v>
      </c>
    </row>
    <row r="13" spans="1:11" x14ac:dyDescent="0.25">
      <c r="A13" s="1">
        <v>44136</v>
      </c>
      <c r="B13" s="2">
        <f t="shared" si="6"/>
        <v>4500</v>
      </c>
      <c r="C13" s="2">
        <f t="shared" si="0"/>
        <v>0</v>
      </c>
      <c r="D13" s="2">
        <f t="shared" si="1"/>
        <v>4500</v>
      </c>
      <c r="E13" s="2">
        <f t="shared" si="2"/>
        <v>90</v>
      </c>
      <c r="F13" s="2">
        <f t="shared" si="3"/>
        <v>67.5</v>
      </c>
      <c r="G13" s="2">
        <f t="shared" si="4"/>
        <v>0</v>
      </c>
      <c r="H13" s="2">
        <f t="shared" si="5"/>
        <v>2035</v>
      </c>
    </row>
    <row r="14" spans="1:11" x14ac:dyDescent="0.25">
      <c r="A14" s="1">
        <v>44166</v>
      </c>
      <c r="B14" s="2">
        <f t="shared" si="6"/>
        <v>4500</v>
      </c>
      <c r="C14" s="2">
        <f t="shared" si="0"/>
        <v>0</v>
      </c>
      <c r="D14" s="2">
        <f t="shared" si="1"/>
        <v>4500</v>
      </c>
      <c r="E14" s="2">
        <f t="shared" si="2"/>
        <v>90</v>
      </c>
      <c r="F14" s="2">
        <f t="shared" si="3"/>
        <v>67.5</v>
      </c>
      <c r="G14" s="2">
        <f t="shared" si="4"/>
        <v>240</v>
      </c>
      <c r="H14" s="2">
        <f t="shared" si="5"/>
        <v>2432.5</v>
      </c>
    </row>
    <row r="15" spans="1:11" x14ac:dyDescent="0.25">
      <c r="A15" s="1">
        <v>44197</v>
      </c>
      <c r="B15" s="2">
        <f t="shared" si="6"/>
        <v>4613</v>
      </c>
      <c r="C15" s="2">
        <f t="shared" si="0"/>
        <v>500</v>
      </c>
      <c r="D15" s="2">
        <f t="shared" si="1"/>
        <v>5113</v>
      </c>
      <c r="E15" s="2">
        <f t="shared" si="2"/>
        <v>102.26</v>
      </c>
      <c r="F15" s="2">
        <f t="shared" si="3"/>
        <v>76.7</v>
      </c>
      <c r="G15" s="2">
        <f t="shared" si="4"/>
        <v>0</v>
      </c>
      <c r="H15" s="2">
        <f t="shared" si="5"/>
        <v>2611.46</v>
      </c>
    </row>
    <row r="16" spans="1:11" x14ac:dyDescent="0.25">
      <c r="A16" s="1">
        <v>44228</v>
      </c>
      <c r="B16" s="2">
        <f t="shared" si="6"/>
        <v>4613</v>
      </c>
      <c r="C16" s="2">
        <f t="shared" si="0"/>
        <v>0</v>
      </c>
      <c r="D16" s="2">
        <f t="shared" si="1"/>
        <v>4613</v>
      </c>
      <c r="E16" s="2">
        <f t="shared" si="2"/>
        <v>92.26</v>
      </c>
      <c r="F16" s="2">
        <f t="shared" si="3"/>
        <v>69.2</v>
      </c>
      <c r="G16" s="2">
        <f t="shared" si="4"/>
        <v>0</v>
      </c>
      <c r="H16" s="2">
        <f t="shared" si="5"/>
        <v>2772.92</v>
      </c>
    </row>
    <row r="17" spans="1:8" x14ac:dyDescent="0.25">
      <c r="A17" s="1">
        <v>44256</v>
      </c>
      <c r="B17" s="2">
        <f t="shared" si="6"/>
        <v>4613</v>
      </c>
      <c r="C17" s="2">
        <f t="shared" si="0"/>
        <v>0</v>
      </c>
      <c r="D17" s="2">
        <f t="shared" si="1"/>
        <v>4613</v>
      </c>
      <c r="E17" s="2">
        <f t="shared" si="2"/>
        <v>92.26</v>
      </c>
      <c r="F17" s="2">
        <f t="shared" si="3"/>
        <v>69.2</v>
      </c>
      <c r="G17" s="2">
        <f t="shared" si="4"/>
        <v>0</v>
      </c>
      <c r="H17" s="2">
        <f t="shared" si="5"/>
        <v>2934.38</v>
      </c>
    </row>
    <row r="18" spans="1:8" x14ac:dyDescent="0.25">
      <c r="A18" s="1">
        <v>44287</v>
      </c>
      <c r="B18" s="2">
        <f t="shared" si="6"/>
        <v>4613</v>
      </c>
      <c r="C18" s="2">
        <f t="shared" si="0"/>
        <v>500</v>
      </c>
      <c r="D18" s="2">
        <f t="shared" si="1"/>
        <v>5113</v>
      </c>
      <c r="E18" s="2">
        <f t="shared" si="2"/>
        <v>102.26</v>
      </c>
      <c r="F18" s="2">
        <f t="shared" si="3"/>
        <v>76.7</v>
      </c>
      <c r="G18" s="2">
        <f t="shared" si="4"/>
        <v>0</v>
      </c>
      <c r="H18" s="2">
        <f t="shared" si="5"/>
        <v>3113.34</v>
      </c>
    </row>
    <row r="19" spans="1:8" x14ac:dyDescent="0.25">
      <c r="A19" s="1">
        <v>44317</v>
      </c>
      <c r="B19" s="2">
        <f t="shared" si="6"/>
        <v>4613</v>
      </c>
      <c r="C19" s="2">
        <f t="shared" si="0"/>
        <v>0</v>
      </c>
      <c r="D19" s="2">
        <f t="shared" si="1"/>
        <v>4613</v>
      </c>
      <c r="E19" s="2">
        <f t="shared" si="2"/>
        <v>92.26</v>
      </c>
      <c r="F19" s="2">
        <f t="shared" si="3"/>
        <v>69.2</v>
      </c>
      <c r="G19" s="2">
        <f t="shared" si="4"/>
        <v>0</v>
      </c>
      <c r="H19" s="2">
        <f t="shared" si="5"/>
        <v>3274.8</v>
      </c>
    </row>
    <row r="20" spans="1:8" x14ac:dyDescent="0.25">
      <c r="A20" s="1">
        <v>44348</v>
      </c>
      <c r="B20" s="2">
        <f t="shared" si="6"/>
        <v>4613</v>
      </c>
      <c r="C20" s="2">
        <f t="shared" si="0"/>
        <v>0</v>
      </c>
      <c r="D20" s="2">
        <f t="shared" si="1"/>
        <v>4613</v>
      </c>
      <c r="E20" s="2">
        <f t="shared" si="2"/>
        <v>92.26</v>
      </c>
      <c r="F20" s="2">
        <f t="shared" si="3"/>
        <v>69.2</v>
      </c>
      <c r="G20" s="2">
        <f t="shared" si="4"/>
        <v>0</v>
      </c>
      <c r="H20" s="2">
        <f t="shared" si="5"/>
        <v>3436.26</v>
      </c>
    </row>
    <row r="21" spans="1:8" x14ac:dyDescent="0.25">
      <c r="A21" s="1">
        <v>44378</v>
      </c>
      <c r="B21" s="2">
        <f t="shared" si="6"/>
        <v>4613</v>
      </c>
      <c r="C21" s="2">
        <f t="shared" si="0"/>
        <v>500</v>
      </c>
      <c r="D21" s="2">
        <f t="shared" si="1"/>
        <v>5113</v>
      </c>
      <c r="E21" s="2">
        <f t="shared" si="2"/>
        <v>102.26</v>
      </c>
      <c r="F21" s="2">
        <f t="shared" si="3"/>
        <v>76.7</v>
      </c>
      <c r="G21" s="2">
        <f t="shared" si="4"/>
        <v>0</v>
      </c>
      <c r="H21" s="2">
        <f t="shared" si="5"/>
        <v>3615.2200000000003</v>
      </c>
    </row>
    <row r="22" spans="1:8" x14ac:dyDescent="0.25">
      <c r="A22" s="1">
        <v>44409</v>
      </c>
      <c r="B22" s="2">
        <f t="shared" si="6"/>
        <v>4613</v>
      </c>
      <c r="C22" s="2">
        <f t="shared" si="0"/>
        <v>0</v>
      </c>
      <c r="D22" s="2">
        <f t="shared" si="1"/>
        <v>4613</v>
      </c>
      <c r="E22" s="2">
        <f t="shared" si="2"/>
        <v>92.26</v>
      </c>
      <c r="F22" s="2">
        <f t="shared" si="3"/>
        <v>69.2</v>
      </c>
      <c r="G22" s="2">
        <f t="shared" si="4"/>
        <v>0</v>
      </c>
      <c r="H22" s="2">
        <f t="shared" si="5"/>
        <v>3776.6800000000003</v>
      </c>
    </row>
    <row r="23" spans="1:8" x14ac:dyDescent="0.25">
      <c r="A23" s="1">
        <v>44440</v>
      </c>
      <c r="B23" s="2">
        <f t="shared" si="6"/>
        <v>4613</v>
      </c>
      <c r="C23" s="2">
        <f t="shared" si="0"/>
        <v>0</v>
      </c>
      <c r="D23" s="2">
        <f t="shared" si="1"/>
        <v>4613</v>
      </c>
      <c r="E23" s="2">
        <f t="shared" si="2"/>
        <v>92.26</v>
      </c>
      <c r="F23" s="2">
        <f t="shared" si="3"/>
        <v>69.2</v>
      </c>
      <c r="G23" s="2">
        <f t="shared" si="4"/>
        <v>0</v>
      </c>
      <c r="H23" s="2">
        <f t="shared" si="5"/>
        <v>3938.1400000000003</v>
      </c>
    </row>
    <row r="24" spans="1:8" x14ac:dyDescent="0.25">
      <c r="A24" s="1">
        <v>44470</v>
      </c>
      <c r="B24" s="2">
        <f t="shared" si="6"/>
        <v>4613</v>
      </c>
      <c r="C24" s="2">
        <f t="shared" si="0"/>
        <v>500</v>
      </c>
      <c r="D24" s="2">
        <f t="shared" si="1"/>
        <v>5113</v>
      </c>
      <c r="E24" s="2">
        <f t="shared" si="2"/>
        <v>102.26</v>
      </c>
      <c r="F24" s="2">
        <f t="shared" si="3"/>
        <v>76.7</v>
      </c>
      <c r="G24" s="2">
        <f t="shared" si="4"/>
        <v>0</v>
      </c>
      <c r="H24" s="2">
        <f t="shared" si="5"/>
        <v>4117.1000000000004</v>
      </c>
    </row>
    <row r="25" spans="1:8" x14ac:dyDescent="0.25">
      <c r="A25" s="1">
        <v>44501</v>
      </c>
      <c r="B25" s="2">
        <f t="shared" si="6"/>
        <v>4613</v>
      </c>
      <c r="C25" s="2">
        <f t="shared" si="0"/>
        <v>0</v>
      </c>
      <c r="D25" s="2">
        <f t="shared" si="1"/>
        <v>4613</v>
      </c>
      <c r="E25" s="2">
        <f t="shared" si="2"/>
        <v>92.26</v>
      </c>
      <c r="F25" s="2">
        <f t="shared" si="3"/>
        <v>69.2</v>
      </c>
      <c r="G25" s="2">
        <f t="shared" si="4"/>
        <v>0</v>
      </c>
      <c r="H25" s="2">
        <f t="shared" si="5"/>
        <v>4278.5600000000004</v>
      </c>
    </row>
    <row r="26" spans="1:8" x14ac:dyDescent="0.25">
      <c r="A26" s="1">
        <v>44531</v>
      </c>
      <c r="B26" s="2">
        <f t="shared" si="6"/>
        <v>4613</v>
      </c>
      <c r="C26" s="2">
        <f t="shared" si="0"/>
        <v>0</v>
      </c>
      <c r="D26" s="2">
        <f t="shared" si="1"/>
        <v>4613</v>
      </c>
      <c r="E26" s="2">
        <f t="shared" si="2"/>
        <v>92.26</v>
      </c>
      <c r="F26" s="2">
        <f t="shared" si="3"/>
        <v>69.2</v>
      </c>
      <c r="G26" s="2">
        <f t="shared" si="4"/>
        <v>240</v>
      </c>
      <c r="H26" s="2">
        <f t="shared" si="5"/>
        <v>4680.0200000000004</v>
      </c>
    </row>
    <row r="27" spans="1:8" x14ac:dyDescent="0.25">
      <c r="A27" s="1">
        <v>44562</v>
      </c>
      <c r="B27" s="2">
        <f t="shared" si="6"/>
        <v>4729</v>
      </c>
      <c r="C27" s="2">
        <f t="shared" si="0"/>
        <v>500</v>
      </c>
      <c r="D27" s="2">
        <f t="shared" si="1"/>
        <v>5229</v>
      </c>
      <c r="E27" s="2">
        <f t="shared" si="2"/>
        <v>104.58</v>
      </c>
      <c r="F27" s="2">
        <f t="shared" si="3"/>
        <v>78.44</v>
      </c>
      <c r="G27" s="2">
        <f t="shared" si="4"/>
        <v>0</v>
      </c>
      <c r="H27" s="2">
        <f t="shared" si="5"/>
        <v>4863.04</v>
      </c>
    </row>
    <row r="28" spans="1:8" x14ac:dyDescent="0.25">
      <c r="A28" s="1">
        <v>44593</v>
      </c>
      <c r="B28" s="2">
        <f t="shared" si="6"/>
        <v>4729</v>
      </c>
      <c r="C28" s="2">
        <f t="shared" si="0"/>
        <v>0</v>
      </c>
      <c r="D28" s="2">
        <f t="shared" si="1"/>
        <v>4729</v>
      </c>
      <c r="E28" s="2">
        <f t="shared" si="2"/>
        <v>94.58</v>
      </c>
      <c r="F28" s="2">
        <f t="shared" si="3"/>
        <v>70.94</v>
      </c>
      <c r="G28" s="2">
        <f t="shared" si="4"/>
        <v>0</v>
      </c>
      <c r="H28" s="2">
        <f t="shared" si="5"/>
        <v>5028.5599999999995</v>
      </c>
    </row>
    <row r="29" spans="1:8" x14ac:dyDescent="0.25">
      <c r="A29" s="1">
        <v>44621</v>
      </c>
      <c r="B29" s="2">
        <f t="shared" si="6"/>
        <v>4729</v>
      </c>
      <c r="C29" s="2">
        <f t="shared" si="0"/>
        <v>0</v>
      </c>
      <c r="D29" s="2">
        <f t="shared" si="1"/>
        <v>4729</v>
      </c>
      <c r="E29" s="2">
        <f t="shared" si="2"/>
        <v>94.58</v>
      </c>
      <c r="F29" s="2">
        <f t="shared" si="3"/>
        <v>70.94</v>
      </c>
      <c r="G29" s="2">
        <f t="shared" si="4"/>
        <v>0</v>
      </c>
      <c r="H29" s="2">
        <f t="shared" si="5"/>
        <v>5194.079999999999</v>
      </c>
    </row>
    <row r="30" spans="1:8" x14ac:dyDescent="0.25">
      <c r="A30" s="1">
        <v>44652</v>
      </c>
      <c r="B30" s="2">
        <f t="shared" si="6"/>
        <v>4729</v>
      </c>
      <c r="C30" s="2">
        <f t="shared" si="0"/>
        <v>500</v>
      </c>
      <c r="D30" s="2">
        <f t="shared" si="1"/>
        <v>5229</v>
      </c>
      <c r="E30" s="2">
        <f t="shared" si="2"/>
        <v>104.58</v>
      </c>
      <c r="F30" s="2">
        <f t="shared" si="3"/>
        <v>78.44</v>
      </c>
      <c r="G30" s="2">
        <f t="shared" si="4"/>
        <v>0</v>
      </c>
      <c r="H30" s="2">
        <f t="shared" si="5"/>
        <v>5377.0999999999985</v>
      </c>
    </row>
    <row r="31" spans="1:8" x14ac:dyDescent="0.25">
      <c r="A31" s="1">
        <v>44682</v>
      </c>
      <c r="B31" s="2">
        <f t="shared" si="6"/>
        <v>4729</v>
      </c>
      <c r="C31" s="2">
        <f t="shared" si="0"/>
        <v>0</v>
      </c>
      <c r="D31" s="2">
        <f t="shared" si="1"/>
        <v>4729</v>
      </c>
      <c r="E31" s="2">
        <f t="shared" si="2"/>
        <v>94.58</v>
      </c>
      <c r="F31" s="2">
        <f t="shared" si="3"/>
        <v>70.94</v>
      </c>
      <c r="G31" s="2">
        <f t="shared" si="4"/>
        <v>0</v>
      </c>
      <c r="H31" s="2">
        <f t="shared" si="5"/>
        <v>5542.6199999999981</v>
      </c>
    </row>
    <row r="32" spans="1:8" x14ac:dyDescent="0.25">
      <c r="A32" s="1">
        <v>44713</v>
      </c>
      <c r="B32" s="2">
        <f t="shared" si="6"/>
        <v>4729</v>
      </c>
      <c r="C32" s="2">
        <f t="shared" si="0"/>
        <v>0</v>
      </c>
      <c r="D32" s="2">
        <f t="shared" si="1"/>
        <v>4729</v>
      </c>
      <c r="E32" s="2">
        <f t="shared" si="2"/>
        <v>94.58</v>
      </c>
      <c r="F32" s="2">
        <f t="shared" si="3"/>
        <v>70.94</v>
      </c>
      <c r="G32" s="2">
        <f t="shared" si="4"/>
        <v>0</v>
      </c>
      <c r="H32" s="2">
        <f t="shared" si="5"/>
        <v>5708.1399999999976</v>
      </c>
    </row>
    <row r="33" spans="1:8" x14ac:dyDescent="0.25">
      <c r="A33" s="1">
        <v>44743</v>
      </c>
      <c r="B33" s="2">
        <f t="shared" si="6"/>
        <v>4729</v>
      </c>
      <c r="C33" s="2">
        <f t="shared" si="0"/>
        <v>500</v>
      </c>
      <c r="D33" s="2">
        <f t="shared" si="1"/>
        <v>5229</v>
      </c>
      <c r="E33" s="2">
        <f t="shared" si="2"/>
        <v>104.58</v>
      </c>
      <c r="F33" s="2">
        <f t="shared" si="3"/>
        <v>78.44</v>
      </c>
      <c r="G33" s="2">
        <f t="shared" si="4"/>
        <v>0</v>
      </c>
      <c r="H33" s="2">
        <f t="shared" si="5"/>
        <v>5891.1599999999971</v>
      </c>
    </row>
    <row r="34" spans="1:8" x14ac:dyDescent="0.25">
      <c r="A34" s="1">
        <v>44774</v>
      </c>
      <c r="B34" s="2">
        <f t="shared" si="6"/>
        <v>4729</v>
      </c>
      <c r="C34" s="2">
        <f t="shared" si="0"/>
        <v>0</v>
      </c>
      <c r="D34" s="2">
        <f t="shared" si="1"/>
        <v>4729</v>
      </c>
      <c r="E34" s="2">
        <f t="shared" si="2"/>
        <v>94.58</v>
      </c>
      <c r="F34" s="2">
        <f t="shared" si="3"/>
        <v>70.94</v>
      </c>
      <c r="G34" s="2">
        <f t="shared" si="4"/>
        <v>0</v>
      </c>
      <c r="H34" s="2">
        <f t="shared" si="5"/>
        <v>6056.6799999999967</v>
      </c>
    </row>
    <row r="35" spans="1:8" x14ac:dyDescent="0.25">
      <c r="A35" s="1">
        <v>44805</v>
      </c>
      <c r="B35" s="2">
        <f t="shared" si="6"/>
        <v>4729</v>
      </c>
      <c r="C35" s="2">
        <f t="shared" si="0"/>
        <v>0</v>
      </c>
      <c r="D35" s="2">
        <f t="shared" si="1"/>
        <v>4729</v>
      </c>
      <c r="E35" s="2">
        <f t="shared" si="2"/>
        <v>94.58</v>
      </c>
      <c r="F35" s="2">
        <f t="shared" si="3"/>
        <v>70.94</v>
      </c>
      <c r="G35" s="2">
        <f t="shared" si="4"/>
        <v>0</v>
      </c>
      <c r="H35" s="2">
        <f t="shared" si="5"/>
        <v>6222.1999999999962</v>
      </c>
    </row>
    <row r="36" spans="1:8" x14ac:dyDescent="0.25">
      <c r="A36" s="1">
        <v>44835</v>
      </c>
      <c r="B36" s="2">
        <f t="shared" si="6"/>
        <v>4729</v>
      </c>
      <c r="C36" s="2">
        <f t="shared" si="0"/>
        <v>500</v>
      </c>
      <c r="D36" s="2">
        <f t="shared" si="1"/>
        <v>5229</v>
      </c>
      <c r="E36" s="2">
        <f t="shared" si="2"/>
        <v>104.58</v>
      </c>
      <c r="F36" s="2">
        <f t="shared" si="3"/>
        <v>78.44</v>
      </c>
      <c r="G36" s="2">
        <f t="shared" si="4"/>
        <v>0</v>
      </c>
      <c r="H36" s="2">
        <f t="shared" si="5"/>
        <v>6405.2199999999957</v>
      </c>
    </row>
    <row r="37" spans="1:8" x14ac:dyDescent="0.25">
      <c r="A37" s="1">
        <v>44866</v>
      </c>
      <c r="B37" s="2">
        <f t="shared" si="6"/>
        <v>4729</v>
      </c>
      <c r="C37" s="2">
        <f t="shared" si="0"/>
        <v>0</v>
      </c>
      <c r="D37" s="2">
        <f t="shared" si="1"/>
        <v>4729</v>
      </c>
      <c r="E37" s="2">
        <f t="shared" si="2"/>
        <v>94.58</v>
      </c>
      <c r="F37" s="2">
        <f t="shared" si="3"/>
        <v>70.94</v>
      </c>
      <c r="G37" s="2">
        <f t="shared" si="4"/>
        <v>0</v>
      </c>
      <c r="H37" s="2">
        <f t="shared" si="5"/>
        <v>6570.7399999999952</v>
      </c>
    </row>
    <row r="38" spans="1:8" x14ac:dyDescent="0.25">
      <c r="A38" s="1">
        <v>44896</v>
      </c>
      <c r="B38" s="2">
        <f t="shared" si="6"/>
        <v>4729</v>
      </c>
      <c r="C38" s="2">
        <f t="shared" si="0"/>
        <v>0</v>
      </c>
      <c r="D38" s="2">
        <f t="shared" si="1"/>
        <v>4729</v>
      </c>
      <c r="E38" s="2">
        <f t="shared" si="2"/>
        <v>94.58</v>
      </c>
      <c r="F38" s="2">
        <f t="shared" si="3"/>
        <v>70.94</v>
      </c>
      <c r="G38" s="2">
        <f t="shared" si="4"/>
        <v>240</v>
      </c>
      <c r="H38" s="2">
        <f t="shared" si="5"/>
        <v>6976.2599999999948</v>
      </c>
    </row>
    <row r="39" spans="1:8" x14ac:dyDescent="0.25">
      <c r="A39" s="1">
        <v>44927</v>
      </c>
      <c r="B39" s="2">
        <f t="shared" si="6"/>
        <v>4848</v>
      </c>
      <c r="C39" s="2">
        <f t="shared" si="0"/>
        <v>500</v>
      </c>
      <c r="D39" s="2">
        <f t="shared" si="1"/>
        <v>5348</v>
      </c>
      <c r="E39" s="2">
        <f t="shared" si="2"/>
        <v>106.96</v>
      </c>
      <c r="F39" s="2">
        <f t="shared" si="3"/>
        <v>80.22</v>
      </c>
      <c r="G39" s="2">
        <f t="shared" si="4"/>
        <v>0</v>
      </c>
      <c r="H39" s="2">
        <f t="shared" si="5"/>
        <v>7163.4399999999951</v>
      </c>
    </row>
    <row r="40" spans="1:8" x14ac:dyDescent="0.25">
      <c r="A40" s="1">
        <v>44958</v>
      </c>
      <c r="B40" s="2">
        <f t="shared" si="6"/>
        <v>4848</v>
      </c>
      <c r="C40" s="2">
        <f t="shared" si="0"/>
        <v>0</v>
      </c>
      <c r="D40" s="2">
        <f t="shared" si="1"/>
        <v>4848</v>
      </c>
      <c r="E40" s="2">
        <f t="shared" si="2"/>
        <v>96.96</v>
      </c>
      <c r="F40" s="2">
        <f t="shared" si="3"/>
        <v>72.72</v>
      </c>
      <c r="G40" s="2">
        <f t="shared" si="4"/>
        <v>0</v>
      </c>
      <c r="H40" s="2">
        <f t="shared" si="5"/>
        <v>7333.1199999999953</v>
      </c>
    </row>
    <row r="41" spans="1:8" x14ac:dyDescent="0.25">
      <c r="A41" s="1">
        <v>44986</v>
      </c>
      <c r="B41" s="2">
        <f t="shared" si="6"/>
        <v>4848</v>
      </c>
      <c r="C41" s="2">
        <f t="shared" si="0"/>
        <v>0</v>
      </c>
      <c r="D41" s="2">
        <f t="shared" si="1"/>
        <v>4848</v>
      </c>
      <c r="E41" s="2">
        <f t="shared" si="2"/>
        <v>96.96</v>
      </c>
      <c r="F41" s="2">
        <f t="shared" si="3"/>
        <v>72.72</v>
      </c>
      <c r="G41" s="2">
        <f t="shared" si="4"/>
        <v>0</v>
      </c>
      <c r="H41" s="2">
        <f t="shared" si="5"/>
        <v>7502.7999999999956</v>
      </c>
    </row>
    <row r="42" spans="1:8" x14ac:dyDescent="0.25">
      <c r="A42" s="1">
        <v>45017</v>
      </c>
      <c r="B42" s="2">
        <f t="shared" si="6"/>
        <v>4848</v>
      </c>
      <c r="C42" s="2">
        <f t="shared" si="0"/>
        <v>500</v>
      </c>
      <c r="D42" s="2">
        <f t="shared" si="1"/>
        <v>5348</v>
      </c>
      <c r="E42" s="2">
        <f t="shared" si="2"/>
        <v>106.96</v>
      </c>
      <c r="F42" s="2">
        <f t="shared" si="3"/>
        <v>80.22</v>
      </c>
      <c r="G42" s="2">
        <f t="shared" si="4"/>
        <v>0</v>
      </c>
      <c r="H42" s="2">
        <f t="shared" si="5"/>
        <v>7689.9799999999959</v>
      </c>
    </row>
    <row r="43" spans="1:8" x14ac:dyDescent="0.25">
      <c r="A43" s="1">
        <v>45047</v>
      </c>
      <c r="B43" s="2">
        <f t="shared" si="6"/>
        <v>4848</v>
      </c>
      <c r="C43" s="2">
        <f t="shared" si="0"/>
        <v>0</v>
      </c>
      <c r="D43" s="2">
        <f t="shared" si="1"/>
        <v>4848</v>
      </c>
      <c r="E43" s="2">
        <f t="shared" si="2"/>
        <v>96.96</v>
      </c>
      <c r="F43" s="2">
        <f t="shared" si="3"/>
        <v>72.72</v>
      </c>
      <c r="G43" s="2">
        <f t="shared" si="4"/>
        <v>0</v>
      </c>
      <c r="H43" s="2">
        <f t="shared" si="5"/>
        <v>7859.6599999999962</v>
      </c>
    </row>
    <row r="44" spans="1:8" x14ac:dyDescent="0.25">
      <c r="A44" s="1">
        <v>45078</v>
      </c>
      <c r="B44" s="2">
        <f t="shared" si="6"/>
        <v>4848</v>
      </c>
      <c r="C44" s="2">
        <f t="shared" si="0"/>
        <v>0</v>
      </c>
      <c r="D44" s="2">
        <f t="shared" si="1"/>
        <v>4848</v>
      </c>
      <c r="E44" s="2">
        <f t="shared" si="2"/>
        <v>96.96</v>
      </c>
      <c r="F44" s="2">
        <f t="shared" si="3"/>
        <v>72.72</v>
      </c>
      <c r="G44" s="2">
        <f t="shared" si="4"/>
        <v>0</v>
      </c>
      <c r="H44" s="2">
        <f t="shared" si="5"/>
        <v>8029.3399999999965</v>
      </c>
    </row>
    <row r="45" spans="1:8" x14ac:dyDescent="0.25">
      <c r="A45" s="1">
        <v>45108</v>
      </c>
      <c r="B45" s="2">
        <f t="shared" si="6"/>
        <v>4848</v>
      </c>
      <c r="C45" s="2">
        <f t="shared" si="0"/>
        <v>500</v>
      </c>
      <c r="D45" s="2">
        <f t="shared" si="1"/>
        <v>5348</v>
      </c>
      <c r="E45" s="2">
        <f t="shared" si="2"/>
        <v>106.96</v>
      </c>
      <c r="F45" s="2">
        <f t="shared" si="3"/>
        <v>80.22</v>
      </c>
      <c r="G45" s="2">
        <f t="shared" si="4"/>
        <v>0</v>
      </c>
      <c r="H45" s="2">
        <f t="shared" si="5"/>
        <v>8216.5199999999968</v>
      </c>
    </row>
    <row r="46" spans="1:8" x14ac:dyDescent="0.25">
      <c r="A46" s="1">
        <v>45139</v>
      </c>
      <c r="B46" s="2">
        <f t="shared" si="6"/>
        <v>4848</v>
      </c>
      <c r="C46" s="2">
        <f t="shared" si="0"/>
        <v>0</v>
      </c>
      <c r="D46" s="2">
        <f t="shared" si="1"/>
        <v>4848</v>
      </c>
      <c r="E46" s="2">
        <f t="shared" si="2"/>
        <v>96.96</v>
      </c>
      <c r="F46" s="2">
        <f t="shared" si="3"/>
        <v>72.72</v>
      </c>
      <c r="G46" s="2">
        <f t="shared" si="4"/>
        <v>0</v>
      </c>
      <c r="H46" s="2">
        <f t="shared" si="5"/>
        <v>8386.1999999999953</v>
      </c>
    </row>
    <row r="47" spans="1:8" x14ac:dyDescent="0.25">
      <c r="A47" s="1">
        <v>45170</v>
      </c>
      <c r="B47" s="2">
        <f t="shared" si="6"/>
        <v>4848</v>
      </c>
      <c r="C47" s="2">
        <f t="shared" si="0"/>
        <v>0</v>
      </c>
      <c r="D47" s="2">
        <f t="shared" si="1"/>
        <v>4848</v>
      </c>
      <c r="E47" s="2">
        <f t="shared" si="2"/>
        <v>96.96</v>
      </c>
      <c r="F47" s="2">
        <f t="shared" si="3"/>
        <v>72.72</v>
      </c>
      <c r="G47" s="2">
        <f t="shared" si="4"/>
        <v>0</v>
      </c>
      <c r="H47" s="2">
        <f t="shared" si="5"/>
        <v>8555.8799999999937</v>
      </c>
    </row>
    <row r="48" spans="1:8" x14ac:dyDescent="0.25">
      <c r="A48" s="1">
        <v>45200</v>
      </c>
      <c r="B48" s="2">
        <f t="shared" si="6"/>
        <v>4848</v>
      </c>
      <c r="C48" s="2">
        <f t="shared" si="0"/>
        <v>500</v>
      </c>
      <c r="D48" s="2">
        <f t="shared" si="1"/>
        <v>5348</v>
      </c>
      <c r="E48" s="2">
        <f t="shared" si="2"/>
        <v>106.96</v>
      </c>
      <c r="F48" s="2">
        <f t="shared" si="3"/>
        <v>80.22</v>
      </c>
      <c r="G48" s="2">
        <f t="shared" si="4"/>
        <v>0</v>
      </c>
      <c r="H48" s="2">
        <f t="shared" si="5"/>
        <v>8743.0599999999922</v>
      </c>
    </row>
    <row r="49" spans="1:8" x14ac:dyDescent="0.25">
      <c r="A49" s="1">
        <v>45231</v>
      </c>
      <c r="B49" s="2">
        <f t="shared" si="6"/>
        <v>4848</v>
      </c>
      <c r="C49" s="2">
        <f t="shared" si="0"/>
        <v>0</v>
      </c>
      <c r="D49" s="2">
        <f t="shared" si="1"/>
        <v>4848</v>
      </c>
      <c r="E49" s="2">
        <f t="shared" si="2"/>
        <v>96.96</v>
      </c>
      <c r="F49" s="2">
        <f t="shared" si="3"/>
        <v>72.72</v>
      </c>
      <c r="G49" s="2">
        <f t="shared" si="4"/>
        <v>0</v>
      </c>
      <c r="H49" s="2">
        <f t="shared" si="5"/>
        <v>8912.7399999999907</v>
      </c>
    </row>
    <row r="50" spans="1:8" x14ac:dyDescent="0.25">
      <c r="A50" s="1">
        <v>45261</v>
      </c>
      <c r="B50" s="2">
        <f t="shared" si="6"/>
        <v>4848</v>
      </c>
      <c r="C50" s="2">
        <f t="shared" si="0"/>
        <v>0</v>
      </c>
      <c r="D50" s="2">
        <f t="shared" si="1"/>
        <v>4848</v>
      </c>
      <c r="E50" s="2">
        <f t="shared" si="2"/>
        <v>96.96</v>
      </c>
      <c r="F50" s="2">
        <f t="shared" si="3"/>
        <v>72.72</v>
      </c>
      <c r="G50" s="2">
        <f t="shared" si="4"/>
        <v>240</v>
      </c>
      <c r="H50" s="2">
        <f t="shared" si="5"/>
        <v>9322.4199999999892</v>
      </c>
    </row>
    <row r="51" spans="1:8" x14ac:dyDescent="0.25">
      <c r="A51" s="1">
        <v>45292</v>
      </c>
      <c r="B51" s="2">
        <f t="shared" si="6"/>
        <v>5470</v>
      </c>
      <c r="C51" s="2">
        <f t="shared" si="0"/>
        <v>500</v>
      </c>
      <c r="D51" s="2">
        <f t="shared" si="1"/>
        <v>5970</v>
      </c>
      <c r="E51" s="2">
        <f t="shared" si="2"/>
        <v>119.4</v>
      </c>
      <c r="F51" s="2">
        <f t="shared" si="3"/>
        <v>89.55</v>
      </c>
      <c r="G51" s="2">
        <f t="shared" si="4"/>
        <v>0</v>
      </c>
      <c r="H51" s="2">
        <f t="shared" si="5"/>
        <v>9531.3699999999881</v>
      </c>
    </row>
    <row r="52" spans="1:8" x14ac:dyDescent="0.25">
      <c r="A52" s="1">
        <v>45323</v>
      </c>
      <c r="B52" s="2">
        <f t="shared" si="6"/>
        <v>5470</v>
      </c>
      <c r="C52" s="2">
        <f t="shared" si="0"/>
        <v>0</v>
      </c>
      <c r="D52" s="2">
        <f t="shared" si="1"/>
        <v>5470</v>
      </c>
      <c r="E52" s="2">
        <f t="shared" si="2"/>
        <v>109.4</v>
      </c>
      <c r="F52" s="2">
        <f t="shared" si="3"/>
        <v>82.05</v>
      </c>
      <c r="G52" s="2">
        <f t="shared" si="4"/>
        <v>0</v>
      </c>
      <c r="H52" s="2">
        <f t="shared" si="5"/>
        <v>9722.819999999987</v>
      </c>
    </row>
    <row r="53" spans="1:8" x14ac:dyDescent="0.25">
      <c r="A53" s="1">
        <v>45352</v>
      </c>
      <c r="B53" s="2">
        <f t="shared" si="6"/>
        <v>5470</v>
      </c>
      <c r="C53" s="2">
        <f t="shared" si="0"/>
        <v>0</v>
      </c>
      <c r="D53" s="2">
        <f t="shared" si="1"/>
        <v>5470</v>
      </c>
      <c r="E53" s="2">
        <f t="shared" si="2"/>
        <v>109.4</v>
      </c>
      <c r="F53" s="2">
        <f t="shared" si="3"/>
        <v>82.05</v>
      </c>
      <c r="G53" s="2">
        <f t="shared" si="4"/>
        <v>0</v>
      </c>
      <c r="H53" s="2">
        <f t="shared" si="5"/>
        <v>9914.2699999999859</v>
      </c>
    </row>
    <row r="54" spans="1:8" x14ac:dyDescent="0.25">
      <c r="A54" s="1">
        <v>45383</v>
      </c>
      <c r="B54" s="2">
        <f t="shared" si="6"/>
        <v>5470</v>
      </c>
      <c r="C54" s="2">
        <f t="shared" si="0"/>
        <v>500</v>
      </c>
      <c r="D54" s="2">
        <f t="shared" si="1"/>
        <v>5970</v>
      </c>
      <c r="E54" s="2">
        <f t="shared" si="2"/>
        <v>119.4</v>
      </c>
      <c r="F54" s="2">
        <f t="shared" si="3"/>
        <v>89.55</v>
      </c>
      <c r="G54" s="2">
        <f t="shared" si="4"/>
        <v>0</v>
      </c>
      <c r="H54" s="2">
        <f t="shared" si="5"/>
        <v>10123.219999999985</v>
      </c>
    </row>
    <row r="55" spans="1:8" x14ac:dyDescent="0.25">
      <c r="A55" s="1">
        <v>45413</v>
      </c>
      <c r="B55" s="2">
        <f t="shared" si="6"/>
        <v>5470</v>
      </c>
      <c r="C55" s="2">
        <f t="shared" si="0"/>
        <v>0</v>
      </c>
      <c r="D55" s="2">
        <f t="shared" si="1"/>
        <v>5470</v>
      </c>
      <c r="E55" s="2">
        <f t="shared" si="2"/>
        <v>109.4</v>
      </c>
      <c r="F55" s="2">
        <f t="shared" si="3"/>
        <v>82.05</v>
      </c>
      <c r="G55" s="2">
        <f t="shared" si="4"/>
        <v>0</v>
      </c>
      <c r="H55" s="2">
        <f t="shared" si="5"/>
        <v>10314.669999999984</v>
      </c>
    </row>
    <row r="56" spans="1:8" x14ac:dyDescent="0.25">
      <c r="A56" s="1">
        <v>45444</v>
      </c>
      <c r="B56" s="2">
        <f t="shared" si="6"/>
        <v>5470</v>
      </c>
      <c r="C56" s="2">
        <f t="shared" si="0"/>
        <v>0</v>
      </c>
      <c r="D56" s="2">
        <f t="shared" si="1"/>
        <v>5470</v>
      </c>
      <c r="E56" s="2">
        <f t="shared" si="2"/>
        <v>109.4</v>
      </c>
      <c r="F56" s="2">
        <f t="shared" si="3"/>
        <v>82.05</v>
      </c>
      <c r="G56" s="2">
        <f t="shared" si="4"/>
        <v>0</v>
      </c>
      <c r="H56" s="2">
        <f t="shared" si="5"/>
        <v>10506.119999999983</v>
      </c>
    </row>
    <row r="57" spans="1:8" x14ac:dyDescent="0.25">
      <c r="A57" s="1">
        <v>45474</v>
      </c>
      <c r="B57" s="2">
        <f t="shared" si="6"/>
        <v>5470</v>
      </c>
      <c r="C57" s="2">
        <f t="shared" si="0"/>
        <v>500</v>
      </c>
      <c r="D57" s="2">
        <f t="shared" si="1"/>
        <v>5970</v>
      </c>
      <c r="E57" s="2">
        <f t="shared" si="2"/>
        <v>119.4</v>
      </c>
      <c r="F57" s="2">
        <f t="shared" si="3"/>
        <v>89.55</v>
      </c>
      <c r="G57" s="2">
        <f t="shared" si="4"/>
        <v>0</v>
      </c>
      <c r="H57" s="2">
        <f t="shared" si="5"/>
        <v>10715.069999999982</v>
      </c>
    </row>
    <row r="58" spans="1:8" x14ac:dyDescent="0.25">
      <c r="A58" s="1">
        <v>45505</v>
      </c>
      <c r="B58" s="2">
        <f t="shared" si="6"/>
        <v>5470</v>
      </c>
      <c r="C58" s="2">
        <f t="shared" si="0"/>
        <v>0</v>
      </c>
      <c r="D58" s="2">
        <f t="shared" si="1"/>
        <v>5470</v>
      </c>
      <c r="E58" s="2">
        <f t="shared" si="2"/>
        <v>109.4</v>
      </c>
      <c r="F58" s="2">
        <f t="shared" si="3"/>
        <v>82.05</v>
      </c>
      <c r="G58" s="2">
        <f t="shared" si="4"/>
        <v>0</v>
      </c>
      <c r="H58" s="2">
        <f t="shared" si="5"/>
        <v>10906.51999999998</v>
      </c>
    </row>
    <row r="59" spans="1:8" x14ac:dyDescent="0.25">
      <c r="A59" s="1">
        <v>45536</v>
      </c>
      <c r="B59" s="2">
        <f t="shared" si="6"/>
        <v>5470</v>
      </c>
      <c r="C59" s="2">
        <f t="shared" si="0"/>
        <v>0</v>
      </c>
      <c r="D59" s="2">
        <f t="shared" si="1"/>
        <v>5470</v>
      </c>
      <c r="E59" s="2">
        <f t="shared" si="2"/>
        <v>109.4</v>
      </c>
      <c r="F59" s="2">
        <f t="shared" si="3"/>
        <v>82.05</v>
      </c>
      <c r="G59" s="2">
        <f t="shared" si="4"/>
        <v>0</v>
      </c>
      <c r="H59" s="2">
        <f t="shared" si="5"/>
        <v>11097.969999999979</v>
      </c>
    </row>
    <row r="60" spans="1:8" x14ac:dyDescent="0.25">
      <c r="A60" s="1">
        <v>45566</v>
      </c>
      <c r="B60" s="2">
        <f t="shared" si="6"/>
        <v>5470</v>
      </c>
      <c r="C60" s="2">
        <f t="shared" si="0"/>
        <v>500</v>
      </c>
      <c r="D60" s="2">
        <f t="shared" si="1"/>
        <v>5970</v>
      </c>
      <c r="E60" s="2">
        <f t="shared" si="2"/>
        <v>119.4</v>
      </c>
      <c r="F60" s="2">
        <f t="shared" si="3"/>
        <v>89.55</v>
      </c>
      <c r="G60" s="2">
        <f t="shared" si="4"/>
        <v>0</v>
      </c>
      <c r="H60" s="2">
        <f t="shared" si="5"/>
        <v>11306.919999999978</v>
      </c>
    </row>
    <row r="61" spans="1:8" x14ac:dyDescent="0.25">
      <c r="A61" s="1">
        <v>45597</v>
      </c>
      <c r="B61" s="2">
        <f t="shared" si="6"/>
        <v>5470</v>
      </c>
      <c r="C61" s="2">
        <f t="shared" si="0"/>
        <v>0</v>
      </c>
      <c r="D61" s="2">
        <f t="shared" si="1"/>
        <v>5470</v>
      </c>
      <c r="E61" s="2">
        <f t="shared" si="2"/>
        <v>109.4</v>
      </c>
      <c r="F61" s="2">
        <f t="shared" si="3"/>
        <v>82.05</v>
      </c>
      <c r="G61" s="2">
        <f t="shared" si="4"/>
        <v>0</v>
      </c>
      <c r="H61" s="2">
        <f t="shared" si="5"/>
        <v>11498.369999999977</v>
      </c>
    </row>
    <row r="62" spans="1:8" x14ac:dyDescent="0.25">
      <c r="A62" s="1">
        <v>45627</v>
      </c>
      <c r="B62" s="2">
        <f t="shared" si="6"/>
        <v>5470</v>
      </c>
      <c r="C62" s="2">
        <f t="shared" si="0"/>
        <v>0</v>
      </c>
      <c r="D62" s="2">
        <f t="shared" si="1"/>
        <v>5470</v>
      </c>
      <c r="E62" s="2">
        <f t="shared" si="2"/>
        <v>109.4</v>
      </c>
      <c r="F62" s="2">
        <f t="shared" si="3"/>
        <v>82.05</v>
      </c>
      <c r="G62" s="2">
        <f t="shared" si="4"/>
        <v>240</v>
      </c>
      <c r="H62" s="2">
        <f t="shared" si="5"/>
        <v>11929.819999999976</v>
      </c>
    </row>
    <row r="63" spans="1:8" x14ac:dyDescent="0.25">
      <c r="A63" s="1">
        <v>45658</v>
      </c>
      <c r="B63" s="2">
        <f t="shared" si="6"/>
        <v>5607</v>
      </c>
      <c r="C63" s="2">
        <f t="shared" si="0"/>
        <v>500</v>
      </c>
      <c r="D63" s="2">
        <f t="shared" si="1"/>
        <v>6107</v>
      </c>
      <c r="E63" s="2">
        <f t="shared" si="2"/>
        <v>122.14</v>
      </c>
      <c r="F63" s="2">
        <f t="shared" si="3"/>
        <v>91.61</v>
      </c>
      <c r="G63" s="2">
        <f t="shared" si="4"/>
        <v>0</v>
      </c>
      <c r="H63" s="2">
        <f t="shared" si="5"/>
        <v>12143.569999999976</v>
      </c>
    </row>
    <row r="64" spans="1:8" x14ac:dyDescent="0.25">
      <c r="A64" s="1">
        <v>45689</v>
      </c>
      <c r="B64" s="2">
        <f t="shared" si="6"/>
        <v>5607</v>
      </c>
      <c r="C64" s="2">
        <f t="shared" si="0"/>
        <v>0</v>
      </c>
      <c r="D64" s="2">
        <f t="shared" si="1"/>
        <v>5607</v>
      </c>
      <c r="E64" s="2">
        <f t="shared" si="2"/>
        <v>112.14</v>
      </c>
      <c r="F64" s="2">
        <f t="shared" si="3"/>
        <v>84.11</v>
      </c>
      <c r="G64" s="2">
        <f t="shared" si="4"/>
        <v>0</v>
      </c>
      <c r="H64" s="2">
        <f t="shared" si="5"/>
        <v>12339.819999999976</v>
      </c>
    </row>
    <row r="65" spans="1:8" x14ac:dyDescent="0.25">
      <c r="A65" s="1">
        <v>45717</v>
      </c>
      <c r="B65" s="2">
        <f t="shared" si="6"/>
        <v>5607</v>
      </c>
      <c r="C65" s="2">
        <f t="shared" si="0"/>
        <v>0</v>
      </c>
      <c r="D65" s="2">
        <f t="shared" si="1"/>
        <v>5607</v>
      </c>
      <c r="E65" s="2">
        <f t="shared" si="2"/>
        <v>112.14</v>
      </c>
      <c r="F65" s="2">
        <f t="shared" si="3"/>
        <v>84.11</v>
      </c>
      <c r="G65" s="2">
        <f t="shared" si="4"/>
        <v>0</v>
      </c>
      <c r="H65" s="2">
        <f t="shared" si="5"/>
        <v>12536.069999999976</v>
      </c>
    </row>
    <row r="66" spans="1:8" x14ac:dyDescent="0.25">
      <c r="A66" s="1">
        <v>45748</v>
      </c>
      <c r="B66" s="2">
        <f t="shared" si="6"/>
        <v>5607</v>
      </c>
      <c r="C66" s="2">
        <f t="shared" si="0"/>
        <v>500</v>
      </c>
      <c r="D66" s="2">
        <f t="shared" si="1"/>
        <v>6107</v>
      </c>
      <c r="E66" s="2">
        <f t="shared" si="2"/>
        <v>122.14</v>
      </c>
      <c r="F66" s="2">
        <f t="shared" si="3"/>
        <v>91.61</v>
      </c>
      <c r="G66" s="2">
        <f t="shared" si="4"/>
        <v>0</v>
      </c>
      <c r="H66" s="2">
        <f t="shared" si="5"/>
        <v>12749.819999999976</v>
      </c>
    </row>
    <row r="67" spans="1:8" x14ac:dyDescent="0.25">
      <c r="A67" s="1">
        <v>45778</v>
      </c>
      <c r="B67" s="2">
        <f t="shared" si="6"/>
        <v>5607</v>
      </c>
      <c r="C67" s="2">
        <f t="shared" si="0"/>
        <v>0</v>
      </c>
      <c r="D67" s="2">
        <f t="shared" si="1"/>
        <v>5607</v>
      </c>
      <c r="E67" s="2">
        <f t="shared" si="2"/>
        <v>112.14</v>
      </c>
      <c r="F67" s="2">
        <f t="shared" si="3"/>
        <v>84.11</v>
      </c>
      <c r="G67" s="2">
        <f t="shared" si="4"/>
        <v>0</v>
      </c>
      <c r="H67" s="2">
        <f t="shared" si="5"/>
        <v>12946.069999999976</v>
      </c>
    </row>
    <row r="68" spans="1:8" x14ac:dyDescent="0.25">
      <c r="A68" s="1">
        <v>45809</v>
      </c>
      <c r="B68" s="2">
        <f t="shared" si="6"/>
        <v>5607</v>
      </c>
      <c r="C68" s="2">
        <f t="shared" ref="C68:C131" si="7">IF(AND(OR(MONTH(A68)=1,MONTH(A68)=4,MONTH(A68)=7,MONTH(A68)=10),DATE(2020,1,1)&lt;&gt;A68),500,0)</f>
        <v>0</v>
      </c>
      <c r="D68" s="2">
        <f t="shared" ref="D68:D131" si="8">B68+C68</f>
        <v>5607</v>
      </c>
      <c r="E68" s="2">
        <f t="shared" ref="E68:E131" si="9">ROUND(D68*0.02,2)</f>
        <v>112.14</v>
      </c>
      <c r="F68" s="2">
        <f t="shared" ref="F68:F131" si="10">ROUND(D68*0.015,2)</f>
        <v>84.11</v>
      </c>
      <c r="G68" s="2">
        <f t="shared" ref="G68:G131" si="11">IF(MONTH(A68)=12,240,0)</f>
        <v>0</v>
      </c>
      <c r="H68" s="2">
        <f t="shared" ref="H68:H131" si="12">H67+E68+F68+G68</f>
        <v>13142.319999999976</v>
      </c>
    </row>
    <row r="69" spans="1:8" x14ac:dyDescent="0.25">
      <c r="A69" s="1">
        <v>45839</v>
      </c>
      <c r="B69" s="2">
        <f t="shared" ref="B69:B132" si="13">IF(YEAR($A69) &gt; YEAR($A68),IF(AND(MOD(YEAR(A69),4)=0,YEAR(A69)&lt;&gt;2020),ROUNDUP($B68*1.025,0)+500,ROUNDUP($B68*1.025,0)),$B68)</f>
        <v>5607</v>
      </c>
      <c r="C69" s="2">
        <f t="shared" si="7"/>
        <v>500</v>
      </c>
      <c r="D69" s="2">
        <f t="shared" si="8"/>
        <v>6107</v>
      </c>
      <c r="E69" s="2">
        <f t="shared" si="9"/>
        <v>122.14</v>
      </c>
      <c r="F69" s="2">
        <f t="shared" si="10"/>
        <v>91.61</v>
      </c>
      <c r="G69" s="2">
        <f t="shared" si="11"/>
        <v>0</v>
      </c>
      <c r="H69" s="2">
        <f t="shared" si="12"/>
        <v>13356.069999999976</v>
      </c>
    </row>
    <row r="70" spans="1:8" x14ac:dyDescent="0.25">
      <c r="A70" s="1">
        <v>45870</v>
      </c>
      <c r="B70" s="2">
        <f t="shared" si="13"/>
        <v>5607</v>
      </c>
      <c r="C70" s="2">
        <f t="shared" si="7"/>
        <v>0</v>
      </c>
      <c r="D70" s="2">
        <f t="shared" si="8"/>
        <v>5607</v>
      </c>
      <c r="E70" s="2">
        <f t="shared" si="9"/>
        <v>112.14</v>
      </c>
      <c r="F70" s="2">
        <f t="shared" si="10"/>
        <v>84.11</v>
      </c>
      <c r="G70" s="2">
        <f t="shared" si="11"/>
        <v>0</v>
      </c>
      <c r="H70" s="2">
        <f t="shared" si="12"/>
        <v>13552.319999999976</v>
      </c>
    </row>
    <row r="71" spans="1:8" x14ac:dyDescent="0.25">
      <c r="A71" s="1">
        <v>45901</v>
      </c>
      <c r="B71" s="2">
        <f t="shared" si="13"/>
        <v>5607</v>
      </c>
      <c r="C71" s="2">
        <f t="shared" si="7"/>
        <v>0</v>
      </c>
      <c r="D71" s="2">
        <f t="shared" si="8"/>
        <v>5607</v>
      </c>
      <c r="E71" s="2">
        <f t="shared" si="9"/>
        <v>112.14</v>
      </c>
      <c r="F71" s="2">
        <f t="shared" si="10"/>
        <v>84.11</v>
      </c>
      <c r="G71" s="2">
        <f t="shared" si="11"/>
        <v>0</v>
      </c>
      <c r="H71" s="2">
        <f t="shared" si="12"/>
        <v>13748.569999999976</v>
      </c>
    </row>
    <row r="72" spans="1:8" x14ac:dyDescent="0.25">
      <c r="A72" s="1">
        <v>45931</v>
      </c>
      <c r="B72" s="2">
        <f t="shared" si="13"/>
        <v>5607</v>
      </c>
      <c r="C72" s="2">
        <f t="shared" si="7"/>
        <v>500</v>
      </c>
      <c r="D72" s="2">
        <f t="shared" si="8"/>
        <v>6107</v>
      </c>
      <c r="E72" s="2">
        <f t="shared" si="9"/>
        <v>122.14</v>
      </c>
      <c r="F72" s="2">
        <f t="shared" si="10"/>
        <v>91.61</v>
      </c>
      <c r="G72" s="2">
        <f t="shared" si="11"/>
        <v>0</v>
      </c>
      <c r="H72" s="2">
        <f t="shared" si="12"/>
        <v>13962.319999999976</v>
      </c>
    </row>
    <row r="73" spans="1:8" x14ac:dyDescent="0.25">
      <c r="A73" s="1">
        <v>45962</v>
      </c>
      <c r="B73" s="2">
        <f t="shared" si="13"/>
        <v>5607</v>
      </c>
      <c r="C73" s="2">
        <f t="shared" si="7"/>
        <v>0</v>
      </c>
      <c r="D73" s="2">
        <f t="shared" si="8"/>
        <v>5607</v>
      </c>
      <c r="E73" s="2">
        <f t="shared" si="9"/>
        <v>112.14</v>
      </c>
      <c r="F73" s="2">
        <f t="shared" si="10"/>
        <v>84.11</v>
      </c>
      <c r="G73" s="2">
        <f t="shared" si="11"/>
        <v>0</v>
      </c>
      <c r="H73" s="2">
        <f t="shared" si="12"/>
        <v>14158.569999999976</v>
      </c>
    </row>
    <row r="74" spans="1:8" x14ac:dyDescent="0.25">
      <c r="A74" s="1">
        <v>45992</v>
      </c>
      <c r="B74" s="2">
        <f t="shared" si="13"/>
        <v>5607</v>
      </c>
      <c r="C74" s="2">
        <f t="shared" si="7"/>
        <v>0</v>
      </c>
      <c r="D74" s="2">
        <f t="shared" si="8"/>
        <v>5607</v>
      </c>
      <c r="E74" s="2">
        <f t="shared" si="9"/>
        <v>112.14</v>
      </c>
      <c r="F74" s="2">
        <f t="shared" si="10"/>
        <v>84.11</v>
      </c>
      <c r="G74" s="2">
        <f t="shared" si="11"/>
        <v>240</v>
      </c>
      <c r="H74" s="2">
        <f t="shared" si="12"/>
        <v>14594.819999999976</v>
      </c>
    </row>
    <row r="75" spans="1:8" x14ac:dyDescent="0.25">
      <c r="A75" s="1">
        <v>46023</v>
      </c>
      <c r="B75" s="2">
        <f t="shared" si="13"/>
        <v>5748</v>
      </c>
      <c r="C75" s="2">
        <f t="shared" si="7"/>
        <v>500</v>
      </c>
      <c r="D75" s="2">
        <f t="shared" si="8"/>
        <v>6248</v>
      </c>
      <c r="E75" s="2">
        <f t="shared" si="9"/>
        <v>124.96</v>
      </c>
      <c r="F75" s="2">
        <f t="shared" si="10"/>
        <v>93.72</v>
      </c>
      <c r="G75" s="2">
        <f t="shared" si="11"/>
        <v>0</v>
      </c>
      <c r="H75" s="2">
        <f t="shared" si="12"/>
        <v>14813.499999999975</v>
      </c>
    </row>
    <row r="76" spans="1:8" x14ac:dyDescent="0.25">
      <c r="A76" s="1">
        <v>46054</v>
      </c>
      <c r="B76" s="2">
        <f t="shared" si="13"/>
        <v>5748</v>
      </c>
      <c r="C76" s="2">
        <f t="shared" si="7"/>
        <v>0</v>
      </c>
      <c r="D76" s="2">
        <f t="shared" si="8"/>
        <v>5748</v>
      </c>
      <c r="E76" s="2">
        <f t="shared" si="9"/>
        <v>114.96</v>
      </c>
      <c r="F76" s="2">
        <f t="shared" si="10"/>
        <v>86.22</v>
      </c>
      <c r="G76" s="2">
        <f t="shared" si="11"/>
        <v>0</v>
      </c>
      <c r="H76" s="2">
        <f t="shared" si="12"/>
        <v>15014.679999999973</v>
      </c>
    </row>
    <row r="77" spans="1:8" x14ac:dyDescent="0.25">
      <c r="A77" s="1">
        <v>46082</v>
      </c>
      <c r="B77" s="2">
        <f t="shared" si="13"/>
        <v>5748</v>
      </c>
      <c r="C77" s="2">
        <f t="shared" si="7"/>
        <v>0</v>
      </c>
      <c r="D77" s="2">
        <f t="shared" si="8"/>
        <v>5748</v>
      </c>
      <c r="E77" s="2">
        <f t="shared" si="9"/>
        <v>114.96</v>
      </c>
      <c r="F77" s="2">
        <f t="shared" si="10"/>
        <v>86.22</v>
      </c>
      <c r="G77" s="2">
        <f t="shared" si="11"/>
        <v>0</v>
      </c>
      <c r="H77" s="2">
        <f t="shared" si="12"/>
        <v>15215.859999999971</v>
      </c>
    </row>
    <row r="78" spans="1:8" x14ac:dyDescent="0.25">
      <c r="A78" s="1">
        <v>46113</v>
      </c>
      <c r="B78" s="2">
        <f t="shared" si="13"/>
        <v>5748</v>
      </c>
      <c r="C78" s="2">
        <f t="shared" si="7"/>
        <v>500</v>
      </c>
      <c r="D78" s="2">
        <f t="shared" si="8"/>
        <v>6248</v>
      </c>
      <c r="E78" s="2">
        <f t="shared" si="9"/>
        <v>124.96</v>
      </c>
      <c r="F78" s="2">
        <f t="shared" si="10"/>
        <v>93.72</v>
      </c>
      <c r="G78" s="2">
        <f t="shared" si="11"/>
        <v>0</v>
      </c>
      <c r="H78" s="2">
        <f t="shared" si="12"/>
        <v>15434.53999999997</v>
      </c>
    </row>
    <row r="79" spans="1:8" x14ac:dyDescent="0.25">
      <c r="A79" s="1">
        <v>46143</v>
      </c>
      <c r="B79" s="2">
        <f t="shared" si="13"/>
        <v>5748</v>
      </c>
      <c r="C79" s="2">
        <f t="shared" si="7"/>
        <v>0</v>
      </c>
      <c r="D79" s="2">
        <f t="shared" si="8"/>
        <v>5748</v>
      </c>
      <c r="E79" s="2">
        <f t="shared" si="9"/>
        <v>114.96</v>
      </c>
      <c r="F79" s="2">
        <f t="shared" si="10"/>
        <v>86.22</v>
      </c>
      <c r="G79" s="2">
        <f t="shared" si="11"/>
        <v>0</v>
      </c>
      <c r="H79" s="2">
        <f t="shared" si="12"/>
        <v>15635.719999999968</v>
      </c>
    </row>
    <row r="80" spans="1:8" x14ac:dyDescent="0.25">
      <c r="A80" s="1">
        <v>46174</v>
      </c>
      <c r="B80" s="2">
        <f t="shared" si="13"/>
        <v>5748</v>
      </c>
      <c r="C80" s="2">
        <f t="shared" si="7"/>
        <v>0</v>
      </c>
      <c r="D80" s="2">
        <f t="shared" si="8"/>
        <v>5748</v>
      </c>
      <c r="E80" s="2">
        <f t="shared" si="9"/>
        <v>114.96</v>
      </c>
      <c r="F80" s="2">
        <f t="shared" si="10"/>
        <v>86.22</v>
      </c>
      <c r="G80" s="2">
        <f t="shared" si="11"/>
        <v>0</v>
      </c>
      <c r="H80" s="2">
        <f t="shared" si="12"/>
        <v>15836.899999999967</v>
      </c>
    </row>
    <row r="81" spans="1:8" x14ac:dyDescent="0.25">
      <c r="A81" s="1">
        <v>46204</v>
      </c>
      <c r="B81" s="2">
        <f t="shared" si="13"/>
        <v>5748</v>
      </c>
      <c r="C81" s="2">
        <f t="shared" si="7"/>
        <v>500</v>
      </c>
      <c r="D81" s="2">
        <f t="shared" si="8"/>
        <v>6248</v>
      </c>
      <c r="E81" s="2">
        <f t="shared" si="9"/>
        <v>124.96</v>
      </c>
      <c r="F81" s="2">
        <f t="shared" si="10"/>
        <v>93.72</v>
      </c>
      <c r="G81" s="2">
        <f t="shared" si="11"/>
        <v>0</v>
      </c>
      <c r="H81" s="2">
        <f t="shared" si="12"/>
        <v>16055.579999999965</v>
      </c>
    </row>
    <row r="82" spans="1:8" x14ac:dyDescent="0.25">
      <c r="A82" s="1">
        <v>46235</v>
      </c>
      <c r="B82" s="2">
        <f t="shared" si="13"/>
        <v>5748</v>
      </c>
      <c r="C82" s="2">
        <f t="shared" si="7"/>
        <v>0</v>
      </c>
      <c r="D82" s="2">
        <f t="shared" si="8"/>
        <v>5748</v>
      </c>
      <c r="E82" s="2">
        <f t="shared" si="9"/>
        <v>114.96</v>
      </c>
      <c r="F82" s="2">
        <f t="shared" si="10"/>
        <v>86.22</v>
      </c>
      <c r="G82" s="2">
        <f t="shared" si="11"/>
        <v>0</v>
      </c>
      <c r="H82" s="2">
        <f t="shared" si="12"/>
        <v>16256.759999999964</v>
      </c>
    </row>
    <row r="83" spans="1:8" x14ac:dyDescent="0.25">
      <c r="A83" s="1">
        <v>46266</v>
      </c>
      <c r="B83" s="2">
        <f t="shared" si="13"/>
        <v>5748</v>
      </c>
      <c r="C83" s="2">
        <f t="shared" si="7"/>
        <v>0</v>
      </c>
      <c r="D83" s="2">
        <f t="shared" si="8"/>
        <v>5748</v>
      </c>
      <c r="E83" s="2">
        <f t="shared" si="9"/>
        <v>114.96</v>
      </c>
      <c r="F83" s="2">
        <f t="shared" si="10"/>
        <v>86.22</v>
      </c>
      <c r="G83" s="2">
        <f t="shared" si="11"/>
        <v>0</v>
      </c>
      <c r="H83" s="2">
        <f t="shared" si="12"/>
        <v>16457.939999999962</v>
      </c>
    </row>
    <row r="84" spans="1:8" x14ac:dyDescent="0.25">
      <c r="A84" s="1">
        <v>46296</v>
      </c>
      <c r="B84" s="2">
        <f t="shared" si="13"/>
        <v>5748</v>
      </c>
      <c r="C84" s="2">
        <f t="shared" si="7"/>
        <v>500</v>
      </c>
      <c r="D84" s="2">
        <f t="shared" si="8"/>
        <v>6248</v>
      </c>
      <c r="E84" s="2">
        <f t="shared" si="9"/>
        <v>124.96</v>
      </c>
      <c r="F84" s="2">
        <f t="shared" si="10"/>
        <v>93.72</v>
      </c>
      <c r="G84" s="2">
        <f t="shared" si="11"/>
        <v>0</v>
      </c>
      <c r="H84" s="2">
        <f t="shared" si="12"/>
        <v>16676.619999999963</v>
      </c>
    </row>
    <row r="85" spans="1:8" x14ac:dyDescent="0.25">
      <c r="A85" s="1">
        <v>46327</v>
      </c>
      <c r="B85" s="2">
        <f t="shared" si="13"/>
        <v>5748</v>
      </c>
      <c r="C85" s="2">
        <f t="shared" si="7"/>
        <v>0</v>
      </c>
      <c r="D85" s="2">
        <f t="shared" si="8"/>
        <v>5748</v>
      </c>
      <c r="E85" s="2">
        <f t="shared" si="9"/>
        <v>114.96</v>
      </c>
      <c r="F85" s="2">
        <f t="shared" si="10"/>
        <v>86.22</v>
      </c>
      <c r="G85" s="2">
        <f t="shared" si="11"/>
        <v>0</v>
      </c>
      <c r="H85" s="2">
        <f t="shared" si="12"/>
        <v>16877.799999999963</v>
      </c>
    </row>
    <row r="86" spans="1:8" x14ac:dyDescent="0.25">
      <c r="A86" s="1">
        <v>46357</v>
      </c>
      <c r="B86" s="2">
        <f t="shared" si="13"/>
        <v>5748</v>
      </c>
      <c r="C86" s="2">
        <f t="shared" si="7"/>
        <v>0</v>
      </c>
      <c r="D86" s="2">
        <f t="shared" si="8"/>
        <v>5748</v>
      </c>
      <c r="E86" s="2">
        <f t="shared" si="9"/>
        <v>114.96</v>
      </c>
      <c r="F86" s="2">
        <f t="shared" si="10"/>
        <v>86.22</v>
      </c>
      <c r="G86" s="2">
        <f t="shared" si="11"/>
        <v>240</v>
      </c>
      <c r="H86" s="2">
        <f t="shared" si="12"/>
        <v>17318.979999999963</v>
      </c>
    </row>
    <row r="87" spans="1:8" x14ac:dyDescent="0.25">
      <c r="A87" s="1">
        <v>46388</v>
      </c>
      <c r="B87" s="2">
        <f t="shared" si="13"/>
        <v>5892</v>
      </c>
      <c r="C87" s="2">
        <f t="shared" si="7"/>
        <v>500</v>
      </c>
      <c r="D87" s="2">
        <f t="shared" si="8"/>
        <v>6392</v>
      </c>
      <c r="E87" s="2">
        <f t="shared" si="9"/>
        <v>127.84</v>
      </c>
      <c r="F87" s="2">
        <f t="shared" si="10"/>
        <v>95.88</v>
      </c>
      <c r="G87" s="2">
        <f t="shared" si="11"/>
        <v>0</v>
      </c>
      <c r="H87" s="2">
        <f t="shared" si="12"/>
        <v>17542.699999999964</v>
      </c>
    </row>
    <row r="88" spans="1:8" x14ac:dyDescent="0.25">
      <c r="A88" s="1">
        <v>46419</v>
      </c>
      <c r="B88" s="2">
        <f t="shared" si="13"/>
        <v>5892</v>
      </c>
      <c r="C88" s="2">
        <f t="shared" si="7"/>
        <v>0</v>
      </c>
      <c r="D88" s="2">
        <f t="shared" si="8"/>
        <v>5892</v>
      </c>
      <c r="E88" s="2">
        <f t="shared" si="9"/>
        <v>117.84</v>
      </c>
      <c r="F88" s="2">
        <f t="shared" si="10"/>
        <v>88.38</v>
      </c>
      <c r="G88" s="2">
        <f t="shared" si="11"/>
        <v>0</v>
      </c>
      <c r="H88" s="2">
        <f t="shared" si="12"/>
        <v>17748.919999999966</v>
      </c>
    </row>
    <row r="89" spans="1:8" x14ac:dyDescent="0.25">
      <c r="A89" s="1">
        <v>46447</v>
      </c>
      <c r="B89" s="2">
        <f t="shared" si="13"/>
        <v>5892</v>
      </c>
      <c r="C89" s="2">
        <f t="shared" si="7"/>
        <v>0</v>
      </c>
      <c r="D89" s="2">
        <f t="shared" si="8"/>
        <v>5892</v>
      </c>
      <c r="E89" s="2">
        <f t="shared" si="9"/>
        <v>117.84</v>
      </c>
      <c r="F89" s="2">
        <f t="shared" si="10"/>
        <v>88.38</v>
      </c>
      <c r="G89" s="2">
        <f t="shared" si="11"/>
        <v>0</v>
      </c>
      <c r="H89" s="2">
        <f t="shared" si="12"/>
        <v>17955.139999999967</v>
      </c>
    </row>
    <row r="90" spans="1:8" x14ac:dyDescent="0.25">
      <c r="A90" s="1">
        <v>46478</v>
      </c>
      <c r="B90" s="2">
        <f t="shared" si="13"/>
        <v>5892</v>
      </c>
      <c r="C90" s="2">
        <f t="shared" si="7"/>
        <v>500</v>
      </c>
      <c r="D90" s="2">
        <f t="shared" si="8"/>
        <v>6392</v>
      </c>
      <c r="E90" s="2">
        <f t="shared" si="9"/>
        <v>127.84</v>
      </c>
      <c r="F90" s="2">
        <f t="shared" si="10"/>
        <v>95.88</v>
      </c>
      <c r="G90" s="2">
        <f t="shared" si="11"/>
        <v>0</v>
      </c>
      <c r="H90" s="2">
        <f t="shared" si="12"/>
        <v>18178.859999999968</v>
      </c>
    </row>
    <row r="91" spans="1:8" x14ac:dyDescent="0.25">
      <c r="A91" s="1">
        <v>46508</v>
      </c>
      <c r="B91" s="2">
        <f t="shared" si="13"/>
        <v>5892</v>
      </c>
      <c r="C91" s="2">
        <f t="shared" si="7"/>
        <v>0</v>
      </c>
      <c r="D91" s="2">
        <f t="shared" si="8"/>
        <v>5892</v>
      </c>
      <c r="E91" s="2">
        <f t="shared" si="9"/>
        <v>117.84</v>
      </c>
      <c r="F91" s="2">
        <f t="shared" si="10"/>
        <v>88.38</v>
      </c>
      <c r="G91" s="2">
        <f t="shared" si="11"/>
        <v>0</v>
      </c>
      <c r="H91" s="2">
        <f t="shared" si="12"/>
        <v>18385.079999999969</v>
      </c>
    </row>
    <row r="92" spans="1:8" x14ac:dyDescent="0.25">
      <c r="A92" s="1">
        <v>46539</v>
      </c>
      <c r="B92" s="2">
        <f t="shared" si="13"/>
        <v>5892</v>
      </c>
      <c r="C92" s="2">
        <f t="shared" si="7"/>
        <v>0</v>
      </c>
      <c r="D92" s="2">
        <f t="shared" si="8"/>
        <v>5892</v>
      </c>
      <c r="E92" s="2">
        <f t="shared" si="9"/>
        <v>117.84</v>
      </c>
      <c r="F92" s="2">
        <f t="shared" si="10"/>
        <v>88.38</v>
      </c>
      <c r="G92" s="2">
        <f t="shared" si="11"/>
        <v>0</v>
      </c>
      <c r="H92" s="2">
        <f t="shared" si="12"/>
        <v>18591.29999999997</v>
      </c>
    </row>
    <row r="93" spans="1:8" x14ac:dyDescent="0.25">
      <c r="A93" s="1">
        <v>46569</v>
      </c>
      <c r="B93" s="2">
        <f t="shared" si="13"/>
        <v>5892</v>
      </c>
      <c r="C93" s="2">
        <f t="shared" si="7"/>
        <v>500</v>
      </c>
      <c r="D93" s="2">
        <f t="shared" si="8"/>
        <v>6392</v>
      </c>
      <c r="E93" s="2">
        <f t="shared" si="9"/>
        <v>127.84</v>
      </c>
      <c r="F93" s="2">
        <f t="shared" si="10"/>
        <v>95.88</v>
      </c>
      <c r="G93" s="2">
        <f t="shared" si="11"/>
        <v>0</v>
      </c>
      <c r="H93" s="2">
        <f t="shared" si="12"/>
        <v>18815.019999999971</v>
      </c>
    </row>
    <row r="94" spans="1:8" x14ac:dyDescent="0.25">
      <c r="A94" s="1">
        <v>46600</v>
      </c>
      <c r="B94" s="2">
        <f t="shared" si="13"/>
        <v>5892</v>
      </c>
      <c r="C94" s="2">
        <f t="shared" si="7"/>
        <v>0</v>
      </c>
      <c r="D94" s="2">
        <f t="shared" si="8"/>
        <v>5892</v>
      </c>
      <c r="E94" s="2">
        <f t="shared" si="9"/>
        <v>117.84</v>
      </c>
      <c r="F94" s="2">
        <f t="shared" si="10"/>
        <v>88.38</v>
      </c>
      <c r="G94" s="2">
        <f t="shared" si="11"/>
        <v>0</v>
      </c>
      <c r="H94" s="2">
        <f t="shared" si="12"/>
        <v>19021.239999999972</v>
      </c>
    </row>
    <row r="95" spans="1:8" x14ac:dyDescent="0.25">
      <c r="A95" s="1">
        <v>46631</v>
      </c>
      <c r="B95" s="2">
        <f t="shared" si="13"/>
        <v>5892</v>
      </c>
      <c r="C95" s="2">
        <f t="shared" si="7"/>
        <v>0</v>
      </c>
      <c r="D95" s="2">
        <f t="shared" si="8"/>
        <v>5892</v>
      </c>
      <c r="E95" s="2">
        <f t="shared" si="9"/>
        <v>117.84</v>
      </c>
      <c r="F95" s="2">
        <f t="shared" si="10"/>
        <v>88.38</v>
      </c>
      <c r="G95" s="2">
        <f t="shared" si="11"/>
        <v>0</v>
      </c>
      <c r="H95" s="2">
        <f t="shared" si="12"/>
        <v>19227.459999999974</v>
      </c>
    </row>
    <row r="96" spans="1:8" x14ac:dyDescent="0.25">
      <c r="A96" s="1">
        <v>46661</v>
      </c>
      <c r="B96" s="2">
        <f t="shared" si="13"/>
        <v>5892</v>
      </c>
      <c r="C96" s="2">
        <f t="shared" si="7"/>
        <v>500</v>
      </c>
      <c r="D96" s="2">
        <f t="shared" si="8"/>
        <v>6392</v>
      </c>
      <c r="E96" s="2">
        <f t="shared" si="9"/>
        <v>127.84</v>
      </c>
      <c r="F96" s="2">
        <f t="shared" si="10"/>
        <v>95.88</v>
      </c>
      <c r="G96" s="2">
        <f t="shared" si="11"/>
        <v>0</v>
      </c>
      <c r="H96" s="2">
        <f t="shared" si="12"/>
        <v>19451.179999999975</v>
      </c>
    </row>
    <row r="97" spans="1:8" x14ac:dyDescent="0.25">
      <c r="A97" s="1">
        <v>46692</v>
      </c>
      <c r="B97" s="2">
        <f t="shared" si="13"/>
        <v>5892</v>
      </c>
      <c r="C97" s="2">
        <f t="shared" si="7"/>
        <v>0</v>
      </c>
      <c r="D97" s="2">
        <f t="shared" si="8"/>
        <v>5892</v>
      </c>
      <c r="E97" s="2">
        <f t="shared" si="9"/>
        <v>117.84</v>
      </c>
      <c r="F97" s="2">
        <f t="shared" si="10"/>
        <v>88.38</v>
      </c>
      <c r="G97" s="2">
        <f t="shared" si="11"/>
        <v>0</v>
      </c>
      <c r="H97" s="2">
        <f t="shared" si="12"/>
        <v>19657.399999999976</v>
      </c>
    </row>
    <row r="98" spans="1:8" x14ac:dyDescent="0.25">
      <c r="A98" s="1">
        <v>46722</v>
      </c>
      <c r="B98" s="2">
        <f t="shared" si="13"/>
        <v>5892</v>
      </c>
      <c r="C98" s="2">
        <f t="shared" si="7"/>
        <v>0</v>
      </c>
      <c r="D98" s="2">
        <f t="shared" si="8"/>
        <v>5892</v>
      </c>
      <c r="E98" s="2">
        <f t="shared" si="9"/>
        <v>117.84</v>
      </c>
      <c r="F98" s="2">
        <f t="shared" si="10"/>
        <v>88.38</v>
      </c>
      <c r="G98" s="2">
        <f t="shared" si="11"/>
        <v>240</v>
      </c>
      <c r="H98" s="2">
        <f t="shared" si="12"/>
        <v>20103.619999999977</v>
      </c>
    </row>
    <row r="99" spans="1:8" x14ac:dyDescent="0.25">
      <c r="A99" s="1">
        <v>46753</v>
      </c>
      <c r="B99" s="2">
        <f t="shared" si="13"/>
        <v>6540</v>
      </c>
      <c r="C99" s="2">
        <f t="shared" si="7"/>
        <v>500</v>
      </c>
      <c r="D99" s="2">
        <f t="shared" si="8"/>
        <v>7040</v>
      </c>
      <c r="E99" s="2">
        <f t="shared" si="9"/>
        <v>140.80000000000001</v>
      </c>
      <c r="F99" s="2">
        <f t="shared" si="10"/>
        <v>105.6</v>
      </c>
      <c r="G99" s="2">
        <f t="shared" si="11"/>
        <v>0</v>
      </c>
      <c r="H99" s="2">
        <f t="shared" si="12"/>
        <v>20350.019999999975</v>
      </c>
    </row>
    <row r="100" spans="1:8" x14ac:dyDescent="0.25">
      <c r="A100" s="1">
        <v>46784</v>
      </c>
      <c r="B100" s="2">
        <f t="shared" si="13"/>
        <v>6540</v>
      </c>
      <c r="C100" s="2">
        <f t="shared" si="7"/>
        <v>0</v>
      </c>
      <c r="D100" s="2">
        <f t="shared" si="8"/>
        <v>6540</v>
      </c>
      <c r="E100" s="2">
        <f t="shared" si="9"/>
        <v>130.80000000000001</v>
      </c>
      <c r="F100" s="2">
        <f t="shared" si="10"/>
        <v>98.1</v>
      </c>
      <c r="G100" s="2">
        <f t="shared" si="11"/>
        <v>0</v>
      </c>
      <c r="H100" s="2">
        <f t="shared" si="12"/>
        <v>20578.919999999973</v>
      </c>
    </row>
    <row r="101" spans="1:8" x14ac:dyDescent="0.25">
      <c r="A101" s="1">
        <v>46813</v>
      </c>
      <c r="B101" s="2">
        <f t="shared" si="13"/>
        <v>6540</v>
      </c>
      <c r="C101" s="2">
        <f t="shared" si="7"/>
        <v>0</v>
      </c>
      <c r="D101" s="2">
        <f t="shared" si="8"/>
        <v>6540</v>
      </c>
      <c r="E101" s="2">
        <f t="shared" si="9"/>
        <v>130.80000000000001</v>
      </c>
      <c r="F101" s="2">
        <f t="shared" si="10"/>
        <v>98.1</v>
      </c>
      <c r="G101" s="2">
        <f t="shared" si="11"/>
        <v>0</v>
      </c>
      <c r="H101" s="2">
        <f t="shared" si="12"/>
        <v>20807.819999999971</v>
      </c>
    </row>
    <row r="102" spans="1:8" x14ac:dyDescent="0.25">
      <c r="A102" s="1">
        <v>46844</v>
      </c>
      <c r="B102" s="2">
        <f t="shared" si="13"/>
        <v>6540</v>
      </c>
      <c r="C102" s="2">
        <f t="shared" si="7"/>
        <v>500</v>
      </c>
      <c r="D102" s="2">
        <f t="shared" si="8"/>
        <v>7040</v>
      </c>
      <c r="E102" s="2">
        <f t="shared" si="9"/>
        <v>140.80000000000001</v>
      </c>
      <c r="F102" s="2">
        <f t="shared" si="10"/>
        <v>105.6</v>
      </c>
      <c r="G102" s="2">
        <f t="shared" si="11"/>
        <v>0</v>
      </c>
      <c r="H102" s="2">
        <f t="shared" si="12"/>
        <v>21054.219999999968</v>
      </c>
    </row>
    <row r="103" spans="1:8" x14ac:dyDescent="0.25">
      <c r="A103" s="1">
        <v>46874</v>
      </c>
      <c r="B103" s="2">
        <f t="shared" si="13"/>
        <v>6540</v>
      </c>
      <c r="C103" s="2">
        <f t="shared" si="7"/>
        <v>0</v>
      </c>
      <c r="D103" s="2">
        <f t="shared" si="8"/>
        <v>6540</v>
      </c>
      <c r="E103" s="2">
        <f t="shared" si="9"/>
        <v>130.80000000000001</v>
      </c>
      <c r="F103" s="2">
        <f t="shared" si="10"/>
        <v>98.1</v>
      </c>
      <c r="G103" s="2">
        <f t="shared" si="11"/>
        <v>0</v>
      </c>
      <c r="H103" s="2">
        <f t="shared" si="12"/>
        <v>21283.119999999966</v>
      </c>
    </row>
    <row r="104" spans="1:8" x14ac:dyDescent="0.25">
      <c r="A104" s="1">
        <v>46905</v>
      </c>
      <c r="B104" s="2">
        <f t="shared" si="13"/>
        <v>6540</v>
      </c>
      <c r="C104" s="2">
        <f t="shared" si="7"/>
        <v>0</v>
      </c>
      <c r="D104" s="2">
        <f t="shared" si="8"/>
        <v>6540</v>
      </c>
      <c r="E104" s="2">
        <f t="shared" si="9"/>
        <v>130.80000000000001</v>
      </c>
      <c r="F104" s="2">
        <f t="shared" si="10"/>
        <v>98.1</v>
      </c>
      <c r="G104" s="2">
        <f t="shared" si="11"/>
        <v>0</v>
      </c>
      <c r="H104" s="2">
        <f t="shared" si="12"/>
        <v>21512.019999999964</v>
      </c>
    </row>
    <row r="105" spans="1:8" x14ac:dyDescent="0.25">
      <c r="A105" s="1">
        <v>46935</v>
      </c>
      <c r="B105" s="2">
        <f t="shared" si="13"/>
        <v>6540</v>
      </c>
      <c r="C105" s="2">
        <f t="shared" si="7"/>
        <v>500</v>
      </c>
      <c r="D105" s="2">
        <f t="shared" si="8"/>
        <v>7040</v>
      </c>
      <c r="E105" s="2">
        <f t="shared" si="9"/>
        <v>140.80000000000001</v>
      </c>
      <c r="F105" s="2">
        <f t="shared" si="10"/>
        <v>105.6</v>
      </c>
      <c r="G105" s="2">
        <f t="shared" si="11"/>
        <v>0</v>
      </c>
      <c r="H105" s="2">
        <f t="shared" si="12"/>
        <v>21758.419999999962</v>
      </c>
    </row>
    <row r="106" spans="1:8" x14ac:dyDescent="0.25">
      <c r="A106" s="1">
        <v>46966</v>
      </c>
      <c r="B106" s="2">
        <f t="shared" si="13"/>
        <v>6540</v>
      </c>
      <c r="C106" s="2">
        <f t="shared" si="7"/>
        <v>0</v>
      </c>
      <c r="D106" s="2">
        <f t="shared" si="8"/>
        <v>6540</v>
      </c>
      <c r="E106" s="2">
        <f t="shared" si="9"/>
        <v>130.80000000000001</v>
      </c>
      <c r="F106" s="2">
        <f t="shared" si="10"/>
        <v>98.1</v>
      </c>
      <c r="G106" s="2">
        <f t="shared" si="11"/>
        <v>0</v>
      </c>
      <c r="H106" s="2">
        <f t="shared" si="12"/>
        <v>21987.31999999996</v>
      </c>
    </row>
    <row r="107" spans="1:8" x14ac:dyDescent="0.25">
      <c r="A107" s="1">
        <v>46997</v>
      </c>
      <c r="B107" s="2">
        <f t="shared" si="13"/>
        <v>6540</v>
      </c>
      <c r="C107" s="2">
        <f t="shared" si="7"/>
        <v>0</v>
      </c>
      <c r="D107" s="2">
        <f t="shared" si="8"/>
        <v>6540</v>
      </c>
      <c r="E107" s="2">
        <f t="shared" si="9"/>
        <v>130.80000000000001</v>
      </c>
      <c r="F107" s="2">
        <f t="shared" si="10"/>
        <v>98.1</v>
      </c>
      <c r="G107" s="2">
        <f t="shared" si="11"/>
        <v>0</v>
      </c>
      <c r="H107" s="2">
        <f t="shared" si="12"/>
        <v>22216.219999999958</v>
      </c>
    </row>
    <row r="108" spans="1:8" x14ac:dyDescent="0.25">
      <c r="A108" s="1">
        <v>47027</v>
      </c>
      <c r="B108" s="2">
        <f t="shared" si="13"/>
        <v>6540</v>
      </c>
      <c r="C108" s="2">
        <f t="shared" si="7"/>
        <v>500</v>
      </c>
      <c r="D108" s="2">
        <f t="shared" si="8"/>
        <v>7040</v>
      </c>
      <c r="E108" s="2">
        <f t="shared" si="9"/>
        <v>140.80000000000001</v>
      </c>
      <c r="F108" s="2">
        <f t="shared" si="10"/>
        <v>105.6</v>
      </c>
      <c r="G108" s="2">
        <f t="shared" si="11"/>
        <v>0</v>
      </c>
      <c r="H108" s="2">
        <f t="shared" si="12"/>
        <v>22462.619999999955</v>
      </c>
    </row>
    <row r="109" spans="1:8" x14ac:dyDescent="0.25">
      <c r="A109" s="1">
        <v>47058</v>
      </c>
      <c r="B109" s="2">
        <f t="shared" si="13"/>
        <v>6540</v>
      </c>
      <c r="C109" s="2">
        <f t="shared" si="7"/>
        <v>0</v>
      </c>
      <c r="D109" s="2">
        <f t="shared" si="8"/>
        <v>6540</v>
      </c>
      <c r="E109" s="2">
        <f t="shared" si="9"/>
        <v>130.80000000000001</v>
      </c>
      <c r="F109" s="2">
        <f t="shared" si="10"/>
        <v>98.1</v>
      </c>
      <c r="G109" s="2">
        <f t="shared" si="11"/>
        <v>0</v>
      </c>
      <c r="H109" s="2">
        <f t="shared" si="12"/>
        <v>22691.519999999953</v>
      </c>
    </row>
    <row r="110" spans="1:8" x14ac:dyDescent="0.25">
      <c r="A110" s="1">
        <v>47088</v>
      </c>
      <c r="B110" s="2">
        <f t="shared" si="13"/>
        <v>6540</v>
      </c>
      <c r="C110" s="2">
        <f t="shared" si="7"/>
        <v>0</v>
      </c>
      <c r="D110" s="2">
        <f t="shared" si="8"/>
        <v>6540</v>
      </c>
      <c r="E110" s="2">
        <f t="shared" si="9"/>
        <v>130.80000000000001</v>
      </c>
      <c r="F110" s="2">
        <f t="shared" si="10"/>
        <v>98.1</v>
      </c>
      <c r="G110" s="2">
        <f t="shared" si="11"/>
        <v>240</v>
      </c>
      <c r="H110" s="2">
        <f t="shared" si="12"/>
        <v>23160.419999999951</v>
      </c>
    </row>
    <row r="111" spans="1:8" x14ac:dyDescent="0.25">
      <c r="A111" s="1">
        <v>47119</v>
      </c>
      <c r="B111" s="2">
        <f t="shared" si="13"/>
        <v>6704</v>
      </c>
      <c r="C111" s="2">
        <f t="shared" si="7"/>
        <v>500</v>
      </c>
      <c r="D111" s="2">
        <f t="shared" si="8"/>
        <v>7204</v>
      </c>
      <c r="E111" s="2">
        <f t="shared" si="9"/>
        <v>144.08000000000001</v>
      </c>
      <c r="F111" s="2">
        <f t="shared" si="10"/>
        <v>108.06</v>
      </c>
      <c r="G111" s="2">
        <f t="shared" si="11"/>
        <v>0</v>
      </c>
      <c r="H111" s="2">
        <f t="shared" si="12"/>
        <v>23412.559999999954</v>
      </c>
    </row>
    <row r="112" spans="1:8" x14ac:dyDescent="0.25">
      <c r="A112" s="1">
        <v>47150</v>
      </c>
      <c r="B112" s="2">
        <f t="shared" si="13"/>
        <v>6704</v>
      </c>
      <c r="C112" s="2">
        <f t="shared" si="7"/>
        <v>0</v>
      </c>
      <c r="D112" s="2">
        <f t="shared" si="8"/>
        <v>6704</v>
      </c>
      <c r="E112" s="2">
        <f t="shared" si="9"/>
        <v>134.08000000000001</v>
      </c>
      <c r="F112" s="2">
        <f t="shared" si="10"/>
        <v>100.56</v>
      </c>
      <c r="G112" s="2">
        <f t="shared" si="11"/>
        <v>0</v>
      </c>
      <c r="H112" s="2">
        <f t="shared" si="12"/>
        <v>23647.199999999957</v>
      </c>
    </row>
    <row r="113" spans="1:8" x14ac:dyDescent="0.25">
      <c r="A113" s="1">
        <v>47178</v>
      </c>
      <c r="B113" s="2">
        <f t="shared" si="13"/>
        <v>6704</v>
      </c>
      <c r="C113" s="2">
        <f t="shared" si="7"/>
        <v>0</v>
      </c>
      <c r="D113" s="2">
        <f t="shared" si="8"/>
        <v>6704</v>
      </c>
      <c r="E113" s="2">
        <f t="shared" si="9"/>
        <v>134.08000000000001</v>
      </c>
      <c r="F113" s="2">
        <f t="shared" si="10"/>
        <v>100.56</v>
      </c>
      <c r="G113" s="2">
        <f t="shared" si="11"/>
        <v>0</v>
      </c>
      <c r="H113" s="2">
        <f t="shared" si="12"/>
        <v>23881.83999999996</v>
      </c>
    </row>
    <row r="114" spans="1:8" x14ac:dyDescent="0.25">
      <c r="A114" s="1">
        <v>47209</v>
      </c>
      <c r="B114" s="2">
        <f t="shared" si="13"/>
        <v>6704</v>
      </c>
      <c r="C114" s="2">
        <f t="shared" si="7"/>
        <v>500</v>
      </c>
      <c r="D114" s="2">
        <f t="shared" si="8"/>
        <v>7204</v>
      </c>
      <c r="E114" s="2">
        <f t="shared" si="9"/>
        <v>144.08000000000001</v>
      </c>
      <c r="F114" s="2">
        <f t="shared" si="10"/>
        <v>108.06</v>
      </c>
      <c r="G114" s="2">
        <f t="shared" si="11"/>
        <v>0</v>
      </c>
      <c r="H114" s="2">
        <f t="shared" si="12"/>
        <v>24133.979999999963</v>
      </c>
    </row>
    <row r="115" spans="1:8" x14ac:dyDescent="0.25">
      <c r="A115" s="1">
        <v>47239</v>
      </c>
      <c r="B115" s="2">
        <f t="shared" si="13"/>
        <v>6704</v>
      </c>
      <c r="C115" s="2">
        <f t="shared" si="7"/>
        <v>0</v>
      </c>
      <c r="D115" s="2">
        <f t="shared" si="8"/>
        <v>6704</v>
      </c>
      <c r="E115" s="2">
        <f t="shared" si="9"/>
        <v>134.08000000000001</v>
      </c>
      <c r="F115" s="2">
        <f t="shared" si="10"/>
        <v>100.56</v>
      </c>
      <c r="G115" s="2">
        <f t="shared" si="11"/>
        <v>0</v>
      </c>
      <c r="H115" s="2">
        <f t="shared" si="12"/>
        <v>24368.619999999966</v>
      </c>
    </row>
    <row r="116" spans="1:8" x14ac:dyDescent="0.25">
      <c r="A116" s="1">
        <v>47270</v>
      </c>
      <c r="B116" s="2">
        <f t="shared" si="13"/>
        <v>6704</v>
      </c>
      <c r="C116" s="2">
        <f t="shared" si="7"/>
        <v>0</v>
      </c>
      <c r="D116" s="2">
        <f t="shared" si="8"/>
        <v>6704</v>
      </c>
      <c r="E116" s="2">
        <f t="shared" si="9"/>
        <v>134.08000000000001</v>
      </c>
      <c r="F116" s="2">
        <f t="shared" si="10"/>
        <v>100.56</v>
      </c>
      <c r="G116" s="2">
        <f t="shared" si="11"/>
        <v>0</v>
      </c>
      <c r="H116" s="2">
        <f t="shared" si="12"/>
        <v>24603.259999999969</v>
      </c>
    </row>
    <row r="117" spans="1:8" x14ac:dyDescent="0.25">
      <c r="A117" s="1">
        <v>47300</v>
      </c>
      <c r="B117" s="2">
        <f t="shared" si="13"/>
        <v>6704</v>
      </c>
      <c r="C117" s="2">
        <f t="shared" si="7"/>
        <v>500</v>
      </c>
      <c r="D117" s="2">
        <f t="shared" si="8"/>
        <v>7204</v>
      </c>
      <c r="E117" s="2">
        <f t="shared" si="9"/>
        <v>144.08000000000001</v>
      </c>
      <c r="F117" s="2">
        <f t="shared" si="10"/>
        <v>108.06</v>
      </c>
      <c r="G117" s="2">
        <f t="shared" si="11"/>
        <v>0</v>
      </c>
      <c r="H117" s="2">
        <f t="shared" si="12"/>
        <v>24855.399999999972</v>
      </c>
    </row>
    <row r="118" spans="1:8" x14ac:dyDescent="0.25">
      <c r="A118" s="1">
        <v>47331</v>
      </c>
      <c r="B118" s="2">
        <f t="shared" si="13"/>
        <v>6704</v>
      </c>
      <c r="C118" s="2">
        <f t="shared" si="7"/>
        <v>0</v>
      </c>
      <c r="D118" s="2">
        <f t="shared" si="8"/>
        <v>6704</v>
      </c>
      <c r="E118" s="2">
        <f t="shared" si="9"/>
        <v>134.08000000000001</v>
      </c>
      <c r="F118" s="2">
        <f t="shared" si="10"/>
        <v>100.56</v>
      </c>
      <c r="G118" s="2">
        <f t="shared" si="11"/>
        <v>0</v>
      </c>
      <c r="H118" s="2">
        <f t="shared" si="12"/>
        <v>25090.039999999975</v>
      </c>
    </row>
    <row r="119" spans="1:8" x14ac:dyDescent="0.25">
      <c r="A119" s="1">
        <v>47362</v>
      </c>
      <c r="B119" s="2">
        <f t="shared" si="13"/>
        <v>6704</v>
      </c>
      <c r="C119" s="2">
        <f t="shared" si="7"/>
        <v>0</v>
      </c>
      <c r="D119" s="2">
        <f t="shared" si="8"/>
        <v>6704</v>
      </c>
      <c r="E119" s="2">
        <f t="shared" si="9"/>
        <v>134.08000000000001</v>
      </c>
      <c r="F119" s="2">
        <f t="shared" si="10"/>
        <v>100.56</v>
      </c>
      <c r="G119" s="2">
        <f t="shared" si="11"/>
        <v>0</v>
      </c>
      <c r="H119" s="2">
        <f t="shared" si="12"/>
        <v>25324.679999999978</v>
      </c>
    </row>
    <row r="120" spans="1:8" x14ac:dyDescent="0.25">
      <c r="A120" s="1">
        <v>47392</v>
      </c>
      <c r="B120" s="2">
        <f t="shared" si="13"/>
        <v>6704</v>
      </c>
      <c r="C120" s="2">
        <f t="shared" si="7"/>
        <v>500</v>
      </c>
      <c r="D120" s="2">
        <f t="shared" si="8"/>
        <v>7204</v>
      </c>
      <c r="E120" s="2">
        <f t="shared" si="9"/>
        <v>144.08000000000001</v>
      </c>
      <c r="F120" s="2">
        <f t="shared" si="10"/>
        <v>108.06</v>
      </c>
      <c r="G120" s="2">
        <f t="shared" si="11"/>
        <v>0</v>
      </c>
      <c r="H120" s="2">
        <f t="shared" si="12"/>
        <v>25576.819999999982</v>
      </c>
    </row>
    <row r="121" spans="1:8" x14ac:dyDescent="0.25">
      <c r="A121" s="1">
        <v>47423</v>
      </c>
      <c r="B121" s="2">
        <f t="shared" si="13"/>
        <v>6704</v>
      </c>
      <c r="C121" s="2">
        <f t="shared" si="7"/>
        <v>0</v>
      </c>
      <c r="D121" s="2">
        <f t="shared" si="8"/>
        <v>6704</v>
      </c>
      <c r="E121" s="2">
        <f t="shared" si="9"/>
        <v>134.08000000000001</v>
      </c>
      <c r="F121" s="2">
        <f t="shared" si="10"/>
        <v>100.56</v>
      </c>
      <c r="G121" s="2">
        <f t="shared" si="11"/>
        <v>0</v>
      </c>
      <c r="H121" s="2">
        <f t="shared" si="12"/>
        <v>25811.459999999985</v>
      </c>
    </row>
    <row r="122" spans="1:8" x14ac:dyDescent="0.25">
      <c r="A122" s="1">
        <v>47453</v>
      </c>
      <c r="B122" s="2">
        <f t="shared" si="13"/>
        <v>6704</v>
      </c>
      <c r="C122" s="2">
        <f t="shared" si="7"/>
        <v>0</v>
      </c>
      <c r="D122" s="2">
        <f t="shared" si="8"/>
        <v>6704</v>
      </c>
      <c r="E122" s="2">
        <f t="shared" si="9"/>
        <v>134.08000000000001</v>
      </c>
      <c r="F122" s="2">
        <f t="shared" si="10"/>
        <v>100.56</v>
      </c>
      <c r="G122" s="2">
        <f t="shared" si="11"/>
        <v>240</v>
      </c>
      <c r="H122" s="2">
        <f t="shared" si="12"/>
        <v>26286.099999999988</v>
      </c>
    </row>
    <row r="123" spans="1:8" x14ac:dyDescent="0.25">
      <c r="A123" s="1">
        <v>47484</v>
      </c>
      <c r="B123" s="2">
        <f t="shared" si="13"/>
        <v>6872</v>
      </c>
      <c r="C123" s="2">
        <f t="shared" si="7"/>
        <v>500</v>
      </c>
      <c r="D123" s="2">
        <f t="shared" si="8"/>
        <v>7372</v>
      </c>
      <c r="E123" s="2">
        <f t="shared" si="9"/>
        <v>147.44</v>
      </c>
      <c r="F123" s="2">
        <f t="shared" si="10"/>
        <v>110.58</v>
      </c>
      <c r="G123" s="2">
        <f t="shared" si="11"/>
        <v>0</v>
      </c>
      <c r="H123" s="2">
        <f t="shared" si="12"/>
        <v>26544.119999999988</v>
      </c>
    </row>
    <row r="124" spans="1:8" x14ac:dyDescent="0.25">
      <c r="A124" s="1">
        <v>47515</v>
      </c>
      <c r="B124" s="2">
        <f t="shared" si="13"/>
        <v>6872</v>
      </c>
      <c r="C124" s="2">
        <f t="shared" si="7"/>
        <v>0</v>
      </c>
      <c r="D124" s="2">
        <f t="shared" si="8"/>
        <v>6872</v>
      </c>
      <c r="E124" s="2">
        <f t="shared" si="9"/>
        <v>137.44</v>
      </c>
      <c r="F124" s="2">
        <f t="shared" si="10"/>
        <v>103.08</v>
      </c>
      <c r="G124" s="2">
        <f t="shared" si="11"/>
        <v>0</v>
      </c>
      <c r="H124" s="2">
        <f t="shared" si="12"/>
        <v>26784.639999999989</v>
      </c>
    </row>
    <row r="125" spans="1:8" x14ac:dyDescent="0.25">
      <c r="A125" s="1">
        <v>47543</v>
      </c>
      <c r="B125" s="2">
        <f t="shared" si="13"/>
        <v>6872</v>
      </c>
      <c r="C125" s="2">
        <f t="shared" si="7"/>
        <v>0</v>
      </c>
      <c r="D125" s="2">
        <f t="shared" si="8"/>
        <v>6872</v>
      </c>
      <c r="E125" s="2">
        <f t="shared" si="9"/>
        <v>137.44</v>
      </c>
      <c r="F125" s="2">
        <f t="shared" si="10"/>
        <v>103.08</v>
      </c>
      <c r="G125" s="2">
        <f t="shared" si="11"/>
        <v>0</v>
      </c>
      <c r="H125" s="2">
        <f t="shared" si="12"/>
        <v>27025.159999999989</v>
      </c>
    </row>
    <row r="126" spans="1:8" x14ac:dyDescent="0.25">
      <c r="A126" s="1">
        <v>47574</v>
      </c>
      <c r="B126" s="2">
        <f t="shared" si="13"/>
        <v>6872</v>
      </c>
      <c r="C126" s="2">
        <f t="shared" si="7"/>
        <v>500</v>
      </c>
      <c r="D126" s="2">
        <f t="shared" si="8"/>
        <v>7372</v>
      </c>
      <c r="E126" s="2">
        <f t="shared" si="9"/>
        <v>147.44</v>
      </c>
      <c r="F126" s="2">
        <f t="shared" si="10"/>
        <v>110.58</v>
      </c>
      <c r="G126" s="2">
        <f t="shared" si="11"/>
        <v>0</v>
      </c>
      <c r="H126" s="2">
        <f t="shared" si="12"/>
        <v>27283.179999999989</v>
      </c>
    </row>
    <row r="127" spans="1:8" x14ac:dyDescent="0.25">
      <c r="A127" s="1">
        <v>47604</v>
      </c>
      <c r="B127" s="2">
        <f t="shared" si="13"/>
        <v>6872</v>
      </c>
      <c r="C127" s="2">
        <f t="shared" si="7"/>
        <v>0</v>
      </c>
      <c r="D127" s="2">
        <f t="shared" si="8"/>
        <v>6872</v>
      </c>
      <c r="E127" s="2">
        <f t="shared" si="9"/>
        <v>137.44</v>
      </c>
      <c r="F127" s="2">
        <f t="shared" si="10"/>
        <v>103.08</v>
      </c>
      <c r="G127" s="2">
        <f t="shared" si="11"/>
        <v>0</v>
      </c>
      <c r="H127" s="2">
        <f t="shared" si="12"/>
        <v>27523.69999999999</v>
      </c>
    </row>
    <row r="128" spans="1:8" x14ac:dyDescent="0.25">
      <c r="A128" s="1">
        <v>47635</v>
      </c>
      <c r="B128" s="2">
        <f t="shared" si="13"/>
        <v>6872</v>
      </c>
      <c r="C128" s="2">
        <f t="shared" si="7"/>
        <v>0</v>
      </c>
      <c r="D128" s="2">
        <f t="shared" si="8"/>
        <v>6872</v>
      </c>
      <c r="E128" s="2">
        <f t="shared" si="9"/>
        <v>137.44</v>
      </c>
      <c r="F128" s="2">
        <f t="shared" si="10"/>
        <v>103.08</v>
      </c>
      <c r="G128" s="2">
        <f t="shared" si="11"/>
        <v>0</v>
      </c>
      <c r="H128" s="2">
        <f t="shared" si="12"/>
        <v>27764.21999999999</v>
      </c>
    </row>
    <row r="129" spans="1:8" x14ac:dyDescent="0.25">
      <c r="A129" s="1">
        <v>47665</v>
      </c>
      <c r="B129" s="2">
        <f t="shared" si="13"/>
        <v>6872</v>
      </c>
      <c r="C129" s="2">
        <f t="shared" si="7"/>
        <v>500</v>
      </c>
      <c r="D129" s="2">
        <f t="shared" si="8"/>
        <v>7372</v>
      </c>
      <c r="E129" s="2">
        <f t="shared" si="9"/>
        <v>147.44</v>
      </c>
      <c r="F129" s="2">
        <f t="shared" si="10"/>
        <v>110.58</v>
      </c>
      <c r="G129" s="2">
        <f t="shared" si="11"/>
        <v>0</v>
      </c>
      <c r="H129" s="2">
        <f t="shared" si="12"/>
        <v>28022.239999999991</v>
      </c>
    </row>
    <row r="130" spans="1:8" x14ac:dyDescent="0.25">
      <c r="A130" s="1">
        <v>47696</v>
      </c>
      <c r="B130" s="2">
        <f t="shared" si="13"/>
        <v>6872</v>
      </c>
      <c r="C130" s="2">
        <f t="shared" si="7"/>
        <v>0</v>
      </c>
      <c r="D130" s="2">
        <f t="shared" si="8"/>
        <v>6872</v>
      </c>
      <c r="E130" s="2">
        <f t="shared" si="9"/>
        <v>137.44</v>
      </c>
      <c r="F130" s="2">
        <f t="shared" si="10"/>
        <v>103.08</v>
      </c>
      <c r="G130" s="2">
        <f t="shared" si="11"/>
        <v>0</v>
      </c>
      <c r="H130" s="2">
        <f t="shared" si="12"/>
        <v>28262.759999999991</v>
      </c>
    </row>
    <row r="131" spans="1:8" x14ac:dyDescent="0.25">
      <c r="A131" s="1">
        <v>47727</v>
      </c>
      <c r="B131" s="2">
        <f t="shared" si="13"/>
        <v>6872</v>
      </c>
      <c r="C131" s="2">
        <f t="shared" si="7"/>
        <v>0</v>
      </c>
      <c r="D131" s="2">
        <f t="shared" si="8"/>
        <v>6872</v>
      </c>
      <c r="E131" s="2">
        <f t="shared" si="9"/>
        <v>137.44</v>
      </c>
      <c r="F131" s="2">
        <f t="shared" si="10"/>
        <v>103.08</v>
      </c>
      <c r="G131" s="2">
        <f t="shared" si="11"/>
        <v>0</v>
      </c>
      <c r="H131" s="2">
        <f t="shared" si="12"/>
        <v>28503.279999999992</v>
      </c>
    </row>
    <row r="132" spans="1:8" x14ac:dyDescent="0.25">
      <c r="A132" s="1">
        <v>47757</v>
      </c>
      <c r="B132" s="2">
        <f t="shared" si="13"/>
        <v>6872</v>
      </c>
      <c r="C132" s="2">
        <f t="shared" ref="C132:C195" si="14">IF(AND(OR(MONTH(A132)=1,MONTH(A132)=4,MONTH(A132)=7,MONTH(A132)=10),DATE(2020,1,1)&lt;&gt;A132),500,0)</f>
        <v>500</v>
      </c>
      <c r="D132" s="2">
        <f t="shared" ref="D132:D195" si="15">B132+C132</f>
        <v>7372</v>
      </c>
      <c r="E132" s="2">
        <f t="shared" ref="E132:E195" si="16">ROUND(D132*0.02,2)</f>
        <v>147.44</v>
      </c>
      <c r="F132" s="2">
        <f t="shared" ref="F132:F195" si="17">ROUND(D132*0.015,2)</f>
        <v>110.58</v>
      </c>
      <c r="G132" s="2">
        <f t="shared" ref="G132:G195" si="18">IF(MONTH(A132)=12,240,0)</f>
        <v>0</v>
      </c>
      <c r="H132" s="2">
        <f t="shared" ref="H132:H195" si="19">H131+E132+F132+G132</f>
        <v>28761.299999999992</v>
      </c>
    </row>
    <row r="133" spans="1:8" x14ac:dyDescent="0.25">
      <c r="A133" s="1">
        <v>47788</v>
      </c>
      <c r="B133" s="2">
        <f t="shared" ref="B133:B196" si="20">IF(YEAR($A133) &gt; YEAR($A132),IF(AND(MOD(YEAR(A133),4)=0,YEAR(A133)&lt;&gt;2020),ROUNDUP($B132*1.025,0)+500,ROUNDUP($B132*1.025,0)),$B132)</f>
        <v>6872</v>
      </c>
      <c r="C133" s="2">
        <f t="shared" si="14"/>
        <v>0</v>
      </c>
      <c r="D133" s="2">
        <f t="shared" si="15"/>
        <v>6872</v>
      </c>
      <c r="E133" s="2">
        <f t="shared" si="16"/>
        <v>137.44</v>
      </c>
      <c r="F133" s="2">
        <f t="shared" si="17"/>
        <v>103.08</v>
      </c>
      <c r="G133" s="2">
        <f t="shared" si="18"/>
        <v>0</v>
      </c>
      <c r="H133" s="2">
        <f t="shared" si="19"/>
        <v>29001.819999999992</v>
      </c>
    </row>
    <row r="134" spans="1:8" x14ac:dyDescent="0.25">
      <c r="A134" s="1">
        <v>47818</v>
      </c>
      <c r="B134" s="2">
        <f t="shared" si="20"/>
        <v>6872</v>
      </c>
      <c r="C134" s="2">
        <f t="shared" si="14"/>
        <v>0</v>
      </c>
      <c r="D134" s="2">
        <f t="shared" si="15"/>
        <v>6872</v>
      </c>
      <c r="E134" s="2">
        <f t="shared" si="16"/>
        <v>137.44</v>
      </c>
      <c r="F134" s="2">
        <f t="shared" si="17"/>
        <v>103.08</v>
      </c>
      <c r="G134" s="2">
        <f t="shared" si="18"/>
        <v>240</v>
      </c>
      <c r="H134" s="2">
        <f t="shared" si="19"/>
        <v>29482.339999999993</v>
      </c>
    </row>
    <row r="135" spans="1:8" x14ac:dyDescent="0.25">
      <c r="A135" s="1">
        <v>47849</v>
      </c>
      <c r="B135" s="2">
        <f t="shared" si="20"/>
        <v>7044</v>
      </c>
      <c r="C135" s="2">
        <f t="shared" si="14"/>
        <v>500</v>
      </c>
      <c r="D135" s="2">
        <f t="shared" si="15"/>
        <v>7544</v>
      </c>
      <c r="E135" s="2">
        <f t="shared" si="16"/>
        <v>150.88</v>
      </c>
      <c r="F135" s="2">
        <f t="shared" si="17"/>
        <v>113.16</v>
      </c>
      <c r="G135" s="2">
        <f t="shared" si="18"/>
        <v>0</v>
      </c>
      <c r="H135" s="2">
        <f t="shared" si="19"/>
        <v>29746.379999999994</v>
      </c>
    </row>
    <row r="136" spans="1:8" x14ac:dyDescent="0.25">
      <c r="A136" s="1">
        <v>47880</v>
      </c>
      <c r="B136" s="2">
        <f t="shared" si="20"/>
        <v>7044</v>
      </c>
      <c r="C136" s="2">
        <f t="shared" si="14"/>
        <v>0</v>
      </c>
      <c r="D136" s="2">
        <f t="shared" si="15"/>
        <v>7044</v>
      </c>
      <c r="E136" s="2">
        <f t="shared" si="16"/>
        <v>140.88</v>
      </c>
      <c r="F136" s="2">
        <f t="shared" si="17"/>
        <v>105.66</v>
      </c>
      <c r="G136" s="2">
        <f t="shared" si="18"/>
        <v>0</v>
      </c>
      <c r="H136" s="2">
        <f t="shared" si="19"/>
        <v>29992.919999999995</v>
      </c>
    </row>
    <row r="137" spans="1:8" x14ac:dyDescent="0.25">
      <c r="A137" s="1">
        <v>47908</v>
      </c>
      <c r="B137" s="2">
        <f t="shared" si="20"/>
        <v>7044</v>
      </c>
      <c r="C137" s="2">
        <f t="shared" si="14"/>
        <v>0</v>
      </c>
      <c r="D137" s="2">
        <f t="shared" si="15"/>
        <v>7044</v>
      </c>
      <c r="E137" s="2">
        <f t="shared" si="16"/>
        <v>140.88</v>
      </c>
      <c r="F137" s="2">
        <f t="shared" si="17"/>
        <v>105.66</v>
      </c>
      <c r="G137" s="2">
        <f t="shared" si="18"/>
        <v>0</v>
      </c>
      <c r="H137" s="2">
        <f t="shared" si="19"/>
        <v>30239.459999999995</v>
      </c>
    </row>
    <row r="138" spans="1:8" x14ac:dyDescent="0.25">
      <c r="A138" s="1">
        <v>47939</v>
      </c>
      <c r="B138" s="2">
        <f t="shared" si="20"/>
        <v>7044</v>
      </c>
      <c r="C138" s="2">
        <f t="shared" si="14"/>
        <v>500</v>
      </c>
      <c r="D138" s="2">
        <f t="shared" si="15"/>
        <v>7544</v>
      </c>
      <c r="E138" s="2">
        <f t="shared" si="16"/>
        <v>150.88</v>
      </c>
      <c r="F138" s="2">
        <f t="shared" si="17"/>
        <v>113.16</v>
      </c>
      <c r="G138" s="2">
        <f t="shared" si="18"/>
        <v>0</v>
      </c>
      <c r="H138" s="2">
        <f t="shared" si="19"/>
        <v>30503.499999999996</v>
      </c>
    </row>
    <row r="139" spans="1:8" x14ac:dyDescent="0.25">
      <c r="A139" s="1">
        <v>47969</v>
      </c>
      <c r="B139" s="2">
        <f t="shared" si="20"/>
        <v>7044</v>
      </c>
      <c r="C139" s="2">
        <f t="shared" si="14"/>
        <v>0</v>
      </c>
      <c r="D139" s="2">
        <f t="shared" si="15"/>
        <v>7044</v>
      </c>
      <c r="E139" s="2">
        <f t="shared" si="16"/>
        <v>140.88</v>
      </c>
      <c r="F139" s="2">
        <f t="shared" si="17"/>
        <v>105.66</v>
      </c>
      <c r="G139" s="2">
        <f t="shared" si="18"/>
        <v>0</v>
      </c>
      <c r="H139" s="2">
        <f t="shared" si="19"/>
        <v>30750.039999999997</v>
      </c>
    </row>
    <row r="140" spans="1:8" x14ac:dyDescent="0.25">
      <c r="A140" s="1">
        <v>48000</v>
      </c>
      <c r="B140" s="2">
        <f t="shared" si="20"/>
        <v>7044</v>
      </c>
      <c r="C140" s="2">
        <f t="shared" si="14"/>
        <v>0</v>
      </c>
      <c r="D140" s="2">
        <f t="shared" si="15"/>
        <v>7044</v>
      </c>
      <c r="E140" s="2">
        <f t="shared" si="16"/>
        <v>140.88</v>
      </c>
      <c r="F140" s="2">
        <f t="shared" si="17"/>
        <v>105.66</v>
      </c>
      <c r="G140" s="2">
        <f t="shared" si="18"/>
        <v>0</v>
      </c>
      <c r="H140" s="2">
        <f t="shared" si="19"/>
        <v>30996.579999999998</v>
      </c>
    </row>
    <row r="141" spans="1:8" x14ac:dyDescent="0.25">
      <c r="A141" s="1">
        <v>48030</v>
      </c>
      <c r="B141" s="2">
        <f t="shared" si="20"/>
        <v>7044</v>
      </c>
      <c r="C141" s="2">
        <f t="shared" si="14"/>
        <v>500</v>
      </c>
      <c r="D141" s="2">
        <f t="shared" si="15"/>
        <v>7544</v>
      </c>
      <c r="E141" s="2">
        <f t="shared" si="16"/>
        <v>150.88</v>
      </c>
      <c r="F141" s="2">
        <f t="shared" si="17"/>
        <v>113.16</v>
      </c>
      <c r="G141" s="2">
        <f t="shared" si="18"/>
        <v>0</v>
      </c>
      <c r="H141" s="2">
        <f t="shared" si="19"/>
        <v>31260.62</v>
      </c>
    </row>
    <row r="142" spans="1:8" x14ac:dyDescent="0.25">
      <c r="A142" s="1">
        <v>48061</v>
      </c>
      <c r="B142" s="2">
        <f t="shared" si="20"/>
        <v>7044</v>
      </c>
      <c r="C142" s="2">
        <f t="shared" si="14"/>
        <v>0</v>
      </c>
      <c r="D142" s="2">
        <f t="shared" si="15"/>
        <v>7044</v>
      </c>
      <c r="E142" s="2">
        <f t="shared" si="16"/>
        <v>140.88</v>
      </c>
      <c r="F142" s="2">
        <f t="shared" si="17"/>
        <v>105.66</v>
      </c>
      <c r="G142" s="2">
        <f t="shared" si="18"/>
        <v>0</v>
      </c>
      <c r="H142" s="2">
        <f t="shared" si="19"/>
        <v>31507.16</v>
      </c>
    </row>
    <row r="143" spans="1:8" x14ac:dyDescent="0.25">
      <c r="A143" s="1">
        <v>48092</v>
      </c>
      <c r="B143" s="2">
        <f t="shared" si="20"/>
        <v>7044</v>
      </c>
      <c r="C143" s="2">
        <f t="shared" si="14"/>
        <v>0</v>
      </c>
      <c r="D143" s="2">
        <f t="shared" si="15"/>
        <v>7044</v>
      </c>
      <c r="E143" s="2">
        <f t="shared" si="16"/>
        <v>140.88</v>
      </c>
      <c r="F143" s="2">
        <f t="shared" si="17"/>
        <v>105.66</v>
      </c>
      <c r="G143" s="2">
        <f t="shared" si="18"/>
        <v>0</v>
      </c>
      <c r="H143" s="2">
        <f t="shared" si="19"/>
        <v>31753.7</v>
      </c>
    </row>
    <row r="144" spans="1:8" x14ac:dyDescent="0.25">
      <c r="A144" s="1">
        <v>48122</v>
      </c>
      <c r="B144" s="2">
        <f t="shared" si="20"/>
        <v>7044</v>
      </c>
      <c r="C144" s="2">
        <f t="shared" si="14"/>
        <v>500</v>
      </c>
      <c r="D144" s="2">
        <f t="shared" si="15"/>
        <v>7544</v>
      </c>
      <c r="E144" s="2">
        <f t="shared" si="16"/>
        <v>150.88</v>
      </c>
      <c r="F144" s="2">
        <f t="shared" si="17"/>
        <v>113.16</v>
      </c>
      <c r="G144" s="2">
        <f t="shared" si="18"/>
        <v>0</v>
      </c>
      <c r="H144" s="2">
        <f t="shared" si="19"/>
        <v>32017.74</v>
      </c>
    </row>
    <row r="145" spans="1:8" x14ac:dyDescent="0.25">
      <c r="A145" s="1">
        <v>48153</v>
      </c>
      <c r="B145" s="2">
        <f t="shared" si="20"/>
        <v>7044</v>
      </c>
      <c r="C145" s="2">
        <f t="shared" si="14"/>
        <v>0</v>
      </c>
      <c r="D145" s="2">
        <f t="shared" si="15"/>
        <v>7044</v>
      </c>
      <c r="E145" s="2">
        <f t="shared" si="16"/>
        <v>140.88</v>
      </c>
      <c r="F145" s="2">
        <f t="shared" si="17"/>
        <v>105.66</v>
      </c>
      <c r="G145" s="2">
        <f t="shared" si="18"/>
        <v>0</v>
      </c>
      <c r="H145" s="2">
        <f t="shared" si="19"/>
        <v>32264.280000000002</v>
      </c>
    </row>
    <row r="146" spans="1:8" x14ac:dyDescent="0.25">
      <c r="A146" s="1">
        <v>48183</v>
      </c>
      <c r="B146" s="2">
        <f t="shared" si="20"/>
        <v>7044</v>
      </c>
      <c r="C146" s="2">
        <f t="shared" si="14"/>
        <v>0</v>
      </c>
      <c r="D146" s="2">
        <f t="shared" si="15"/>
        <v>7044</v>
      </c>
      <c r="E146" s="2">
        <f t="shared" si="16"/>
        <v>140.88</v>
      </c>
      <c r="F146" s="2">
        <f t="shared" si="17"/>
        <v>105.66</v>
      </c>
      <c r="G146" s="2">
        <f t="shared" si="18"/>
        <v>240</v>
      </c>
      <c r="H146" s="2">
        <f t="shared" si="19"/>
        <v>32750.820000000003</v>
      </c>
    </row>
    <row r="147" spans="1:8" x14ac:dyDescent="0.25">
      <c r="A147" s="1">
        <v>48214</v>
      </c>
      <c r="B147" s="2">
        <f t="shared" si="20"/>
        <v>7721</v>
      </c>
      <c r="C147" s="2">
        <f t="shared" si="14"/>
        <v>500</v>
      </c>
      <c r="D147" s="2">
        <f t="shared" si="15"/>
        <v>8221</v>
      </c>
      <c r="E147" s="2">
        <f t="shared" si="16"/>
        <v>164.42</v>
      </c>
      <c r="F147" s="2">
        <f t="shared" si="17"/>
        <v>123.32</v>
      </c>
      <c r="G147" s="2">
        <f t="shared" si="18"/>
        <v>0</v>
      </c>
      <c r="H147" s="2">
        <f t="shared" si="19"/>
        <v>33038.560000000005</v>
      </c>
    </row>
    <row r="148" spans="1:8" x14ac:dyDescent="0.25">
      <c r="A148" s="1">
        <v>48245</v>
      </c>
      <c r="B148" s="2">
        <f t="shared" si="20"/>
        <v>7721</v>
      </c>
      <c r="C148" s="2">
        <f t="shared" si="14"/>
        <v>0</v>
      </c>
      <c r="D148" s="2">
        <f t="shared" si="15"/>
        <v>7721</v>
      </c>
      <c r="E148" s="2">
        <f t="shared" si="16"/>
        <v>154.41999999999999</v>
      </c>
      <c r="F148" s="2">
        <f t="shared" si="17"/>
        <v>115.82</v>
      </c>
      <c r="G148" s="2">
        <f t="shared" si="18"/>
        <v>0</v>
      </c>
      <c r="H148" s="2">
        <f t="shared" si="19"/>
        <v>33308.800000000003</v>
      </c>
    </row>
    <row r="149" spans="1:8" x14ac:dyDescent="0.25">
      <c r="A149" s="1">
        <v>48274</v>
      </c>
      <c r="B149" s="2">
        <f t="shared" si="20"/>
        <v>7721</v>
      </c>
      <c r="C149" s="2">
        <f t="shared" si="14"/>
        <v>0</v>
      </c>
      <c r="D149" s="2">
        <f t="shared" si="15"/>
        <v>7721</v>
      </c>
      <c r="E149" s="2">
        <f t="shared" si="16"/>
        <v>154.41999999999999</v>
      </c>
      <c r="F149" s="2">
        <f t="shared" si="17"/>
        <v>115.82</v>
      </c>
      <c r="G149" s="2">
        <f t="shared" si="18"/>
        <v>0</v>
      </c>
      <c r="H149" s="2">
        <f t="shared" si="19"/>
        <v>33579.040000000001</v>
      </c>
    </row>
    <row r="150" spans="1:8" x14ac:dyDescent="0.25">
      <c r="A150" s="1">
        <v>48305</v>
      </c>
      <c r="B150" s="2">
        <f t="shared" si="20"/>
        <v>7721</v>
      </c>
      <c r="C150" s="2">
        <f t="shared" si="14"/>
        <v>500</v>
      </c>
      <c r="D150" s="2">
        <f t="shared" si="15"/>
        <v>8221</v>
      </c>
      <c r="E150" s="2">
        <f t="shared" si="16"/>
        <v>164.42</v>
      </c>
      <c r="F150" s="2">
        <f t="shared" si="17"/>
        <v>123.32</v>
      </c>
      <c r="G150" s="2">
        <f t="shared" si="18"/>
        <v>0</v>
      </c>
      <c r="H150" s="2">
        <f t="shared" si="19"/>
        <v>33866.78</v>
      </c>
    </row>
    <row r="151" spans="1:8" x14ac:dyDescent="0.25">
      <c r="A151" s="1">
        <v>48335</v>
      </c>
      <c r="B151" s="2">
        <f t="shared" si="20"/>
        <v>7721</v>
      </c>
      <c r="C151" s="2">
        <f t="shared" si="14"/>
        <v>0</v>
      </c>
      <c r="D151" s="2">
        <f t="shared" si="15"/>
        <v>7721</v>
      </c>
      <c r="E151" s="2">
        <f t="shared" si="16"/>
        <v>154.41999999999999</v>
      </c>
      <c r="F151" s="2">
        <f t="shared" si="17"/>
        <v>115.82</v>
      </c>
      <c r="G151" s="2">
        <f t="shared" si="18"/>
        <v>0</v>
      </c>
      <c r="H151" s="2">
        <f t="shared" si="19"/>
        <v>34137.019999999997</v>
      </c>
    </row>
    <row r="152" spans="1:8" x14ac:dyDescent="0.25">
      <c r="A152" s="1">
        <v>48366</v>
      </c>
      <c r="B152" s="2">
        <f t="shared" si="20"/>
        <v>7721</v>
      </c>
      <c r="C152" s="2">
        <f t="shared" si="14"/>
        <v>0</v>
      </c>
      <c r="D152" s="2">
        <f t="shared" si="15"/>
        <v>7721</v>
      </c>
      <c r="E152" s="2">
        <f t="shared" si="16"/>
        <v>154.41999999999999</v>
      </c>
      <c r="F152" s="2">
        <f t="shared" si="17"/>
        <v>115.82</v>
      </c>
      <c r="G152" s="2">
        <f t="shared" si="18"/>
        <v>0</v>
      </c>
      <c r="H152" s="2">
        <f t="shared" si="19"/>
        <v>34407.259999999995</v>
      </c>
    </row>
    <row r="153" spans="1:8" x14ac:dyDescent="0.25">
      <c r="A153" s="1">
        <v>48396</v>
      </c>
      <c r="B153" s="2">
        <f t="shared" si="20"/>
        <v>7721</v>
      </c>
      <c r="C153" s="2">
        <f t="shared" si="14"/>
        <v>500</v>
      </c>
      <c r="D153" s="2">
        <f t="shared" si="15"/>
        <v>8221</v>
      </c>
      <c r="E153" s="2">
        <f t="shared" si="16"/>
        <v>164.42</v>
      </c>
      <c r="F153" s="2">
        <f t="shared" si="17"/>
        <v>123.32</v>
      </c>
      <c r="G153" s="2">
        <f t="shared" si="18"/>
        <v>0</v>
      </c>
      <c r="H153" s="2">
        <f t="shared" si="19"/>
        <v>34694.999999999993</v>
      </c>
    </row>
    <row r="154" spans="1:8" x14ac:dyDescent="0.25">
      <c r="A154" s="1">
        <v>48427</v>
      </c>
      <c r="B154" s="2">
        <f t="shared" si="20"/>
        <v>7721</v>
      </c>
      <c r="C154" s="2">
        <f t="shared" si="14"/>
        <v>0</v>
      </c>
      <c r="D154" s="2">
        <f t="shared" si="15"/>
        <v>7721</v>
      </c>
      <c r="E154" s="2">
        <f t="shared" si="16"/>
        <v>154.41999999999999</v>
      </c>
      <c r="F154" s="2">
        <f t="shared" si="17"/>
        <v>115.82</v>
      </c>
      <c r="G154" s="2">
        <f t="shared" si="18"/>
        <v>0</v>
      </c>
      <c r="H154" s="2">
        <f t="shared" si="19"/>
        <v>34965.239999999991</v>
      </c>
    </row>
    <row r="155" spans="1:8" x14ac:dyDescent="0.25">
      <c r="A155" s="1">
        <v>48458</v>
      </c>
      <c r="B155" s="2">
        <f t="shared" si="20"/>
        <v>7721</v>
      </c>
      <c r="C155" s="2">
        <f t="shared" si="14"/>
        <v>0</v>
      </c>
      <c r="D155" s="2">
        <f t="shared" si="15"/>
        <v>7721</v>
      </c>
      <c r="E155" s="2">
        <f t="shared" si="16"/>
        <v>154.41999999999999</v>
      </c>
      <c r="F155" s="2">
        <f t="shared" si="17"/>
        <v>115.82</v>
      </c>
      <c r="G155" s="2">
        <f t="shared" si="18"/>
        <v>0</v>
      </c>
      <c r="H155" s="2">
        <f t="shared" si="19"/>
        <v>35235.479999999989</v>
      </c>
    </row>
    <row r="156" spans="1:8" x14ac:dyDescent="0.25">
      <c r="A156" s="1">
        <v>48488</v>
      </c>
      <c r="B156" s="2">
        <f t="shared" si="20"/>
        <v>7721</v>
      </c>
      <c r="C156" s="2">
        <f t="shared" si="14"/>
        <v>500</v>
      </c>
      <c r="D156" s="2">
        <f t="shared" si="15"/>
        <v>8221</v>
      </c>
      <c r="E156" s="2">
        <f t="shared" si="16"/>
        <v>164.42</v>
      </c>
      <c r="F156" s="2">
        <f t="shared" si="17"/>
        <v>123.32</v>
      </c>
      <c r="G156" s="2">
        <f t="shared" si="18"/>
        <v>0</v>
      </c>
      <c r="H156" s="2">
        <f t="shared" si="19"/>
        <v>35523.219999999987</v>
      </c>
    </row>
    <row r="157" spans="1:8" x14ac:dyDescent="0.25">
      <c r="A157" s="1">
        <v>48519</v>
      </c>
      <c r="B157" s="2">
        <f t="shared" si="20"/>
        <v>7721</v>
      </c>
      <c r="C157" s="2">
        <f t="shared" si="14"/>
        <v>0</v>
      </c>
      <c r="D157" s="2">
        <f t="shared" si="15"/>
        <v>7721</v>
      </c>
      <c r="E157" s="2">
        <f t="shared" si="16"/>
        <v>154.41999999999999</v>
      </c>
      <c r="F157" s="2">
        <f t="shared" si="17"/>
        <v>115.82</v>
      </c>
      <c r="G157" s="2">
        <f t="shared" si="18"/>
        <v>0</v>
      </c>
      <c r="H157" s="2">
        <f t="shared" si="19"/>
        <v>35793.459999999985</v>
      </c>
    </row>
    <row r="158" spans="1:8" x14ac:dyDescent="0.25">
      <c r="A158" s="1">
        <v>48549</v>
      </c>
      <c r="B158" s="2">
        <f t="shared" si="20"/>
        <v>7721</v>
      </c>
      <c r="C158" s="2">
        <f t="shared" si="14"/>
        <v>0</v>
      </c>
      <c r="D158" s="2">
        <f t="shared" si="15"/>
        <v>7721</v>
      </c>
      <c r="E158" s="2">
        <f t="shared" si="16"/>
        <v>154.41999999999999</v>
      </c>
      <c r="F158" s="2">
        <f t="shared" si="17"/>
        <v>115.82</v>
      </c>
      <c r="G158" s="2">
        <f t="shared" si="18"/>
        <v>240</v>
      </c>
      <c r="H158" s="2">
        <f t="shared" si="19"/>
        <v>36303.699999999983</v>
      </c>
    </row>
    <row r="159" spans="1:8" x14ac:dyDescent="0.25">
      <c r="A159" s="1">
        <v>48580</v>
      </c>
      <c r="B159" s="2">
        <f t="shared" si="20"/>
        <v>7915</v>
      </c>
      <c r="C159" s="2">
        <f t="shared" si="14"/>
        <v>500</v>
      </c>
      <c r="D159" s="2">
        <f t="shared" si="15"/>
        <v>8415</v>
      </c>
      <c r="E159" s="2">
        <f t="shared" si="16"/>
        <v>168.3</v>
      </c>
      <c r="F159" s="2">
        <f t="shared" si="17"/>
        <v>126.23</v>
      </c>
      <c r="G159" s="2">
        <f t="shared" si="18"/>
        <v>0</v>
      </c>
      <c r="H159" s="2">
        <f t="shared" si="19"/>
        <v>36598.229999999989</v>
      </c>
    </row>
    <row r="160" spans="1:8" x14ac:dyDescent="0.25">
      <c r="A160" s="1">
        <v>48611</v>
      </c>
      <c r="B160" s="2">
        <f t="shared" si="20"/>
        <v>7915</v>
      </c>
      <c r="C160" s="2">
        <f t="shared" si="14"/>
        <v>0</v>
      </c>
      <c r="D160" s="2">
        <f t="shared" si="15"/>
        <v>7915</v>
      </c>
      <c r="E160" s="2">
        <f t="shared" si="16"/>
        <v>158.30000000000001</v>
      </c>
      <c r="F160" s="2">
        <f t="shared" si="17"/>
        <v>118.73</v>
      </c>
      <c r="G160" s="2">
        <f t="shared" si="18"/>
        <v>0</v>
      </c>
      <c r="H160" s="2">
        <f t="shared" si="19"/>
        <v>36875.259999999995</v>
      </c>
    </row>
    <row r="161" spans="1:8" x14ac:dyDescent="0.25">
      <c r="A161" s="1">
        <v>48639</v>
      </c>
      <c r="B161" s="2">
        <f t="shared" si="20"/>
        <v>7915</v>
      </c>
      <c r="C161" s="2">
        <f t="shared" si="14"/>
        <v>0</v>
      </c>
      <c r="D161" s="2">
        <f t="shared" si="15"/>
        <v>7915</v>
      </c>
      <c r="E161" s="2">
        <f t="shared" si="16"/>
        <v>158.30000000000001</v>
      </c>
      <c r="F161" s="2">
        <f t="shared" si="17"/>
        <v>118.73</v>
      </c>
      <c r="G161" s="2">
        <f t="shared" si="18"/>
        <v>0</v>
      </c>
      <c r="H161" s="2">
        <f t="shared" si="19"/>
        <v>37152.29</v>
      </c>
    </row>
    <row r="162" spans="1:8" x14ac:dyDescent="0.25">
      <c r="A162" s="1">
        <v>48670</v>
      </c>
      <c r="B162" s="2">
        <f t="shared" si="20"/>
        <v>7915</v>
      </c>
      <c r="C162" s="2">
        <f t="shared" si="14"/>
        <v>500</v>
      </c>
      <c r="D162" s="2">
        <f t="shared" si="15"/>
        <v>8415</v>
      </c>
      <c r="E162" s="2">
        <f t="shared" si="16"/>
        <v>168.3</v>
      </c>
      <c r="F162" s="2">
        <f t="shared" si="17"/>
        <v>126.23</v>
      </c>
      <c r="G162" s="2">
        <f t="shared" si="18"/>
        <v>0</v>
      </c>
      <c r="H162" s="2">
        <f t="shared" si="19"/>
        <v>37446.820000000007</v>
      </c>
    </row>
    <row r="163" spans="1:8" x14ac:dyDescent="0.25">
      <c r="A163" s="1">
        <v>48700</v>
      </c>
      <c r="B163" s="2">
        <f t="shared" si="20"/>
        <v>7915</v>
      </c>
      <c r="C163" s="2">
        <f t="shared" si="14"/>
        <v>0</v>
      </c>
      <c r="D163" s="2">
        <f t="shared" si="15"/>
        <v>7915</v>
      </c>
      <c r="E163" s="2">
        <f t="shared" si="16"/>
        <v>158.30000000000001</v>
      </c>
      <c r="F163" s="2">
        <f t="shared" si="17"/>
        <v>118.73</v>
      </c>
      <c r="G163" s="2">
        <f t="shared" si="18"/>
        <v>0</v>
      </c>
      <c r="H163" s="2">
        <f t="shared" si="19"/>
        <v>37723.850000000013</v>
      </c>
    </row>
    <row r="164" spans="1:8" x14ac:dyDescent="0.25">
      <c r="A164" s="1">
        <v>48731</v>
      </c>
      <c r="B164" s="2">
        <f t="shared" si="20"/>
        <v>7915</v>
      </c>
      <c r="C164" s="2">
        <f t="shared" si="14"/>
        <v>0</v>
      </c>
      <c r="D164" s="2">
        <f t="shared" si="15"/>
        <v>7915</v>
      </c>
      <c r="E164" s="2">
        <f t="shared" si="16"/>
        <v>158.30000000000001</v>
      </c>
      <c r="F164" s="2">
        <f t="shared" si="17"/>
        <v>118.73</v>
      </c>
      <c r="G164" s="2">
        <f t="shared" si="18"/>
        <v>0</v>
      </c>
      <c r="H164" s="2">
        <f t="shared" si="19"/>
        <v>38000.880000000019</v>
      </c>
    </row>
    <row r="165" spans="1:8" x14ac:dyDescent="0.25">
      <c r="A165" s="1">
        <v>48761</v>
      </c>
      <c r="B165" s="2">
        <f t="shared" si="20"/>
        <v>7915</v>
      </c>
      <c r="C165" s="2">
        <f t="shared" si="14"/>
        <v>500</v>
      </c>
      <c r="D165" s="2">
        <f t="shared" si="15"/>
        <v>8415</v>
      </c>
      <c r="E165" s="2">
        <f t="shared" si="16"/>
        <v>168.3</v>
      </c>
      <c r="F165" s="2">
        <f t="shared" si="17"/>
        <v>126.23</v>
      </c>
      <c r="G165" s="2">
        <f t="shared" si="18"/>
        <v>0</v>
      </c>
      <c r="H165" s="2">
        <f t="shared" si="19"/>
        <v>38295.410000000025</v>
      </c>
    </row>
    <row r="166" spans="1:8" x14ac:dyDescent="0.25">
      <c r="A166" s="1">
        <v>48792</v>
      </c>
      <c r="B166" s="2">
        <f t="shared" si="20"/>
        <v>7915</v>
      </c>
      <c r="C166" s="2">
        <f t="shared" si="14"/>
        <v>0</v>
      </c>
      <c r="D166" s="2">
        <f t="shared" si="15"/>
        <v>7915</v>
      </c>
      <c r="E166" s="2">
        <f t="shared" si="16"/>
        <v>158.30000000000001</v>
      </c>
      <c r="F166" s="2">
        <f t="shared" si="17"/>
        <v>118.73</v>
      </c>
      <c r="G166" s="2">
        <f t="shared" si="18"/>
        <v>0</v>
      </c>
      <c r="H166" s="2">
        <f t="shared" si="19"/>
        <v>38572.440000000031</v>
      </c>
    </row>
    <row r="167" spans="1:8" x14ac:dyDescent="0.25">
      <c r="A167" s="1">
        <v>48823</v>
      </c>
      <c r="B167" s="2">
        <f t="shared" si="20"/>
        <v>7915</v>
      </c>
      <c r="C167" s="2">
        <f t="shared" si="14"/>
        <v>0</v>
      </c>
      <c r="D167" s="2">
        <f t="shared" si="15"/>
        <v>7915</v>
      </c>
      <c r="E167" s="2">
        <f t="shared" si="16"/>
        <v>158.30000000000001</v>
      </c>
      <c r="F167" s="2">
        <f t="shared" si="17"/>
        <v>118.73</v>
      </c>
      <c r="G167" s="2">
        <f t="shared" si="18"/>
        <v>0</v>
      </c>
      <c r="H167" s="2">
        <f t="shared" si="19"/>
        <v>38849.470000000038</v>
      </c>
    </row>
    <row r="168" spans="1:8" x14ac:dyDescent="0.25">
      <c r="A168" s="1">
        <v>48853</v>
      </c>
      <c r="B168" s="2">
        <f t="shared" si="20"/>
        <v>7915</v>
      </c>
      <c r="C168" s="2">
        <f t="shared" si="14"/>
        <v>500</v>
      </c>
      <c r="D168" s="2">
        <f t="shared" si="15"/>
        <v>8415</v>
      </c>
      <c r="E168" s="2">
        <f t="shared" si="16"/>
        <v>168.3</v>
      </c>
      <c r="F168" s="2">
        <f t="shared" si="17"/>
        <v>126.23</v>
      </c>
      <c r="G168" s="2">
        <f t="shared" si="18"/>
        <v>0</v>
      </c>
      <c r="H168" s="2">
        <f t="shared" si="19"/>
        <v>39144.000000000044</v>
      </c>
    </row>
    <row r="169" spans="1:8" x14ac:dyDescent="0.25">
      <c r="A169" s="1">
        <v>48884</v>
      </c>
      <c r="B169" s="2">
        <f t="shared" si="20"/>
        <v>7915</v>
      </c>
      <c r="C169" s="2">
        <f t="shared" si="14"/>
        <v>0</v>
      </c>
      <c r="D169" s="2">
        <f t="shared" si="15"/>
        <v>7915</v>
      </c>
      <c r="E169" s="2">
        <f t="shared" si="16"/>
        <v>158.30000000000001</v>
      </c>
      <c r="F169" s="2">
        <f t="shared" si="17"/>
        <v>118.73</v>
      </c>
      <c r="G169" s="2">
        <f t="shared" si="18"/>
        <v>0</v>
      </c>
      <c r="H169" s="2">
        <f t="shared" si="19"/>
        <v>39421.03000000005</v>
      </c>
    </row>
    <row r="170" spans="1:8" x14ac:dyDescent="0.25">
      <c r="A170" s="1">
        <v>48914</v>
      </c>
      <c r="B170" s="2">
        <f t="shared" si="20"/>
        <v>7915</v>
      </c>
      <c r="C170" s="2">
        <f t="shared" si="14"/>
        <v>0</v>
      </c>
      <c r="D170" s="2">
        <f t="shared" si="15"/>
        <v>7915</v>
      </c>
      <c r="E170" s="2">
        <f t="shared" si="16"/>
        <v>158.30000000000001</v>
      </c>
      <c r="F170" s="2">
        <f t="shared" si="17"/>
        <v>118.73</v>
      </c>
      <c r="G170" s="2">
        <f t="shared" si="18"/>
        <v>240</v>
      </c>
      <c r="H170" s="2">
        <f t="shared" si="19"/>
        <v>39938.060000000056</v>
      </c>
    </row>
    <row r="171" spans="1:8" x14ac:dyDescent="0.25">
      <c r="A171" s="1">
        <v>48945</v>
      </c>
      <c r="B171" s="2">
        <f t="shared" si="20"/>
        <v>8113</v>
      </c>
      <c r="C171" s="2">
        <f t="shared" si="14"/>
        <v>500</v>
      </c>
      <c r="D171" s="2">
        <f t="shared" si="15"/>
        <v>8613</v>
      </c>
      <c r="E171" s="2">
        <f t="shared" si="16"/>
        <v>172.26</v>
      </c>
      <c r="F171" s="2">
        <f t="shared" si="17"/>
        <v>129.19999999999999</v>
      </c>
      <c r="G171" s="2">
        <f t="shared" si="18"/>
        <v>0</v>
      </c>
      <c r="H171" s="2">
        <f t="shared" si="19"/>
        <v>40239.520000000055</v>
      </c>
    </row>
    <row r="172" spans="1:8" x14ac:dyDescent="0.25">
      <c r="A172" s="1">
        <v>48976</v>
      </c>
      <c r="B172" s="2">
        <f t="shared" si="20"/>
        <v>8113</v>
      </c>
      <c r="C172" s="2">
        <f t="shared" si="14"/>
        <v>0</v>
      </c>
      <c r="D172" s="2">
        <f t="shared" si="15"/>
        <v>8113</v>
      </c>
      <c r="E172" s="2">
        <f t="shared" si="16"/>
        <v>162.26</v>
      </c>
      <c r="F172" s="2">
        <f t="shared" si="17"/>
        <v>121.7</v>
      </c>
      <c r="G172" s="2">
        <f t="shared" si="18"/>
        <v>0</v>
      </c>
      <c r="H172" s="2">
        <f t="shared" si="19"/>
        <v>40523.480000000054</v>
      </c>
    </row>
    <row r="173" spans="1:8" x14ac:dyDescent="0.25">
      <c r="A173" s="1">
        <v>49004</v>
      </c>
      <c r="B173" s="2">
        <f t="shared" si="20"/>
        <v>8113</v>
      </c>
      <c r="C173" s="2">
        <f t="shared" si="14"/>
        <v>0</v>
      </c>
      <c r="D173" s="2">
        <f t="shared" si="15"/>
        <v>8113</v>
      </c>
      <c r="E173" s="2">
        <f t="shared" si="16"/>
        <v>162.26</v>
      </c>
      <c r="F173" s="2">
        <f t="shared" si="17"/>
        <v>121.7</v>
      </c>
      <c r="G173" s="2">
        <f t="shared" si="18"/>
        <v>0</v>
      </c>
      <c r="H173" s="2">
        <f t="shared" si="19"/>
        <v>40807.440000000053</v>
      </c>
    </row>
    <row r="174" spans="1:8" x14ac:dyDescent="0.25">
      <c r="A174" s="1">
        <v>49035</v>
      </c>
      <c r="B174" s="2">
        <f t="shared" si="20"/>
        <v>8113</v>
      </c>
      <c r="C174" s="2">
        <f t="shared" si="14"/>
        <v>500</v>
      </c>
      <c r="D174" s="2">
        <f t="shared" si="15"/>
        <v>8613</v>
      </c>
      <c r="E174" s="2">
        <f t="shared" si="16"/>
        <v>172.26</v>
      </c>
      <c r="F174" s="2">
        <f t="shared" si="17"/>
        <v>129.19999999999999</v>
      </c>
      <c r="G174" s="2">
        <f t="shared" si="18"/>
        <v>0</v>
      </c>
      <c r="H174" s="2">
        <f t="shared" si="19"/>
        <v>41108.900000000052</v>
      </c>
    </row>
    <row r="175" spans="1:8" x14ac:dyDescent="0.25">
      <c r="A175" s="1">
        <v>49065</v>
      </c>
      <c r="B175" s="2">
        <f t="shared" si="20"/>
        <v>8113</v>
      </c>
      <c r="C175" s="2">
        <f t="shared" si="14"/>
        <v>0</v>
      </c>
      <c r="D175" s="2">
        <f t="shared" si="15"/>
        <v>8113</v>
      </c>
      <c r="E175" s="2">
        <f t="shared" si="16"/>
        <v>162.26</v>
      </c>
      <c r="F175" s="2">
        <f t="shared" si="17"/>
        <v>121.7</v>
      </c>
      <c r="G175" s="2">
        <f t="shared" si="18"/>
        <v>0</v>
      </c>
      <c r="H175" s="2">
        <f t="shared" si="19"/>
        <v>41392.860000000052</v>
      </c>
    </row>
    <row r="176" spans="1:8" x14ac:dyDescent="0.25">
      <c r="A176" s="1">
        <v>49096</v>
      </c>
      <c r="B176" s="2">
        <f t="shared" si="20"/>
        <v>8113</v>
      </c>
      <c r="C176" s="2">
        <f t="shared" si="14"/>
        <v>0</v>
      </c>
      <c r="D176" s="2">
        <f t="shared" si="15"/>
        <v>8113</v>
      </c>
      <c r="E176" s="2">
        <f t="shared" si="16"/>
        <v>162.26</v>
      </c>
      <c r="F176" s="2">
        <f t="shared" si="17"/>
        <v>121.7</v>
      </c>
      <c r="G176" s="2">
        <f t="shared" si="18"/>
        <v>0</v>
      </c>
      <c r="H176" s="2">
        <f t="shared" si="19"/>
        <v>41676.820000000051</v>
      </c>
    </row>
    <row r="177" spans="1:8" x14ac:dyDescent="0.25">
      <c r="A177" s="1">
        <v>49126</v>
      </c>
      <c r="B177" s="2">
        <f t="shared" si="20"/>
        <v>8113</v>
      </c>
      <c r="C177" s="2">
        <f t="shared" si="14"/>
        <v>500</v>
      </c>
      <c r="D177" s="2">
        <f t="shared" si="15"/>
        <v>8613</v>
      </c>
      <c r="E177" s="2">
        <f t="shared" si="16"/>
        <v>172.26</v>
      </c>
      <c r="F177" s="2">
        <f t="shared" si="17"/>
        <v>129.19999999999999</v>
      </c>
      <c r="G177" s="2">
        <f t="shared" si="18"/>
        <v>0</v>
      </c>
      <c r="H177" s="2">
        <f t="shared" si="19"/>
        <v>41978.28000000005</v>
      </c>
    </row>
    <row r="178" spans="1:8" x14ac:dyDescent="0.25">
      <c r="A178" s="1">
        <v>49157</v>
      </c>
      <c r="B178" s="2">
        <f t="shared" si="20"/>
        <v>8113</v>
      </c>
      <c r="C178" s="2">
        <f t="shared" si="14"/>
        <v>0</v>
      </c>
      <c r="D178" s="2">
        <f t="shared" si="15"/>
        <v>8113</v>
      </c>
      <c r="E178" s="2">
        <f t="shared" si="16"/>
        <v>162.26</v>
      </c>
      <c r="F178" s="2">
        <f t="shared" si="17"/>
        <v>121.7</v>
      </c>
      <c r="G178" s="2">
        <f t="shared" si="18"/>
        <v>0</v>
      </c>
      <c r="H178" s="2">
        <f t="shared" si="19"/>
        <v>42262.240000000049</v>
      </c>
    </row>
    <row r="179" spans="1:8" x14ac:dyDescent="0.25">
      <c r="A179" s="1">
        <v>49188</v>
      </c>
      <c r="B179" s="2">
        <f t="shared" si="20"/>
        <v>8113</v>
      </c>
      <c r="C179" s="2">
        <f t="shared" si="14"/>
        <v>0</v>
      </c>
      <c r="D179" s="2">
        <f t="shared" si="15"/>
        <v>8113</v>
      </c>
      <c r="E179" s="2">
        <f t="shared" si="16"/>
        <v>162.26</v>
      </c>
      <c r="F179" s="2">
        <f t="shared" si="17"/>
        <v>121.7</v>
      </c>
      <c r="G179" s="2">
        <f t="shared" si="18"/>
        <v>0</v>
      </c>
      <c r="H179" s="2">
        <f t="shared" si="19"/>
        <v>42546.200000000048</v>
      </c>
    </row>
    <row r="180" spans="1:8" x14ac:dyDescent="0.25">
      <c r="A180" s="1">
        <v>49218</v>
      </c>
      <c r="B180" s="2">
        <f t="shared" si="20"/>
        <v>8113</v>
      </c>
      <c r="C180" s="2">
        <f t="shared" si="14"/>
        <v>500</v>
      </c>
      <c r="D180" s="2">
        <f t="shared" si="15"/>
        <v>8613</v>
      </c>
      <c r="E180" s="2">
        <f t="shared" si="16"/>
        <v>172.26</v>
      </c>
      <c r="F180" s="2">
        <f t="shared" si="17"/>
        <v>129.19999999999999</v>
      </c>
      <c r="G180" s="2">
        <f t="shared" si="18"/>
        <v>0</v>
      </c>
      <c r="H180" s="2">
        <f t="shared" si="19"/>
        <v>42847.660000000047</v>
      </c>
    </row>
    <row r="181" spans="1:8" x14ac:dyDescent="0.25">
      <c r="A181" s="1">
        <v>49249</v>
      </c>
      <c r="B181" s="2">
        <f t="shared" si="20"/>
        <v>8113</v>
      </c>
      <c r="C181" s="2">
        <f t="shared" si="14"/>
        <v>0</v>
      </c>
      <c r="D181" s="2">
        <f t="shared" si="15"/>
        <v>8113</v>
      </c>
      <c r="E181" s="2">
        <f t="shared" si="16"/>
        <v>162.26</v>
      </c>
      <c r="F181" s="2">
        <f t="shared" si="17"/>
        <v>121.7</v>
      </c>
      <c r="G181" s="2">
        <f t="shared" si="18"/>
        <v>0</v>
      </c>
      <c r="H181" s="2">
        <f t="shared" si="19"/>
        <v>43131.620000000046</v>
      </c>
    </row>
    <row r="182" spans="1:8" x14ac:dyDescent="0.25">
      <c r="A182" s="1">
        <v>49279</v>
      </c>
      <c r="B182" s="2">
        <f t="shared" si="20"/>
        <v>8113</v>
      </c>
      <c r="C182" s="2">
        <f t="shared" si="14"/>
        <v>0</v>
      </c>
      <c r="D182" s="2">
        <f t="shared" si="15"/>
        <v>8113</v>
      </c>
      <c r="E182" s="2">
        <f t="shared" si="16"/>
        <v>162.26</v>
      </c>
      <c r="F182" s="2">
        <f t="shared" si="17"/>
        <v>121.7</v>
      </c>
      <c r="G182" s="2">
        <f t="shared" si="18"/>
        <v>240</v>
      </c>
      <c r="H182" s="2">
        <f t="shared" si="19"/>
        <v>43655.580000000045</v>
      </c>
    </row>
    <row r="183" spans="1:8" x14ac:dyDescent="0.25">
      <c r="A183" s="1">
        <v>49310</v>
      </c>
      <c r="B183" s="2">
        <f t="shared" si="20"/>
        <v>8316</v>
      </c>
      <c r="C183" s="2">
        <f t="shared" si="14"/>
        <v>500</v>
      </c>
      <c r="D183" s="2">
        <f t="shared" si="15"/>
        <v>8816</v>
      </c>
      <c r="E183" s="2">
        <f t="shared" si="16"/>
        <v>176.32</v>
      </c>
      <c r="F183" s="2">
        <f t="shared" si="17"/>
        <v>132.24</v>
      </c>
      <c r="G183" s="2">
        <f t="shared" si="18"/>
        <v>0</v>
      </c>
      <c r="H183" s="2">
        <f t="shared" si="19"/>
        <v>43964.140000000043</v>
      </c>
    </row>
    <row r="184" spans="1:8" x14ac:dyDescent="0.25">
      <c r="A184" s="1">
        <v>49341</v>
      </c>
      <c r="B184" s="2">
        <f t="shared" si="20"/>
        <v>8316</v>
      </c>
      <c r="C184" s="2">
        <f t="shared" si="14"/>
        <v>0</v>
      </c>
      <c r="D184" s="2">
        <f t="shared" si="15"/>
        <v>8316</v>
      </c>
      <c r="E184" s="2">
        <f t="shared" si="16"/>
        <v>166.32</v>
      </c>
      <c r="F184" s="2">
        <f t="shared" si="17"/>
        <v>124.74</v>
      </c>
      <c r="G184" s="2">
        <f t="shared" si="18"/>
        <v>0</v>
      </c>
      <c r="H184" s="2">
        <f t="shared" si="19"/>
        <v>44255.200000000041</v>
      </c>
    </row>
    <row r="185" spans="1:8" x14ac:dyDescent="0.25">
      <c r="A185" s="1">
        <v>49369</v>
      </c>
      <c r="B185" s="2">
        <f t="shared" si="20"/>
        <v>8316</v>
      </c>
      <c r="C185" s="2">
        <f t="shared" si="14"/>
        <v>0</v>
      </c>
      <c r="D185" s="2">
        <f t="shared" si="15"/>
        <v>8316</v>
      </c>
      <c r="E185" s="2">
        <f t="shared" si="16"/>
        <v>166.32</v>
      </c>
      <c r="F185" s="2">
        <f t="shared" si="17"/>
        <v>124.74</v>
      </c>
      <c r="G185" s="2">
        <f t="shared" si="18"/>
        <v>0</v>
      </c>
      <c r="H185" s="2">
        <f t="shared" si="19"/>
        <v>44546.260000000038</v>
      </c>
    </row>
    <row r="186" spans="1:8" x14ac:dyDescent="0.25">
      <c r="A186" s="1">
        <v>49400</v>
      </c>
      <c r="B186" s="2">
        <f t="shared" si="20"/>
        <v>8316</v>
      </c>
      <c r="C186" s="2">
        <f t="shared" si="14"/>
        <v>500</v>
      </c>
      <c r="D186" s="2">
        <f t="shared" si="15"/>
        <v>8816</v>
      </c>
      <c r="E186" s="2">
        <f t="shared" si="16"/>
        <v>176.32</v>
      </c>
      <c r="F186" s="2">
        <f t="shared" si="17"/>
        <v>132.24</v>
      </c>
      <c r="G186" s="2">
        <f t="shared" si="18"/>
        <v>0</v>
      </c>
      <c r="H186" s="2">
        <f t="shared" si="19"/>
        <v>44854.820000000036</v>
      </c>
    </row>
    <row r="187" spans="1:8" x14ac:dyDescent="0.25">
      <c r="A187" s="1">
        <v>49430</v>
      </c>
      <c r="B187" s="2">
        <f t="shared" si="20"/>
        <v>8316</v>
      </c>
      <c r="C187" s="2">
        <f t="shared" si="14"/>
        <v>0</v>
      </c>
      <c r="D187" s="2">
        <f t="shared" si="15"/>
        <v>8316</v>
      </c>
      <c r="E187" s="2">
        <f t="shared" si="16"/>
        <v>166.32</v>
      </c>
      <c r="F187" s="2">
        <f t="shared" si="17"/>
        <v>124.74</v>
      </c>
      <c r="G187" s="2">
        <f t="shared" si="18"/>
        <v>0</v>
      </c>
      <c r="H187" s="2">
        <f t="shared" si="19"/>
        <v>45145.880000000034</v>
      </c>
    </row>
    <row r="188" spans="1:8" x14ac:dyDescent="0.25">
      <c r="A188" s="1">
        <v>49461</v>
      </c>
      <c r="B188" s="2">
        <f t="shared" si="20"/>
        <v>8316</v>
      </c>
      <c r="C188" s="2">
        <f t="shared" si="14"/>
        <v>0</v>
      </c>
      <c r="D188" s="2">
        <f t="shared" si="15"/>
        <v>8316</v>
      </c>
      <c r="E188" s="2">
        <f t="shared" si="16"/>
        <v>166.32</v>
      </c>
      <c r="F188" s="2">
        <f t="shared" si="17"/>
        <v>124.74</v>
      </c>
      <c r="G188" s="2">
        <f t="shared" si="18"/>
        <v>0</v>
      </c>
      <c r="H188" s="2">
        <f t="shared" si="19"/>
        <v>45436.940000000031</v>
      </c>
    </row>
    <row r="189" spans="1:8" x14ac:dyDescent="0.25">
      <c r="A189" s="1">
        <v>49491</v>
      </c>
      <c r="B189" s="2">
        <f t="shared" si="20"/>
        <v>8316</v>
      </c>
      <c r="C189" s="2">
        <f t="shared" si="14"/>
        <v>500</v>
      </c>
      <c r="D189" s="2">
        <f t="shared" si="15"/>
        <v>8816</v>
      </c>
      <c r="E189" s="2">
        <f t="shared" si="16"/>
        <v>176.32</v>
      </c>
      <c r="F189" s="2">
        <f t="shared" si="17"/>
        <v>132.24</v>
      </c>
      <c r="G189" s="2">
        <f t="shared" si="18"/>
        <v>0</v>
      </c>
      <c r="H189" s="2">
        <f t="shared" si="19"/>
        <v>45745.500000000029</v>
      </c>
    </row>
    <row r="190" spans="1:8" x14ac:dyDescent="0.25">
      <c r="A190" s="1">
        <v>49522</v>
      </c>
      <c r="B190" s="2">
        <f t="shared" si="20"/>
        <v>8316</v>
      </c>
      <c r="C190" s="2">
        <f t="shared" si="14"/>
        <v>0</v>
      </c>
      <c r="D190" s="2">
        <f t="shared" si="15"/>
        <v>8316</v>
      </c>
      <c r="E190" s="2">
        <f t="shared" si="16"/>
        <v>166.32</v>
      </c>
      <c r="F190" s="2">
        <f t="shared" si="17"/>
        <v>124.74</v>
      </c>
      <c r="G190" s="2">
        <f t="shared" si="18"/>
        <v>0</v>
      </c>
      <c r="H190" s="2">
        <f t="shared" si="19"/>
        <v>46036.560000000027</v>
      </c>
    </row>
    <row r="191" spans="1:8" x14ac:dyDescent="0.25">
      <c r="A191" s="1">
        <v>49553</v>
      </c>
      <c r="B191" s="2">
        <f t="shared" si="20"/>
        <v>8316</v>
      </c>
      <c r="C191" s="2">
        <f t="shared" si="14"/>
        <v>0</v>
      </c>
      <c r="D191" s="2">
        <f t="shared" si="15"/>
        <v>8316</v>
      </c>
      <c r="E191" s="2">
        <f t="shared" si="16"/>
        <v>166.32</v>
      </c>
      <c r="F191" s="2">
        <f t="shared" si="17"/>
        <v>124.74</v>
      </c>
      <c r="G191" s="2">
        <f t="shared" si="18"/>
        <v>0</v>
      </c>
      <c r="H191" s="2">
        <f t="shared" si="19"/>
        <v>46327.620000000024</v>
      </c>
    </row>
    <row r="192" spans="1:8" x14ac:dyDescent="0.25">
      <c r="A192" s="1">
        <v>49583</v>
      </c>
      <c r="B192" s="2">
        <f t="shared" si="20"/>
        <v>8316</v>
      </c>
      <c r="C192" s="2">
        <f t="shared" si="14"/>
        <v>500</v>
      </c>
      <c r="D192" s="2">
        <f t="shared" si="15"/>
        <v>8816</v>
      </c>
      <c r="E192" s="2">
        <f t="shared" si="16"/>
        <v>176.32</v>
      </c>
      <c r="F192" s="2">
        <f t="shared" si="17"/>
        <v>132.24</v>
      </c>
      <c r="G192" s="2">
        <f t="shared" si="18"/>
        <v>0</v>
      </c>
      <c r="H192" s="2">
        <f t="shared" si="19"/>
        <v>46636.180000000022</v>
      </c>
    </row>
    <row r="193" spans="1:8" x14ac:dyDescent="0.25">
      <c r="A193" s="1">
        <v>49614</v>
      </c>
      <c r="B193" s="2">
        <f t="shared" si="20"/>
        <v>8316</v>
      </c>
      <c r="C193" s="2">
        <f t="shared" si="14"/>
        <v>0</v>
      </c>
      <c r="D193" s="2">
        <f t="shared" si="15"/>
        <v>8316</v>
      </c>
      <c r="E193" s="2">
        <f t="shared" si="16"/>
        <v>166.32</v>
      </c>
      <c r="F193" s="2">
        <f t="shared" si="17"/>
        <v>124.74</v>
      </c>
      <c r="G193" s="2">
        <f t="shared" si="18"/>
        <v>0</v>
      </c>
      <c r="H193" s="2">
        <f t="shared" si="19"/>
        <v>46927.24000000002</v>
      </c>
    </row>
    <row r="194" spans="1:8" x14ac:dyDescent="0.25">
      <c r="A194" s="1">
        <v>49644</v>
      </c>
      <c r="B194" s="2">
        <f t="shared" si="20"/>
        <v>8316</v>
      </c>
      <c r="C194" s="2">
        <f t="shared" si="14"/>
        <v>0</v>
      </c>
      <c r="D194" s="2">
        <f t="shared" si="15"/>
        <v>8316</v>
      </c>
      <c r="E194" s="2">
        <f t="shared" si="16"/>
        <v>166.32</v>
      </c>
      <c r="F194" s="2">
        <f t="shared" si="17"/>
        <v>124.74</v>
      </c>
      <c r="G194" s="2">
        <f t="shared" si="18"/>
        <v>240</v>
      </c>
      <c r="H194" s="2">
        <f t="shared" si="19"/>
        <v>47458.300000000017</v>
      </c>
    </row>
    <row r="195" spans="1:8" x14ac:dyDescent="0.25">
      <c r="A195" s="1">
        <v>49675</v>
      </c>
      <c r="B195" s="2">
        <f t="shared" si="20"/>
        <v>9024</v>
      </c>
      <c r="C195" s="2">
        <f t="shared" si="14"/>
        <v>500</v>
      </c>
      <c r="D195" s="2">
        <f t="shared" si="15"/>
        <v>9524</v>
      </c>
      <c r="E195" s="2">
        <f t="shared" si="16"/>
        <v>190.48</v>
      </c>
      <c r="F195" s="2">
        <f t="shared" si="17"/>
        <v>142.86000000000001</v>
      </c>
      <c r="G195" s="2">
        <f t="shared" si="18"/>
        <v>0</v>
      </c>
      <c r="H195" s="2">
        <f t="shared" si="19"/>
        <v>47791.640000000021</v>
      </c>
    </row>
    <row r="196" spans="1:8" x14ac:dyDescent="0.25">
      <c r="A196" s="1">
        <v>49706</v>
      </c>
      <c r="B196" s="2">
        <f t="shared" si="20"/>
        <v>9024</v>
      </c>
      <c r="C196" s="2">
        <f t="shared" ref="C196:C259" si="21">IF(AND(OR(MONTH(A196)=1,MONTH(A196)=4,MONTH(A196)=7,MONTH(A196)=10),DATE(2020,1,1)&lt;&gt;A196),500,0)</f>
        <v>0</v>
      </c>
      <c r="D196" s="2">
        <f t="shared" ref="D196:D259" si="22">B196+C196</f>
        <v>9024</v>
      </c>
      <c r="E196" s="2">
        <f t="shared" ref="E196:E259" si="23">ROUND(D196*0.02,2)</f>
        <v>180.48</v>
      </c>
      <c r="F196" s="2">
        <f t="shared" ref="F196:F259" si="24">ROUND(D196*0.015,2)</f>
        <v>135.36000000000001</v>
      </c>
      <c r="G196" s="2">
        <f t="shared" ref="G196:G259" si="25">IF(MONTH(A196)=12,240,0)</f>
        <v>0</v>
      </c>
      <c r="H196" s="2">
        <f t="shared" ref="H196:H259" si="26">H195+E196+F196+G196</f>
        <v>48107.480000000025</v>
      </c>
    </row>
    <row r="197" spans="1:8" x14ac:dyDescent="0.25">
      <c r="A197" s="1">
        <v>49735</v>
      </c>
      <c r="B197" s="2">
        <f t="shared" ref="B197:B260" si="27">IF(YEAR($A197) &gt; YEAR($A196),IF(AND(MOD(YEAR(A197),4)=0,YEAR(A197)&lt;&gt;2020),ROUNDUP($B196*1.025,0)+500,ROUNDUP($B196*1.025,0)),$B196)</f>
        <v>9024</v>
      </c>
      <c r="C197" s="2">
        <f t="shared" si="21"/>
        <v>0</v>
      </c>
      <c r="D197" s="2">
        <f t="shared" si="22"/>
        <v>9024</v>
      </c>
      <c r="E197" s="2">
        <f t="shared" si="23"/>
        <v>180.48</v>
      </c>
      <c r="F197" s="2">
        <f t="shared" si="24"/>
        <v>135.36000000000001</v>
      </c>
      <c r="G197" s="2">
        <f t="shared" si="25"/>
        <v>0</v>
      </c>
      <c r="H197" s="2">
        <f t="shared" si="26"/>
        <v>48423.320000000029</v>
      </c>
    </row>
    <row r="198" spans="1:8" x14ac:dyDescent="0.25">
      <c r="A198" s="1">
        <v>49766</v>
      </c>
      <c r="B198" s="2">
        <f t="shared" si="27"/>
        <v>9024</v>
      </c>
      <c r="C198" s="2">
        <f t="shared" si="21"/>
        <v>500</v>
      </c>
      <c r="D198" s="2">
        <f t="shared" si="22"/>
        <v>9524</v>
      </c>
      <c r="E198" s="2">
        <f t="shared" si="23"/>
        <v>190.48</v>
      </c>
      <c r="F198" s="2">
        <f t="shared" si="24"/>
        <v>142.86000000000001</v>
      </c>
      <c r="G198" s="2">
        <f t="shared" si="25"/>
        <v>0</v>
      </c>
      <c r="H198" s="2">
        <f t="shared" si="26"/>
        <v>48756.660000000033</v>
      </c>
    </row>
    <row r="199" spans="1:8" x14ac:dyDescent="0.25">
      <c r="A199" s="1">
        <v>49796</v>
      </c>
      <c r="B199" s="2">
        <f t="shared" si="27"/>
        <v>9024</v>
      </c>
      <c r="C199" s="2">
        <f t="shared" si="21"/>
        <v>0</v>
      </c>
      <c r="D199" s="2">
        <f t="shared" si="22"/>
        <v>9024</v>
      </c>
      <c r="E199" s="2">
        <f t="shared" si="23"/>
        <v>180.48</v>
      </c>
      <c r="F199" s="2">
        <f t="shared" si="24"/>
        <v>135.36000000000001</v>
      </c>
      <c r="G199" s="2">
        <f t="shared" si="25"/>
        <v>0</v>
      </c>
      <c r="H199" s="2">
        <f t="shared" si="26"/>
        <v>49072.500000000036</v>
      </c>
    </row>
    <row r="200" spans="1:8" x14ac:dyDescent="0.25">
      <c r="A200" s="1">
        <v>49827</v>
      </c>
      <c r="B200" s="2">
        <f t="shared" si="27"/>
        <v>9024</v>
      </c>
      <c r="C200" s="2">
        <f t="shared" si="21"/>
        <v>0</v>
      </c>
      <c r="D200" s="2">
        <f t="shared" si="22"/>
        <v>9024</v>
      </c>
      <c r="E200" s="2">
        <f t="shared" si="23"/>
        <v>180.48</v>
      </c>
      <c r="F200" s="2">
        <f t="shared" si="24"/>
        <v>135.36000000000001</v>
      </c>
      <c r="G200" s="2">
        <f t="shared" si="25"/>
        <v>0</v>
      </c>
      <c r="H200" s="2">
        <f t="shared" si="26"/>
        <v>49388.34000000004</v>
      </c>
    </row>
    <row r="201" spans="1:8" x14ac:dyDescent="0.25">
      <c r="A201" s="1">
        <v>49857</v>
      </c>
      <c r="B201" s="2">
        <f t="shared" si="27"/>
        <v>9024</v>
      </c>
      <c r="C201" s="2">
        <f t="shared" si="21"/>
        <v>500</v>
      </c>
      <c r="D201" s="2">
        <f t="shared" si="22"/>
        <v>9524</v>
      </c>
      <c r="E201" s="2">
        <f t="shared" si="23"/>
        <v>190.48</v>
      </c>
      <c r="F201" s="2">
        <f t="shared" si="24"/>
        <v>142.86000000000001</v>
      </c>
      <c r="G201" s="2">
        <f t="shared" si="25"/>
        <v>0</v>
      </c>
      <c r="H201" s="2">
        <f t="shared" si="26"/>
        <v>49721.680000000044</v>
      </c>
    </row>
    <row r="202" spans="1:8" x14ac:dyDescent="0.25">
      <c r="A202" s="1">
        <v>49888</v>
      </c>
      <c r="B202" s="2">
        <f t="shared" si="27"/>
        <v>9024</v>
      </c>
      <c r="C202" s="2">
        <f t="shared" si="21"/>
        <v>0</v>
      </c>
      <c r="D202" s="2">
        <f t="shared" si="22"/>
        <v>9024</v>
      </c>
      <c r="E202" s="2">
        <f t="shared" si="23"/>
        <v>180.48</v>
      </c>
      <c r="F202" s="2">
        <f t="shared" si="24"/>
        <v>135.36000000000001</v>
      </c>
      <c r="G202" s="2">
        <f t="shared" si="25"/>
        <v>0</v>
      </c>
      <c r="H202" s="2">
        <f t="shared" si="26"/>
        <v>50037.520000000048</v>
      </c>
    </row>
    <row r="203" spans="1:8" x14ac:dyDescent="0.25">
      <c r="A203" s="1">
        <v>49919</v>
      </c>
      <c r="B203" s="2">
        <f t="shared" si="27"/>
        <v>9024</v>
      </c>
      <c r="C203" s="2">
        <f t="shared" si="21"/>
        <v>0</v>
      </c>
      <c r="D203" s="2">
        <f t="shared" si="22"/>
        <v>9024</v>
      </c>
      <c r="E203" s="2">
        <f t="shared" si="23"/>
        <v>180.48</v>
      </c>
      <c r="F203" s="2">
        <f t="shared" si="24"/>
        <v>135.36000000000001</v>
      </c>
      <c r="G203" s="2">
        <f t="shared" si="25"/>
        <v>0</v>
      </c>
      <c r="H203" s="2">
        <f t="shared" si="26"/>
        <v>50353.360000000052</v>
      </c>
    </row>
    <row r="204" spans="1:8" x14ac:dyDescent="0.25">
      <c r="A204" s="1">
        <v>49949</v>
      </c>
      <c r="B204" s="2">
        <f t="shared" si="27"/>
        <v>9024</v>
      </c>
      <c r="C204" s="2">
        <f t="shared" si="21"/>
        <v>500</v>
      </c>
      <c r="D204" s="2">
        <f t="shared" si="22"/>
        <v>9524</v>
      </c>
      <c r="E204" s="2">
        <f t="shared" si="23"/>
        <v>190.48</v>
      </c>
      <c r="F204" s="2">
        <f t="shared" si="24"/>
        <v>142.86000000000001</v>
      </c>
      <c r="G204" s="2">
        <f t="shared" si="25"/>
        <v>0</v>
      </c>
      <c r="H204" s="2">
        <f t="shared" si="26"/>
        <v>50686.700000000055</v>
      </c>
    </row>
    <row r="205" spans="1:8" x14ac:dyDescent="0.25">
      <c r="A205" s="1">
        <v>49980</v>
      </c>
      <c r="B205" s="2">
        <f t="shared" si="27"/>
        <v>9024</v>
      </c>
      <c r="C205" s="2">
        <f t="shared" si="21"/>
        <v>0</v>
      </c>
      <c r="D205" s="2">
        <f t="shared" si="22"/>
        <v>9024</v>
      </c>
      <c r="E205" s="2">
        <f t="shared" si="23"/>
        <v>180.48</v>
      </c>
      <c r="F205" s="2">
        <f t="shared" si="24"/>
        <v>135.36000000000001</v>
      </c>
      <c r="G205" s="2">
        <f t="shared" si="25"/>
        <v>0</v>
      </c>
      <c r="H205" s="2">
        <f t="shared" si="26"/>
        <v>51002.540000000059</v>
      </c>
    </row>
    <row r="206" spans="1:8" x14ac:dyDescent="0.25">
      <c r="A206" s="1">
        <v>50010</v>
      </c>
      <c r="B206" s="2">
        <f t="shared" si="27"/>
        <v>9024</v>
      </c>
      <c r="C206" s="2">
        <f t="shared" si="21"/>
        <v>0</v>
      </c>
      <c r="D206" s="2">
        <f t="shared" si="22"/>
        <v>9024</v>
      </c>
      <c r="E206" s="2">
        <f t="shared" si="23"/>
        <v>180.48</v>
      </c>
      <c r="F206" s="2">
        <f t="shared" si="24"/>
        <v>135.36000000000001</v>
      </c>
      <c r="G206" s="2">
        <f t="shared" si="25"/>
        <v>240</v>
      </c>
      <c r="H206" s="2">
        <f t="shared" si="26"/>
        <v>51558.380000000063</v>
      </c>
    </row>
    <row r="207" spans="1:8" x14ac:dyDescent="0.25">
      <c r="A207" s="1">
        <v>50041</v>
      </c>
      <c r="B207" s="2">
        <f t="shared" si="27"/>
        <v>9250</v>
      </c>
      <c r="C207" s="2">
        <f t="shared" si="21"/>
        <v>500</v>
      </c>
      <c r="D207" s="2">
        <f t="shared" si="22"/>
        <v>9750</v>
      </c>
      <c r="E207" s="2">
        <f t="shared" si="23"/>
        <v>195</v>
      </c>
      <c r="F207" s="2">
        <f t="shared" si="24"/>
        <v>146.25</v>
      </c>
      <c r="G207" s="2">
        <f t="shared" si="25"/>
        <v>0</v>
      </c>
      <c r="H207" s="2">
        <f t="shared" si="26"/>
        <v>51899.630000000063</v>
      </c>
    </row>
    <row r="208" spans="1:8" x14ac:dyDescent="0.25">
      <c r="A208" s="1">
        <v>50072</v>
      </c>
      <c r="B208" s="2">
        <f t="shared" si="27"/>
        <v>9250</v>
      </c>
      <c r="C208" s="2">
        <f t="shared" si="21"/>
        <v>0</v>
      </c>
      <c r="D208" s="2">
        <f t="shared" si="22"/>
        <v>9250</v>
      </c>
      <c r="E208" s="2">
        <f t="shared" si="23"/>
        <v>185</v>
      </c>
      <c r="F208" s="2">
        <f t="shared" si="24"/>
        <v>138.75</v>
      </c>
      <c r="G208" s="2">
        <f t="shared" si="25"/>
        <v>0</v>
      </c>
      <c r="H208" s="2">
        <f t="shared" si="26"/>
        <v>52223.380000000063</v>
      </c>
    </row>
    <row r="209" spans="1:8" x14ac:dyDescent="0.25">
      <c r="A209" s="1">
        <v>50100</v>
      </c>
      <c r="B209" s="2">
        <f t="shared" si="27"/>
        <v>9250</v>
      </c>
      <c r="C209" s="2">
        <f t="shared" si="21"/>
        <v>0</v>
      </c>
      <c r="D209" s="2">
        <f t="shared" si="22"/>
        <v>9250</v>
      </c>
      <c r="E209" s="2">
        <f t="shared" si="23"/>
        <v>185</v>
      </c>
      <c r="F209" s="2">
        <f t="shared" si="24"/>
        <v>138.75</v>
      </c>
      <c r="G209" s="2">
        <f t="shared" si="25"/>
        <v>0</v>
      </c>
      <c r="H209" s="2">
        <f t="shared" si="26"/>
        <v>52547.130000000063</v>
      </c>
    </row>
    <row r="210" spans="1:8" x14ac:dyDescent="0.25">
      <c r="A210" s="1">
        <v>50131</v>
      </c>
      <c r="B210" s="2">
        <f t="shared" si="27"/>
        <v>9250</v>
      </c>
      <c r="C210" s="2">
        <f t="shared" si="21"/>
        <v>500</v>
      </c>
      <c r="D210" s="2">
        <f t="shared" si="22"/>
        <v>9750</v>
      </c>
      <c r="E210" s="2">
        <f t="shared" si="23"/>
        <v>195</v>
      </c>
      <c r="F210" s="2">
        <f t="shared" si="24"/>
        <v>146.25</v>
      </c>
      <c r="G210" s="2">
        <f t="shared" si="25"/>
        <v>0</v>
      </c>
      <c r="H210" s="2">
        <f t="shared" si="26"/>
        <v>52888.380000000063</v>
      </c>
    </row>
    <row r="211" spans="1:8" x14ac:dyDescent="0.25">
      <c r="A211" s="1">
        <v>50161</v>
      </c>
      <c r="B211" s="2">
        <f t="shared" si="27"/>
        <v>9250</v>
      </c>
      <c r="C211" s="2">
        <f t="shared" si="21"/>
        <v>0</v>
      </c>
      <c r="D211" s="2">
        <f t="shared" si="22"/>
        <v>9250</v>
      </c>
      <c r="E211" s="2">
        <f t="shared" si="23"/>
        <v>185</v>
      </c>
      <c r="F211" s="2">
        <f t="shared" si="24"/>
        <v>138.75</v>
      </c>
      <c r="G211" s="2">
        <f t="shared" si="25"/>
        <v>0</v>
      </c>
      <c r="H211" s="2">
        <f t="shared" si="26"/>
        <v>53212.130000000063</v>
      </c>
    </row>
    <row r="212" spans="1:8" x14ac:dyDescent="0.25">
      <c r="A212" s="1">
        <v>50192</v>
      </c>
      <c r="B212" s="2">
        <f t="shared" si="27"/>
        <v>9250</v>
      </c>
      <c r="C212" s="2">
        <f t="shared" si="21"/>
        <v>0</v>
      </c>
      <c r="D212" s="2">
        <f t="shared" si="22"/>
        <v>9250</v>
      </c>
      <c r="E212" s="2">
        <f t="shared" si="23"/>
        <v>185</v>
      </c>
      <c r="F212" s="2">
        <f t="shared" si="24"/>
        <v>138.75</v>
      </c>
      <c r="G212" s="2">
        <f t="shared" si="25"/>
        <v>0</v>
      </c>
      <c r="H212" s="2">
        <f t="shared" si="26"/>
        <v>53535.880000000063</v>
      </c>
    </row>
    <row r="213" spans="1:8" x14ac:dyDescent="0.25">
      <c r="A213" s="1">
        <v>50222</v>
      </c>
      <c r="B213" s="2">
        <f t="shared" si="27"/>
        <v>9250</v>
      </c>
      <c r="C213" s="2">
        <f t="shared" si="21"/>
        <v>500</v>
      </c>
      <c r="D213" s="2">
        <f t="shared" si="22"/>
        <v>9750</v>
      </c>
      <c r="E213" s="2">
        <f t="shared" si="23"/>
        <v>195</v>
      </c>
      <c r="F213" s="2">
        <f t="shared" si="24"/>
        <v>146.25</v>
      </c>
      <c r="G213" s="2">
        <f t="shared" si="25"/>
        <v>0</v>
      </c>
      <c r="H213" s="2">
        <f t="shared" si="26"/>
        <v>53877.130000000063</v>
      </c>
    </row>
    <row r="214" spans="1:8" x14ac:dyDescent="0.25">
      <c r="A214" s="1">
        <v>50253</v>
      </c>
      <c r="B214" s="2">
        <f t="shared" si="27"/>
        <v>9250</v>
      </c>
      <c r="C214" s="2">
        <f t="shared" si="21"/>
        <v>0</v>
      </c>
      <c r="D214" s="2">
        <f t="shared" si="22"/>
        <v>9250</v>
      </c>
      <c r="E214" s="2">
        <f t="shared" si="23"/>
        <v>185</v>
      </c>
      <c r="F214" s="2">
        <f t="shared" si="24"/>
        <v>138.75</v>
      </c>
      <c r="G214" s="2">
        <f t="shared" si="25"/>
        <v>0</v>
      </c>
      <c r="H214" s="2">
        <f t="shared" si="26"/>
        <v>54200.880000000063</v>
      </c>
    </row>
    <row r="215" spans="1:8" x14ac:dyDescent="0.25">
      <c r="A215" s="1">
        <v>50284</v>
      </c>
      <c r="B215" s="2">
        <f t="shared" si="27"/>
        <v>9250</v>
      </c>
      <c r="C215" s="2">
        <f t="shared" si="21"/>
        <v>0</v>
      </c>
      <c r="D215" s="2">
        <f t="shared" si="22"/>
        <v>9250</v>
      </c>
      <c r="E215" s="2">
        <f t="shared" si="23"/>
        <v>185</v>
      </c>
      <c r="F215" s="2">
        <f t="shared" si="24"/>
        <v>138.75</v>
      </c>
      <c r="G215" s="2">
        <f t="shared" si="25"/>
        <v>0</v>
      </c>
      <c r="H215" s="2">
        <f t="shared" si="26"/>
        <v>54524.630000000063</v>
      </c>
    </row>
    <row r="216" spans="1:8" x14ac:dyDescent="0.25">
      <c r="A216" s="1">
        <v>50314</v>
      </c>
      <c r="B216" s="2">
        <f t="shared" si="27"/>
        <v>9250</v>
      </c>
      <c r="C216" s="2">
        <f t="shared" si="21"/>
        <v>500</v>
      </c>
      <c r="D216" s="2">
        <f t="shared" si="22"/>
        <v>9750</v>
      </c>
      <c r="E216" s="2">
        <f t="shared" si="23"/>
        <v>195</v>
      </c>
      <c r="F216" s="2">
        <f t="shared" si="24"/>
        <v>146.25</v>
      </c>
      <c r="G216" s="2">
        <f t="shared" si="25"/>
        <v>0</v>
      </c>
      <c r="H216" s="2">
        <f t="shared" si="26"/>
        <v>54865.880000000063</v>
      </c>
    </row>
    <row r="217" spans="1:8" x14ac:dyDescent="0.25">
      <c r="A217" s="1">
        <v>50345</v>
      </c>
      <c r="B217" s="2">
        <f t="shared" si="27"/>
        <v>9250</v>
      </c>
      <c r="C217" s="2">
        <f t="shared" si="21"/>
        <v>0</v>
      </c>
      <c r="D217" s="2">
        <f t="shared" si="22"/>
        <v>9250</v>
      </c>
      <c r="E217" s="2">
        <f t="shared" si="23"/>
        <v>185</v>
      </c>
      <c r="F217" s="2">
        <f t="shared" si="24"/>
        <v>138.75</v>
      </c>
      <c r="G217" s="2">
        <f t="shared" si="25"/>
        <v>0</v>
      </c>
      <c r="H217" s="2">
        <f t="shared" si="26"/>
        <v>55189.630000000063</v>
      </c>
    </row>
    <row r="218" spans="1:8" x14ac:dyDescent="0.25">
      <c r="A218" s="1">
        <v>50375</v>
      </c>
      <c r="B218" s="2">
        <f t="shared" si="27"/>
        <v>9250</v>
      </c>
      <c r="C218" s="2">
        <f t="shared" si="21"/>
        <v>0</v>
      </c>
      <c r="D218" s="2">
        <f t="shared" si="22"/>
        <v>9250</v>
      </c>
      <c r="E218" s="2">
        <f t="shared" si="23"/>
        <v>185</v>
      </c>
      <c r="F218" s="2">
        <f t="shared" si="24"/>
        <v>138.75</v>
      </c>
      <c r="G218" s="2">
        <f t="shared" si="25"/>
        <v>240</v>
      </c>
      <c r="H218" s="2">
        <f t="shared" si="26"/>
        <v>55753.380000000063</v>
      </c>
    </row>
    <row r="219" spans="1:8" x14ac:dyDescent="0.25">
      <c r="A219" s="1">
        <v>50406</v>
      </c>
      <c r="B219" s="2">
        <f t="shared" si="27"/>
        <v>9482</v>
      </c>
      <c r="C219" s="2">
        <f t="shared" si="21"/>
        <v>500</v>
      </c>
      <c r="D219" s="2">
        <f t="shared" si="22"/>
        <v>9982</v>
      </c>
      <c r="E219" s="2">
        <f t="shared" si="23"/>
        <v>199.64</v>
      </c>
      <c r="F219" s="2">
        <f t="shared" si="24"/>
        <v>149.72999999999999</v>
      </c>
      <c r="G219" s="2">
        <f t="shared" si="25"/>
        <v>0</v>
      </c>
      <c r="H219" s="2">
        <f t="shared" si="26"/>
        <v>56102.750000000065</v>
      </c>
    </row>
    <row r="220" spans="1:8" x14ac:dyDescent="0.25">
      <c r="A220" s="1">
        <v>50437</v>
      </c>
      <c r="B220" s="2">
        <f t="shared" si="27"/>
        <v>9482</v>
      </c>
      <c r="C220" s="2">
        <f t="shared" si="21"/>
        <v>0</v>
      </c>
      <c r="D220" s="2">
        <f t="shared" si="22"/>
        <v>9482</v>
      </c>
      <c r="E220" s="2">
        <f t="shared" si="23"/>
        <v>189.64</v>
      </c>
      <c r="F220" s="2">
        <f t="shared" si="24"/>
        <v>142.22999999999999</v>
      </c>
      <c r="G220" s="2">
        <f t="shared" si="25"/>
        <v>0</v>
      </c>
      <c r="H220" s="2">
        <f t="shared" si="26"/>
        <v>56434.620000000068</v>
      </c>
    </row>
    <row r="221" spans="1:8" x14ac:dyDescent="0.25">
      <c r="A221" s="1">
        <v>50465</v>
      </c>
      <c r="B221" s="2">
        <f t="shared" si="27"/>
        <v>9482</v>
      </c>
      <c r="C221" s="2">
        <f t="shared" si="21"/>
        <v>0</v>
      </c>
      <c r="D221" s="2">
        <f t="shared" si="22"/>
        <v>9482</v>
      </c>
      <c r="E221" s="2">
        <f t="shared" si="23"/>
        <v>189.64</v>
      </c>
      <c r="F221" s="2">
        <f t="shared" si="24"/>
        <v>142.22999999999999</v>
      </c>
      <c r="G221" s="2">
        <f t="shared" si="25"/>
        <v>0</v>
      </c>
      <c r="H221" s="2">
        <f t="shared" si="26"/>
        <v>56766.490000000071</v>
      </c>
    </row>
    <row r="222" spans="1:8" x14ac:dyDescent="0.25">
      <c r="A222" s="1">
        <v>50496</v>
      </c>
      <c r="B222" s="2">
        <f t="shared" si="27"/>
        <v>9482</v>
      </c>
      <c r="C222" s="2">
        <f t="shared" si="21"/>
        <v>500</v>
      </c>
      <c r="D222" s="2">
        <f t="shared" si="22"/>
        <v>9982</v>
      </c>
      <c r="E222" s="2">
        <f t="shared" si="23"/>
        <v>199.64</v>
      </c>
      <c r="F222" s="2">
        <f t="shared" si="24"/>
        <v>149.72999999999999</v>
      </c>
      <c r="G222" s="2">
        <f t="shared" si="25"/>
        <v>0</v>
      </c>
      <c r="H222" s="2">
        <f t="shared" si="26"/>
        <v>57115.860000000073</v>
      </c>
    </row>
    <row r="223" spans="1:8" x14ac:dyDescent="0.25">
      <c r="A223" s="1">
        <v>50526</v>
      </c>
      <c r="B223" s="2">
        <f t="shared" si="27"/>
        <v>9482</v>
      </c>
      <c r="C223" s="2">
        <f t="shared" si="21"/>
        <v>0</v>
      </c>
      <c r="D223" s="2">
        <f t="shared" si="22"/>
        <v>9482</v>
      </c>
      <c r="E223" s="2">
        <f t="shared" si="23"/>
        <v>189.64</v>
      </c>
      <c r="F223" s="2">
        <f t="shared" si="24"/>
        <v>142.22999999999999</v>
      </c>
      <c r="G223" s="2">
        <f t="shared" si="25"/>
        <v>0</v>
      </c>
      <c r="H223" s="2">
        <f t="shared" si="26"/>
        <v>57447.730000000076</v>
      </c>
    </row>
    <row r="224" spans="1:8" x14ac:dyDescent="0.25">
      <c r="A224" s="1">
        <v>50557</v>
      </c>
      <c r="B224" s="2">
        <f t="shared" si="27"/>
        <v>9482</v>
      </c>
      <c r="C224" s="2">
        <f t="shared" si="21"/>
        <v>0</v>
      </c>
      <c r="D224" s="2">
        <f t="shared" si="22"/>
        <v>9482</v>
      </c>
      <c r="E224" s="2">
        <f t="shared" si="23"/>
        <v>189.64</v>
      </c>
      <c r="F224" s="2">
        <f t="shared" si="24"/>
        <v>142.22999999999999</v>
      </c>
      <c r="G224" s="2">
        <f t="shared" si="25"/>
        <v>0</v>
      </c>
      <c r="H224" s="2">
        <f t="shared" si="26"/>
        <v>57779.600000000079</v>
      </c>
    </row>
    <row r="225" spans="1:8" x14ac:dyDescent="0.25">
      <c r="A225" s="1">
        <v>50587</v>
      </c>
      <c r="B225" s="2">
        <f t="shared" si="27"/>
        <v>9482</v>
      </c>
      <c r="C225" s="2">
        <f t="shared" si="21"/>
        <v>500</v>
      </c>
      <c r="D225" s="2">
        <f t="shared" si="22"/>
        <v>9982</v>
      </c>
      <c r="E225" s="2">
        <f t="shared" si="23"/>
        <v>199.64</v>
      </c>
      <c r="F225" s="2">
        <f t="shared" si="24"/>
        <v>149.72999999999999</v>
      </c>
      <c r="G225" s="2">
        <f t="shared" si="25"/>
        <v>0</v>
      </c>
      <c r="H225" s="2">
        <f t="shared" si="26"/>
        <v>58128.970000000081</v>
      </c>
    </row>
    <row r="226" spans="1:8" x14ac:dyDescent="0.25">
      <c r="A226" s="1">
        <v>50618</v>
      </c>
      <c r="B226" s="2">
        <f t="shared" si="27"/>
        <v>9482</v>
      </c>
      <c r="C226" s="2">
        <f t="shared" si="21"/>
        <v>0</v>
      </c>
      <c r="D226" s="2">
        <f t="shared" si="22"/>
        <v>9482</v>
      </c>
      <c r="E226" s="2">
        <f t="shared" si="23"/>
        <v>189.64</v>
      </c>
      <c r="F226" s="2">
        <f t="shared" si="24"/>
        <v>142.22999999999999</v>
      </c>
      <c r="G226" s="2">
        <f t="shared" si="25"/>
        <v>0</v>
      </c>
      <c r="H226" s="2">
        <f t="shared" si="26"/>
        <v>58460.840000000084</v>
      </c>
    </row>
    <row r="227" spans="1:8" x14ac:dyDescent="0.25">
      <c r="A227" s="1">
        <v>50649</v>
      </c>
      <c r="B227" s="2">
        <f t="shared" si="27"/>
        <v>9482</v>
      </c>
      <c r="C227" s="2">
        <f t="shared" si="21"/>
        <v>0</v>
      </c>
      <c r="D227" s="2">
        <f t="shared" si="22"/>
        <v>9482</v>
      </c>
      <c r="E227" s="2">
        <f t="shared" si="23"/>
        <v>189.64</v>
      </c>
      <c r="F227" s="2">
        <f t="shared" si="24"/>
        <v>142.22999999999999</v>
      </c>
      <c r="G227" s="2">
        <f t="shared" si="25"/>
        <v>0</v>
      </c>
      <c r="H227" s="2">
        <f t="shared" si="26"/>
        <v>58792.710000000086</v>
      </c>
    </row>
    <row r="228" spans="1:8" x14ac:dyDescent="0.25">
      <c r="A228" s="1">
        <v>50679</v>
      </c>
      <c r="B228" s="2">
        <f t="shared" si="27"/>
        <v>9482</v>
      </c>
      <c r="C228" s="2">
        <f t="shared" si="21"/>
        <v>500</v>
      </c>
      <c r="D228" s="2">
        <f t="shared" si="22"/>
        <v>9982</v>
      </c>
      <c r="E228" s="2">
        <f t="shared" si="23"/>
        <v>199.64</v>
      </c>
      <c r="F228" s="2">
        <f t="shared" si="24"/>
        <v>149.72999999999999</v>
      </c>
      <c r="G228" s="2">
        <f t="shared" si="25"/>
        <v>0</v>
      </c>
      <c r="H228" s="2">
        <f t="shared" si="26"/>
        <v>59142.080000000089</v>
      </c>
    </row>
    <row r="229" spans="1:8" x14ac:dyDescent="0.25">
      <c r="A229" s="1">
        <v>50710</v>
      </c>
      <c r="B229" s="2">
        <f t="shared" si="27"/>
        <v>9482</v>
      </c>
      <c r="C229" s="2">
        <f t="shared" si="21"/>
        <v>0</v>
      </c>
      <c r="D229" s="2">
        <f t="shared" si="22"/>
        <v>9482</v>
      </c>
      <c r="E229" s="2">
        <f t="shared" si="23"/>
        <v>189.64</v>
      </c>
      <c r="F229" s="2">
        <f t="shared" si="24"/>
        <v>142.22999999999999</v>
      </c>
      <c r="G229" s="2">
        <f t="shared" si="25"/>
        <v>0</v>
      </c>
      <c r="H229" s="2">
        <f t="shared" si="26"/>
        <v>59473.950000000092</v>
      </c>
    </row>
    <row r="230" spans="1:8" x14ac:dyDescent="0.25">
      <c r="A230" s="1">
        <v>50740</v>
      </c>
      <c r="B230" s="2">
        <f t="shared" si="27"/>
        <v>9482</v>
      </c>
      <c r="C230" s="2">
        <f t="shared" si="21"/>
        <v>0</v>
      </c>
      <c r="D230" s="2">
        <f t="shared" si="22"/>
        <v>9482</v>
      </c>
      <c r="E230" s="2">
        <f t="shared" si="23"/>
        <v>189.64</v>
      </c>
      <c r="F230" s="2">
        <f t="shared" si="24"/>
        <v>142.22999999999999</v>
      </c>
      <c r="G230" s="2">
        <f t="shared" si="25"/>
        <v>240</v>
      </c>
      <c r="H230" s="2">
        <f t="shared" si="26"/>
        <v>60045.820000000094</v>
      </c>
    </row>
    <row r="231" spans="1:8" x14ac:dyDescent="0.25">
      <c r="A231" s="1">
        <v>50771</v>
      </c>
      <c r="B231" s="2">
        <f t="shared" si="27"/>
        <v>9720</v>
      </c>
      <c r="C231" s="2">
        <f t="shared" si="21"/>
        <v>500</v>
      </c>
      <c r="D231" s="2">
        <f t="shared" si="22"/>
        <v>10220</v>
      </c>
      <c r="E231" s="2">
        <f t="shared" si="23"/>
        <v>204.4</v>
      </c>
      <c r="F231" s="2">
        <f t="shared" si="24"/>
        <v>153.30000000000001</v>
      </c>
      <c r="G231" s="2">
        <f t="shared" si="25"/>
        <v>0</v>
      </c>
      <c r="H231" s="2">
        <f t="shared" si="26"/>
        <v>60403.520000000099</v>
      </c>
    </row>
    <row r="232" spans="1:8" x14ac:dyDescent="0.25">
      <c r="A232" s="1">
        <v>50802</v>
      </c>
      <c r="B232" s="2">
        <f t="shared" si="27"/>
        <v>9720</v>
      </c>
      <c r="C232" s="2">
        <f t="shared" si="21"/>
        <v>0</v>
      </c>
      <c r="D232" s="2">
        <f t="shared" si="22"/>
        <v>9720</v>
      </c>
      <c r="E232" s="2">
        <f t="shared" si="23"/>
        <v>194.4</v>
      </c>
      <c r="F232" s="2">
        <f t="shared" si="24"/>
        <v>145.80000000000001</v>
      </c>
      <c r="G232" s="2">
        <f t="shared" si="25"/>
        <v>0</v>
      </c>
      <c r="H232" s="2">
        <f t="shared" si="26"/>
        <v>60743.720000000103</v>
      </c>
    </row>
    <row r="233" spans="1:8" x14ac:dyDescent="0.25">
      <c r="A233" s="1">
        <v>50830</v>
      </c>
      <c r="B233" s="2">
        <f t="shared" si="27"/>
        <v>9720</v>
      </c>
      <c r="C233" s="2">
        <f t="shared" si="21"/>
        <v>0</v>
      </c>
      <c r="D233" s="2">
        <f t="shared" si="22"/>
        <v>9720</v>
      </c>
      <c r="E233" s="2">
        <f t="shared" si="23"/>
        <v>194.4</v>
      </c>
      <c r="F233" s="2">
        <f t="shared" si="24"/>
        <v>145.80000000000001</v>
      </c>
      <c r="G233" s="2">
        <f t="shared" si="25"/>
        <v>0</v>
      </c>
      <c r="H233" s="2">
        <f t="shared" si="26"/>
        <v>61083.920000000107</v>
      </c>
    </row>
    <row r="234" spans="1:8" x14ac:dyDescent="0.25">
      <c r="A234" s="1">
        <v>50861</v>
      </c>
      <c r="B234" s="2">
        <f t="shared" si="27"/>
        <v>9720</v>
      </c>
      <c r="C234" s="2">
        <f t="shared" si="21"/>
        <v>500</v>
      </c>
      <c r="D234" s="2">
        <f t="shared" si="22"/>
        <v>10220</v>
      </c>
      <c r="E234" s="2">
        <f t="shared" si="23"/>
        <v>204.4</v>
      </c>
      <c r="F234" s="2">
        <f t="shared" si="24"/>
        <v>153.30000000000001</v>
      </c>
      <c r="G234" s="2">
        <f t="shared" si="25"/>
        <v>0</v>
      </c>
      <c r="H234" s="2">
        <f t="shared" si="26"/>
        <v>61441.620000000112</v>
      </c>
    </row>
    <row r="235" spans="1:8" x14ac:dyDescent="0.25">
      <c r="A235" s="1">
        <v>50891</v>
      </c>
      <c r="B235" s="2">
        <f t="shared" si="27"/>
        <v>9720</v>
      </c>
      <c r="C235" s="2">
        <f t="shared" si="21"/>
        <v>0</v>
      </c>
      <c r="D235" s="2">
        <f t="shared" si="22"/>
        <v>9720</v>
      </c>
      <c r="E235" s="2">
        <f t="shared" si="23"/>
        <v>194.4</v>
      </c>
      <c r="F235" s="2">
        <f t="shared" si="24"/>
        <v>145.80000000000001</v>
      </c>
      <c r="G235" s="2">
        <f t="shared" si="25"/>
        <v>0</v>
      </c>
      <c r="H235" s="2">
        <f t="shared" si="26"/>
        <v>61781.820000000116</v>
      </c>
    </row>
    <row r="236" spans="1:8" x14ac:dyDescent="0.25">
      <c r="A236" s="1">
        <v>50922</v>
      </c>
      <c r="B236" s="2">
        <f t="shared" si="27"/>
        <v>9720</v>
      </c>
      <c r="C236" s="2">
        <f t="shared" si="21"/>
        <v>0</v>
      </c>
      <c r="D236" s="2">
        <f t="shared" si="22"/>
        <v>9720</v>
      </c>
      <c r="E236" s="2">
        <f t="shared" si="23"/>
        <v>194.4</v>
      </c>
      <c r="F236" s="2">
        <f t="shared" si="24"/>
        <v>145.80000000000001</v>
      </c>
      <c r="G236" s="2">
        <f t="shared" si="25"/>
        <v>0</v>
      </c>
      <c r="H236" s="2">
        <f t="shared" si="26"/>
        <v>62122.02000000012</v>
      </c>
    </row>
    <row r="237" spans="1:8" x14ac:dyDescent="0.25">
      <c r="A237" s="1">
        <v>50952</v>
      </c>
      <c r="B237" s="2">
        <f t="shared" si="27"/>
        <v>9720</v>
      </c>
      <c r="C237" s="2">
        <f t="shared" si="21"/>
        <v>500</v>
      </c>
      <c r="D237" s="2">
        <f t="shared" si="22"/>
        <v>10220</v>
      </c>
      <c r="E237" s="2">
        <f t="shared" si="23"/>
        <v>204.4</v>
      </c>
      <c r="F237" s="2">
        <f t="shared" si="24"/>
        <v>153.30000000000001</v>
      </c>
      <c r="G237" s="2">
        <f t="shared" si="25"/>
        <v>0</v>
      </c>
      <c r="H237" s="2">
        <f t="shared" si="26"/>
        <v>62479.720000000125</v>
      </c>
    </row>
    <row r="238" spans="1:8" x14ac:dyDescent="0.25">
      <c r="A238" s="1">
        <v>50983</v>
      </c>
      <c r="B238" s="2">
        <f t="shared" si="27"/>
        <v>9720</v>
      </c>
      <c r="C238" s="2">
        <f t="shared" si="21"/>
        <v>0</v>
      </c>
      <c r="D238" s="2">
        <f t="shared" si="22"/>
        <v>9720</v>
      </c>
      <c r="E238" s="2">
        <f t="shared" si="23"/>
        <v>194.4</v>
      </c>
      <c r="F238" s="2">
        <f t="shared" si="24"/>
        <v>145.80000000000001</v>
      </c>
      <c r="G238" s="2">
        <f t="shared" si="25"/>
        <v>0</v>
      </c>
      <c r="H238" s="2">
        <f t="shared" si="26"/>
        <v>62819.920000000129</v>
      </c>
    </row>
    <row r="239" spans="1:8" x14ac:dyDescent="0.25">
      <c r="A239" s="1">
        <v>51014</v>
      </c>
      <c r="B239" s="2">
        <f t="shared" si="27"/>
        <v>9720</v>
      </c>
      <c r="C239" s="2">
        <f t="shared" si="21"/>
        <v>0</v>
      </c>
      <c r="D239" s="2">
        <f t="shared" si="22"/>
        <v>9720</v>
      </c>
      <c r="E239" s="2">
        <f t="shared" si="23"/>
        <v>194.4</v>
      </c>
      <c r="F239" s="2">
        <f t="shared" si="24"/>
        <v>145.80000000000001</v>
      </c>
      <c r="G239" s="2">
        <f t="shared" si="25"/>
        <v>0</v>
      </c>
      <c r="H239" s="2">
        <f t="shared" si="26"/>
        <v>63160.120000000134</v>
      </c>
    </row>
    <row r="240" spans="1:8" x14ac:dyDescent="0.25">
      <c r="A240" s="1">
        <v>51044</v>
      </c>
      <c r="B240" s="2">
        <f t="shared" si="27"/>
        <v>9720</v>
      </c>
      <c r="C240" s="2">
        <f t="shared" si="21"/>
        <v>500</v>
      </c>
      <c r="D240" s="2">
        <f t="shared" si="22"/>
        <v>10220</v>
      </c>
      <c r="E240" s="2">
        <f t="shared" si="23"/>
        <v>204.4</v>
      </c>
      <c r="F240" s="2">
        <f t="shared" si="24"/>
        <v>153.30000000000001</v>
      </c>
      <c r="G240" s="2">
        <f t="shared" si="25"/>
        <v>0</v>
      </c>
      <c r="H240" s="2">
        <f t="shared" si="26"/>
        <v>63517.820000000138</v>
      </c>
    </row>
    <row r="241" spans="1:8" x14ac:dyDescent="0.25">
      <c r="A241" s="1">
        <v>51075</v>
      </c>
      <c r="B241" s="2">
        <f t="shared" si="27"/>
        <v>9720</v>
      </c>
      <c r="C241" s="2">
        <f t="shared" si="21"/>
        <v>0</v>
      </c>
      <c r="D241" s="2">
        <f t="shared" si="22"/>
        <v>9720</v>
      </c>
      <c r="E241" s="2">
        <f t="shared" si="23"/>
        <v>194.4</v>
      </c>
      <c r="F241" s="2">
        <f t="shared" si="24"/>
        <v>145.80000000000001</v>
      </c>
      <c r="G241" s="2">
        <f t="shared" si="25"/>
        <v>0</v>
      </c>
      <c r="H241" s="2">
        <f t="shared" si="26"/>
        <v>63858.020000000142</v>
      </c>
    </row>
    <row r="242" spans="1:8" x14ac:dyDescent="0.25">
      <c r="A242" s="1">
        <v>51105</v>
      </c>
      <c r="B242" s="2">
        <f t="shared" si="27"/>
        <v>9720</v>
      </c>
      <c r="C242" s="2">
        <f t="shared" si="21"/>
        <v>0</v>
      </c>
      <c r="D242" s="2">
        <f t="shared" si="22"/>
        <v>9720</v>
      </c>
      <c r="E242" s="2">
        <f t="shared" si="23"/>
        <v>194.4</v>
      </c>
      <c r="F242" s="2">
        <f t="shared" si="24"/>
        <v>145.80000000000001</v>
      </c>
      <c r="G242" s="2">
        <f t="shared" si="25"/>
        <v>240</v>
      </c>
      <c r="H242" s="2">
        <f t="shared" si="26"/>
        <v>64438.220000000147</v>
      </c>
    </row>
    <row r="243" spans="1:8" x14ac:dyDescent="0.25">
      <c r="A243" s="1">
        <v>51136</v>
      </c>
      <c r="B243" s="2">
        <f t="shared" si="27"/>
        <v>10463</v>
      </c>
      <c r="C243" s="2">
        <f t="shared" si="21"/>
        <v>500</v>
      </c>
      <c r="D243" s="2">
        <f t="shared" si="22"/>
        <v>10963</v>
      </c>
      <c r="E243" s="2">
        <f t="shared" si="23"/>
        <v>219.26</v>
      </c>
      <c r="F243" s="2">
        <f t="shared" si="24"/>
        <v>164.45</v>
      </c>
      <c r="G243" s="2">
        <f t="shared" si="25"/>
        <v>0</v>
      </c>
      <c r="H243" s="2">
        <f t="shared" si="26"/>
        <v>64821.930000000146</v>
      </c>
    </row>
    <row r="244" spans="1:8" x14ac:dyDescent="0.25">
      <c r="A244" s="1">
        <v>51167</v>
      </c>
      <c r="B244" s="2">
        <f t="shared" si="27"/>
        <v>10463</v>
      </c>
      <c r="C244" s="2">
        <f t="shared" si="21"/>
        <v>0</v>
      </c>
      <c r="D244" s="2">
        <f t="shared" si="22"/>
        <v>10463</v>
      </c>
      <c r="E244" s="2">
        <f t="shared" si="23"/>
        <v>209.26</v>
      </c>
      <c r="F244" s="2">
        <f t="shared" si="24"/>
        <v>156.94999999999999</v>
      </c>
      <c r="G244" s="2">
        <f t="shared" si="25"/>
        <v>0</v>
      </c>
      <c r="H244" s="2">
        <f t="shared" si="26"/>
        <v>65188.140000000145</v>
      </c>
    </row>
    <row r="245" spans="1:8" x14ac:dyDescent="0.25">
      <c r="A245" s="1">
        <v>51196</v>
      </c>
      <c r="B245" s="2">
        <f t="shared" si="27"/>
        <v>10463</v>
      </c>
      <c r="C245" s="2">
        <f t="shared" si="21"/>
        <v>0</v>
      </c>
      <c r="D245" s="2">
        <f t="shared" si="22"/>
        <v>10463</v>
      </c>
      <c r="E245" s="2">
        <f t="shared" si="23"/>
        <v>209.26</v>
      </c>
      <c r="F245" s="2">
        <f t="shared" si="24"/>
        <v>156.94999999999999</v>
      </c>
      <c r="G245" s="2">
        <f t="shared" si="25"/>
        <v>0</v>
      </c>
      <c r="H245" s="2">
        <f t="shared" si="26"/>
        <v>65554.350000000151</v>
      </c>
    </row>
    <row r="246" spans="1:8" x14ac:dyDescent="0.25">
      <c r="A246" s="1">
        <v>51227</v>
      </c>
      <c r="B246" s="2">
        <f t="shared" si="27"/>
        <v>10463</v>
      </c>
      <c r="C246" s="2">
        <f t="shared" si="21"/>
        <v>500</v>
      </c>
      <c r="D246" s="2">
        <f t="shared" si="22"/>
        <v>10963</v>
      </c>
      <c r="E246" s="2">
        <f t="shared" si="23"/>
        <v>219.26</v>
      </c>
      <c r="F246" s="2">
        <f t="shared" si="24"/>
        <v>164.45</v>
      </c>
      <c r="G246" s="2">
        <f t="shared" si="25"/>
        <v>0</v>
      </c>
      <c r="H246" s="2">
        <f t="shared" si="26"/>
        <v>65938.060000000143</v>
      </c>
    </row>
    <row r="247" spans="1:8" x14ac:dyDescent="0.25">
      <c r="A247" s="1">
        <v>51257</v>
      </c>
      <c r="B247" s="2">
        <f t="shared" si="27"/>
        <v>10463</v>
      </c>
      <c r="C247" s="2">
        <f t="shared" si="21"/>
        <v>0</v>
      </c>
      <c r="D247" s="2">
        <f t="shared" si="22"/>
        <v>10463</v>
      </c>
      <c r="E247" s="2">
        <f t="shared" si="23"/>
        <v>209.26</v>
      </c>
      <c r="F247" s="2">
        <f t="shared" si="24"/>
        <v>156.94999999999999</v>
      </c>
      <c r="G247" s="2">
        <f t="shared" si="25"/>
        <v>0</v>
      </c>
      <c r="H247" s="2">
        <f t="shared" si="26"/>
        <v>66304.270000000135</v>
      </c>
    </row>
    <row r="248" spans="1:8" x14ac:dyDescent="0.25">
      <c r="A248" s="1">
        <v>51288</v>
      </c>
      <c r="B248" s="2">
        <f t="shared" si="27"/>
        <v>10463</v>
      </c>
      <c r="C248" s="2">
        <f t="shared" si="21"/>
        <v>0</v>
      </c>
      <c r="D248" s="2">
        <f t="shared" si="22"/>
        <v>10463</v>
      </c>
      <c r="E248" s="2">
        <f t="shared" si="23"/>
        <v>209.26</v>
      </c>
      <c r="F248" s="2">
        <f t="shared" si="24"/>
        <v>156.94999999999999</v>
      </c>
      <c r="G248" s="2">
        <f t="shared" si="25"/>
        <v>0</v>
      </c>
      <c r="H248" s="2">
        <f t="shared" si="26"/>
        <v>66670.480000000127</v>
      </c>
    </row>
    <row r="249" spans="1:8" x14ac:dyDescent="0.25">
      <c r="A249" s="1">
        <v>51318</v>
      </c>
      <c r="B249" s="2">
        <f t="shared" si="27"/>
        <v>10463</v>
      </c>
      <c r="C249" s="2">
        <f t="shared" si="21"/>
        <v>500</v>
      </c>
      <c r="D249" s="2">
        <f t="shared" si="22"/>
        <v>10963</v>
      </c>
      <c r="E249" s="2">
        <f t="shared" si="23"/>
        <v>219.26</v>
      </c>
      <c r="F249" s="2">
        <f t="shared" si="24"/>
        <v>164.45</v>
      </c>
      <c r="G249" s="2">
        <f t="shared" si="25"/>
        <v>0</v>
      </c>
      <c r="H249" s="2">
        <f t="shared" si="26"/>
        <v>67054.190000000119</v>
      </c>
    </row>
    <row r="250" spans="1:8" x14ac:dyDescent="0.25">
      <c r="A250" s="1">
        <v>51349</v>
      </c>
      <c r="B250" s="2">
        <f t="shared" si="27"/>
        <v>10463</v>
      </c>
      <c r="C250" s="2">
        <f t="shared" si="21"/>
        <v>0</v>
      </c>
      <c r="D250" s="2">
        <f t="shared" si="22"/>
        <v>10463</v>
      </c>
      <c r="E250" s="2">
        <f t="shared" si="23"/>
        <v>209.26</v>
      </c>
      <c r="F250" s="2">
        <f t="shared" si="24"/>
        <v>156.94999999999999</v>
      </c>
      <c r="G250" s="2">
        <f t="shared" si="25"/>
        <v>0</v>
      </c>
      <c r="H250" s="2">
        <f t="shared" si="26"/>
        <v>67420.400000000111</v>
      </c>
    </row>
    <row r="251" spans="1:8" x14ac:dyDescent="0.25">
      <c r="A251" s="1">
        <v>51380</v>
      </c>
      <c r="B251" s="2">
        <f t="shared" si="27"/>
        <v>10463</v>
      </c>
      <c r="C251" s="2">
        <f t="shared" si="21"/>
        <v>0</v>
      </c>
      <c r="D251" s="2">
        <f t="shared" si="22"/>
        <v>10463</v>
      </c>
      <c r="E251" s="2">
        <f t="shared" si="23"/>
        <v>209.26</v>
      </c>
      <c r="F251" s="2">
        <f t="shared" si="24"/>
        <v>156.94999999999999</v>
      </c>
      <c r="G251" s="2">
        <f t="shared" si="25"/>
        <v>0</v>
      </c>
      <c r="H251" s="2">
        <f t="shared" si="26"/>
        <v>67786.610000000102</v>
      </c>
    </row>
    <row r="252" spans="1:8" x14ac:dyDescent="0.25">
      <c r="A252" s="1">
        <v>51410</v>
      </c>
      <c r="B252" s="2">
        <f t="shared" si="27"/>
        <v>10463</v>
      </c>
      <c r="C252" s="2">
        <f t="shared" si="21"/>
        <v>500</v>
      </c>
      <c r="D252" s="2">
        <f t="shared" si="22"/>
        <v>10963</v>
      </c>
      <c r="E252" s="2">
        <f t="shared" si="23"/>
        <v>219.26</v>
      </c>
      <c r="F252" s="2">
        <f t="shared" si="24"/>
        <v>164.45</v>
      </c>
      <c r="G252" s="2">
        <f t="shared" si="25"/>
        <v>0</v>
      </c>
      <c r="H252" s="2">
        <f t="shared" si="26"/>
        <v>68170.320000000094</v>
      </c>
    </row>
    <row r="253" spans="1:8" x14ac:dyDescent="0.25">
      <c r="A253" s="1">
        <v>51441</v>
      </c>
      <c r="B253" s="2">
        <f t="shared" si="27"/>
        <v>10463</v>
      </c>
      <c r="C253" s="2">
        <f t="shared" si="21"/>
        <v>0</v>
      </c>
      <c r="D253" s="2">
        <f t="shared" si="22"/>
        <v>10463</v>
      </c>
      <c r="E253" s="2">
        <f t="shared" si="23"/>
        <v>209.26</v>
      </c>
      <c r="F253" s="2">
        <f t="shared" si="24"/>
        <v>156.94999999999999</v>
      </c>
      <c r="G253" s="2">
        <f t="shared" si="25"/>
        <v>0</v>
      </c>
      <c r="H253" s="2">
        <f t="shared" si="26"/>
        <v>68536.530000000086</v>
      </c>
    </row>
    <row r="254" spans="1:8" x14ac:dyDescent="0.25">
      <c r="A254" s="1">
        <v>51471</v>
      </c>
      <c r="B254" s="2">
        <f t="shared" si="27"/>
        <v>10463</v>
      </c>
      <c r="C254" s="2">
        <f t="shared" si="21"/>
        <v>0</v>
      </c>
      <c r="D254" s="2">
        <f t="shared" si="22"/>
        <v>10463</v>
      </c>
      <c r="E254" s="2">
        <f t="shared" si="23"/>
        <v>209.26</v>
      </c>
      <c r="F254" s="2">
        <f t="shared" si="24"/>
        <v>156.94999999999999</v>
      </c>
      <c r="G254" s="2">
        <f t="shared" si="25"/>
        <v>240</v>
      </c>
      <c r="H254" s="2">
        <f t="shared" si="26"/>
        <v>69142.740000000078</v>
      </c>
    </row>
    <row r="255" spans="1:8" x14ac:dyDescent="0.25">
      <c r="A255" s="1">
        <v>51502</v>
      </c>
      <c r="B255" s="2">
        <f t="shared" si="27"/>
        <v>10725</v>
      </c>
      <c r="C255" s="2">
        <f t="shared" si="21"/>
        <v>500</v>
      </c>
      <c r="D255" s="2">
        <f t="shared" si="22"/>
        <v>11225</v>
      </c>
      <c r="E255" s="2">
        <f t="shared" si="23"/>
        <v>224.5</v>
      </c>
      <c r="F255" s="2">
        <f t="shared" si="24"/>
        <v>168.38</v>
      </c>
      <c r="G255" s="2">
        <f t="shared" si="25"/>
        <v>0</v>
      </c>
      <c r="H255" s="2">
        <f t="shared" si="26"/>
        <v>69535.620000000083</v>
      </c>
    </row>
    <row r="256" spans="1:8" x14ac:dyDescent="0.25">
      <c r="A256" s="1">
        <v>51533</v>
      </c>
      <c r="B256" s="2">
        <f t="shared" si="27"/>
        <v>10725</v>
      </c>
      <c r="C256" s="2">
        <f t="shared" si="21"/>
        <v>0</v>
      </c>
      <c r="D256" s="2">
        <f t="shared" si="22"/>
        <v>10725</v>
      </c>
      <c r="E256" s="2">
        <f t="shared" si="23"/>
        <v>214.5</v>
      </c>
      <c r="F256" s="2">
        <f t="shared" si="24"/>
        <v>160.88</v>
      </c>
      <c r="G256" s="2">
        <f t="shared" si="25"/>
        <v>0</v>
      </c>
      <c r="H256" s="2">
        <f t="shared" si="26"/>
        <v>69911.000000000087</v>
      </c>
    </row>
    <row r="257" spans="1:8" x14ac:dyDescent="0.25">
      <c r="A257" s="1">
        <v>51561</v>
      </c>
      <c r="B257" s="2">
        <f t="shared" si="27"/>
        <v>10725</v>
      </c>
      <c r="C257" s="2">
        <f t="shared" si="21"/>
        <v>0</v>
      </c>
      <c r="D257" s="2">
        <f t="shared" si="22"/>
        <v>10725</v>
      </c>
      <c r="E257" s="2">
        <f t="shared" si="23"/>
        <v>214.5</v>
      </c>
      <c r="F257" s="2">
        <f t="shared" si="24"/>
        <v>160.88</v>
      </c>
      <c r="G257" s="2">
        <f t="shared" si="25"/>
        <v>0</v>
      </c>
      <c r="H257" s="2">
        <f t="shared" si="26"/>
        <v>70286.380000000092</v>
      </c>
    </row>
    <row r="258" spans="1:8" x14ac:dyDescent="0.25">
      <c r="A258" s="1">
        <v>51592</v>
      </c>
      <c r="B258" s="2">
        <f t="shared" si="27"/>
        <v>10725</v>
      </c>
      <c r="C258" s="2">
        <f t="shared" si="21"/>
        <v>500</v>
      </c>
      <c r="D258" s="2">
        <f t="shared" si="22"/>
        <v>11225</v>
      </c>
      <c r="E258" s="2">
        <f t="shared" si="23"/>
        <v>224.5</v>
      </c>
      <c r="F258" s="2">
        <f t="shared" si="24"/>
        <v>168.38</v>
      </c>
      <c r="G258" s="2">
        <f t="shared" si="25"/>
        <v>0</v>
      </c>
      <c r="H258" s="2">
        <f t="shared" si="26"/>
        <v>70679.260000000097</v>
      </c>
    </row>
    <row r="259" spans="1:8" x14ac:dyDescent="0.25">
      <c r="A259" s="1">
        <v>51622</v>
      </c>
      <c r="B259" s="2">
        <f t="shared" si="27"/>
        <v>10725</v>
      </c>
      <c r="C259" s="2">
        <f t="shared" si="21"/>
        <v>0</v>
      </c>
      <c r="D259" s="2">
        <f t="shared" si="22"/>
        <v>10725</v>
      </c>
      <c r="E259" s="2">
        <f t="shared" si="23"/>
        <v>214.5</v>
      </c>
      <c r="F259" s="2">
        <f t="shared" si="24"/>
        <v>160.88</v>
      </c>
      <c r="G259" s="2">
        <f t="shared" si="25"/>
        <v>0</v>
      </c>
      <c r="H259" s="2">
        <f t="shared" si="26"/>
        <v>71054.640000000101</v>
      </c>
    </row>
    <row r="260" spans="1:8" x14ac:dyDescent="0.25">
      <c r="A260" s="1">
        <v>51653</v>
      </c>
      <c r="B260" s="2">
        <f t="shared" si="27"/>
        <v>10725</v>
      </c>
      <c r="C260" s="2">
        <f t="shared" ref="C260:C323" si="28">IF(AND(OR(MONTH(A260)=1,MONTH(A260)=4,MONTH(A260)=7,MONTH(A260)=10),DATE(2020,1,1)&lt;&gt;A260),500,0)</f>
        <v>0</v>
      </c>
      <c r="D260" s="2">
        <f t="shared" ref="D260:D323" si="29">B260+C260</f>
        <v>10725</v>
      </c>
      <c r="E260" s="2">
        <f t="shared" ref="E260:E323" si="30">ROUND(D260*0.02,2)</f>
        <v>214.5</v>
      </c>
      <c r="F260" s="2">
        <f t="shared" ref="F260:F323" si="31">ROUND(D260*0.015,2)</f>
        <v>160.88</v>
      </c>
      <c r="G260" s="2">
        <f t="shared" ref="G260:G323" si="32">IF(MONTH(A260)=12,240,0)</f>
        <v>0</v>
      </c>
      <c r="H260" s="2">
        <f t="shared" ref="H260:H323" si="33">H259+E260+F260+G260</f>
        <v>71430.020000000106</v>
      </c>
    </row>
    <row r="261" spans="1:8" x14ac:dyDescent="0.25">
      <c r="A261" s="1">
        <v>51683</v>
      </c>
      <c r="B261" s="2">
        <f t="shared" ref="B261:B324" si="34">IF(YEAR($A261) &gt; YEAR($A260),IF(AND(MOD(YEAR(A261),4)=0,YEAR(A261)&lt;&gt;2020),ROUNDUP($B260*1.025,0)+500,ROUNDUP($B260*1.025,0)),$B260)</f>
        <v>10725</v>
      </c>
      <c r="C261" s="2">
        <f t="shared" si="28"/>
        <v>500</v>
      </c>
      <c r="D261" s="2">
        <f t="shared" si="29"/>
        <v>11225</v>
      </c>
      <c r="E261" s="2">
        <f t="shared" si="30"/>
        <v>224.5</v>
      </c>
      <c r="F261" s="2">
        <f t="shared" si="31"/>
        <v>168.38</v>
      </c>
      <c r="G261" s="2">
        <f t="shared" si="32"/>
        <v>0</v>
      </c>
      <c r="H261" s="2">
        <f t="shared" si="33"/>
        <v>71822.900000000111</v>
      </c>
    </row>
    <row r="262" spans="1:8" x14ac:dyDescent="0.25">
      <c r="A262" s="1">
        <v>51714</v>
      </c>
      <c r="B262" s="2">
        <f t="shared" si="34"/>
        <v>10725</v>
      </c>
      <c r="C262" s="2">
        <f t="shared" si="28"/>
        <v>0</v>
      </c>
      <c r="D262" s="2">
        <f t="shared" si="29"/>
        <v>10725</v>
      </c>
      <c r="E262" s="2">
        <f t="shared" si="30"/>
        <v>214.5</v>
      </c>
      <c r="F262" s="2">
        <f t="shared" si="31"/>
        <v>160.88</v>
      </c>
      <c r="G262" s="2">
        <f t="shared" si="32"/>
        <v>0</v>
      </c>
      <c r="H262" s="2">
        <f t="shared" si="33"/>
        <v>72198.280000000115</v>
      </c>
    </row>
    <row r="263" spans="1:8" x14ac:dyDescent="0.25">
      <c r="A263" s="1">
        <v>51745</v>
      </c>
      <c r="B263" s="2">
        <f t="shared" si="34"/>
        <v>10725</v>
      </c>
      <c r="C263" s="2">
        <f t="shared" si="28"/>
        <v>0</v>
      </c>
      <c r="D263" s="2">
        <f t="shared" si="29"/>
        <v>10725</v>
      </c>
      <c r="E263" s="2">
        <f t="shared" si="30"/>
        <v>214.5</v>
      </c>
      <c r="F263" s="2">
        <f t="shared" si="31"/>
        <v>160.88</v>
      </c>
      <c r="G263" s="2">
        <f t="shared" si="32"/>
        <v>0</v>
      </c>
      <c r="H263" s="2">
        <f t="shared" si="33"/>
        <v>72573.66000000012</v>
      </c>
    </row>
    <row r="264" spans="1:8" x14ac:dyDescent="0.25">
      <c r="A264" s="1">
        <v>51775</v>
      </c>
      <c r="B264" s="2">
        <f t="shared" si="34"/>
        <v>10725</v>
      </c>
      <c r="C264" s="2">
        <f t="shared" si="28"/>
        <v>500</v>
      </c>
      <c r="D264" s="2">
        <f t="shared" si="29"/>
        <v>11225</v>
      </c>
      <c r="E264" s="2">
        <f t="shared" si="30"/>
        <v>224.5</v>
      </c>
      <c r="F264" s="2">
        <f t="shared" si="31"/>
        <v>168.38</v>
      </c>
      <c r="G264" s="2">
        <f t="shared" si="32"/>
        <v>0</v>
      </c>
      <c r="H264" s="2">
        <f t="shared" si="33"/>
        <v>72966.540000000125</v>
      </c>
    </row>
    <row r="265" spans="1:8" x14ac:dyDescent="0.25">
      <c r="A265" s="1">
        <v>51806</v>
      </c>
      <c r="B265" s="2">
        <f t="shared" si="34"/>
        <v>10725</v>
      </c>
      <c r="C265" s="2">
        <f t="shared" si="28"/>
        <v>0</v>
      </c>
      <c r="D265" s="2">
        <f t="shared" si="29"/>
        <v>10725</v>
      </c>
      <c r="E265" s="2">
        <f t="shared" si="30"/>
        <v>214.5</v>
      </c>
      <c r="F265" s="2">
        <f t="shared" si="31"/>
        <v>160.88</v>
      </c>
      <c r="G265" s="2">
        <f t="shared" si="32"/>
        <v>0</v>
      </c>
      <c r="H265" s="2">
        <f t="shared" si="33"/>
        <v>73341.920000000129</v>
      </c>
    </row>
    <row r="266" spans="1:8" x14ac:dyDescent="0.25">
      <c r="A266" s="1">
        <v>51836</v>
      </c>
      <c r="B266" s="2">
        <f t="shared" si="34"/>
        <v>10725</v>
      </c>
      <c r="C266" s="2">
        <f t="shared" si="28"/>
        <v>0</v>
      </c>
      <c r="D266" s="2">
        <f t="shared" si="29"/>
        <v>10725</v>
      </c>
      <c r="E266" s="2">
        <f t="shared" si="30"/>
        <v>214.5</v>
      </c>
      <c r="F266" s="2">
        <f t="shared" si="31"/>
        <v>160.88</v>
      </c>
      <c r="G266" s="2">
        <f t="shared" si="32"/>
        <v>240</v>
      </c>
      <c r="H266" s="2">
        <f t="shared" si="33"/>
        <v>73957.300000000134</v>
      </c>
    </row>
    <row r="267" spans="1:8" x14ac:dyDescent="0.25">
      <c r="A267" s="1">
        <v>51867</v>
      </c>
      <c r="B267" s="2">
        <f t="shared" si="34"/>
        <v>10994</v>
      </c>
      <c r="C267" s="2">
        <f t="shared" si="28"/>
        <v>500</v>
      </c>
      <c r="D267" s="2">
        <f t="shared" si="29"/>
        <v>11494</v>
      </c>
      <c r="E267" s="2">
        <f t="shared" si="30"/>
        <v>229.88</v>
      </c>
      <c r="F267" s="2">
        <f t="shared" si="31"/>
        <v>172.41</v>
      </c>
      <c r="G267" s="2">
        <f t="shared" si="32"/>
        <v>0</v>
      </c>
      <c r="H267" s="2">
        <f t="shared" si="33"/>
        <v>74359.590000000142</v>
      </c>
    </row>
    <row r="268" spans="1:8" x14ac:dyDescent="0.25">
      <c r="A268" s="1">
        <v>51898</v>
      </c>
      <c r="B268" s="2">
        <f t="shared" si="34"/>
        <v>10994</v>
      </c>
      <c r="C268" s="2">
        <f t="shared" si="28"/>
        <v>0</v>
      </c>
      <c r="D268" s="2">
        <f t="shared" si="29"/>
        <v>10994</v>
      </c>
      <c r="E268" s="2">
        <f t="shared" si="30"/>
        <v>219.88</v>
      </c>
      <c r="F268" s="2">
        <f t="shared" si="31"/>
        <v>164.91</v>
      </c>
      <c r="G268" s="2">
        <f t="shared" si="32"/>
        <v>0</v>
      </c>
      <c r="H268" s="2">
        <f t="shared" si="33"/>
        <v>74744.38000000015</v>
      </c>
    </row>
    <row r="269" spans="1:8" x14ac:dyDescent="0.25">
      <c r="A269" s="1">
        <v>51926</v>
      </c>
      <c r="B269" s="2">
        <f t="shared" si="34"/>
        <v>10994</v>
      </c>
      <c r="C269" s="2">
        <f t="shared" si="28"/>
        <v>0</v>
      </c>
      <c r="D269" s="2">
        <f t="shared" si="29"/>
        <v>10994</v>
      </c>
      <c r="E269" s="2">
        <f t="shared" si="30"/>
        <v>219.88</v>
      </c>
      <c r="F269" s="2">
        <f t="shared" si="31"/>
        <v>164.91</v>
      </c>
      <c r="G269" s="2">
        <f t="shared" si="32"/>
        <v>0</v>
      </c>
      <c r="H269" s="2">
        <f t="shared" si="33"/>
        <v>75129.170000000158</v>
      </c>
    </row>
    <row r="270" spans="1:8" x14ac:dyDescent="0.25">
      <c r="A270" s="1">
        <v>51957</v>
      </c>
      <c r="B270" s="2">
        <f t="shared" si="34"/>
        <v>10994</v>
      </c>
      <c r="C270" s="2">
        <f t="shared" si="28"/>
        <v>500</v>
      </c>
      <c r="D270" s="2">
        <f t="shared" si="29"/>
        <v>11494</v>
      </c>
      <c r="E270" s="2">
        <f t="shared" si="30"/>
        <v>229.88</v>
      </c>
      <c r="F270" s="2">
        <f t="shared" si="31"/>
        <v>172.41</v>
      </c>
      <c r="G270" s="2">
        <f t="shared" si="32"/>
        <v>0</v>
      </c>
      <c r="H270" s="2">
        <f t="shared" si="33"/>
        <v>75531.460000000166</v>
      </c>
    </row>
    <row r="271" spans="1:8" x14ac:dyDescent="0.25">
      <c r="A271" s="1">
        <v>51987</v>
      </c>
      <c r="B271" s="2">
        <f t="shared" si="34"/>
        <v>10994</v>
      </c>
      <c r="C271" s="2">
        <f t="shared" si="28"/>
        <v>0</v>
      </c>
      <c r="D271" s="2">
        <f t="shared" si="29"/>
        <v>10994</v>
      </c>
      <c r="E271" s="2">
        <f t="shared" si="30"/>
        <v>219.88</v>
      </c>
      <c r="F271" s="2">
        <f t="shared" si="31"/>
        <v>164.91</v>
      </c>
      <c r="G271" s="2">
        <f t="shared" si="32"/>
        <v>0</v>
      </c>
      <c r="H271" s="2">
        <f t="shared" si="33"/>
        <v>75916.250000000175</v>
      </c>
    </row>
    <row r="272" spans="1:8" x14ac:dyDescent="0.25">
      <c r="A272" s="1">
        <v>52018</v>
      </c>
      <c r="B272" s="2">
        <f t="shared" si="34"/>
        <v>10994</v>
      </c>
      <c r="C272" s="2">
        <f t="shared" si="28"/>
        <v>0</v>
      </c>
      <c r="D272" s="2">
        <f t="shared" si="29"/>
        <v>10994</v>
      </c>
      <c r="E272" s="2">
        <f t="shared" si="30"/>
        <v>219.88</v>
      </c>
      <c r="F272" s="2">
        <f t="shared" si="31"/>
        <v>164.91</v>
      </c>
      <c r="G272" s="2">
        <f t="shared" si="32"/>
        <v>0</v>
      </c>
      <c r="H272" s="2">
        <f t="shared" si="33"/>
        <v>76301.040000000183</v>
      </c>
    </row>
    <row r="273" spans="1:8" x14ac:dyDescent="0.25">
      <c r="A273" s="1">
        <v>52048</v>
      </c>
      <c r="B273" s="2">
        <f t="shared" si="34"/>
        <v>10994</v>
      </c>
      <c r="C273" s="2">
        <f t="shared" si="28"/>
        <v>500</v>
      </c>
      <c r="D273" s="2">
        <f t="shared" si="29"/>
        <v>11494</v>
      </c>
      <c r="E273" s="2">
        <f t="shared" si="30"/>
        <v>229.88</v>
      </c>
      <c r="F273" s="2">
        <f t="shared" si="31"/>
        <v>172.41</v>
      </c>
      <c r="G273" s="2">
        <f t="shared" si="32"/>
        <v>0</v>
      </c>
      <c r="H273" s="2">
        <f t="shared" si="33"/>
        <v>76703.330000000191</v>
      </c>
    </row>
    <row r="274" spans="1:8" x14ac:dyDescent="0.25">
      <c r="A274" s="1">
        <v>52079</v>
      </c>
      <c r="B274" s="2">
        <f t="shared" si="34"/>
        <v>10994</v>
      </c>
      <c r="C274" s="2">
        <f t="shared" si="28"/>
        <v>0</v>
      </c>
      <c r="D274" s="2">
        <f t="shared" si="29"/>
        <v>10994</v>
      </c>
      <c r="E274" s="2">
        <f t="shared" si="30"/>
        <v>219.88</v>
      </c>
      <c r="F274" s="2">
        <f t="shared" si="31"/>
        <v>164.91</v>
      </c>
      <c r="G274" s="2">
        <f t="shared" si="32"/>
        <v>0</v>
      </c>
      <c r="H274" s="2">
        <f t="shared" si="33"/>
        <v>77088.120000000199</v>
      </c>
    </row>
    <row r="275" spans="1:8" x14ac:dyDescent="0.25">
      <c r="A275" s="1">
        <v>52110</v>
      </c>
      <c r="B275" s="2">
        <f t="shared" si="34"/>
        <v>10994</v>
      </c>
      <c r="C275" s="2">
        <f t="shared" si="28"/>
        <v>0</v>
      </c>
      <c r="D275" s="2">
        <f t="shared" si="29"/>
        <v>10994</v>
      </c>
      <c r="E275" s="2">
        <f t="shared" si="30"/>
        <v>219.88</v>
      </c>
      <c r="F275" s="2">
        <f t="shared" si="31"/>
        <v>164.91</v>
      </c>
      <c r="G275" s="2">
        <f t="shared" si="32"/>
        <v>0</v>
      </c>
      <c r="H275" s="2">
        <f t="shared" si="33"/>
        <v>77472.910000000207</v>
      </c>
    </row>
    <row r="276" spans="1:8" x14ac:dyDescent="0.25">
      <c r="A276" s="1">
        <v>52140</v>
      </c>
      <c r="B276" s="2">
        <f t="shared" si="34"/>
        <v>10994</v>
      </c>
      <c r="C276" s="2">
        <f t="shared" si="28"/>
        <v>500</v>
      </c>
      <c r="D276" s="2">
        <f t="shared" si="29"/>
        <v>11494</v>
      </c>
      <c r="E276" s="2">
        <f t="shared" si="30"/>
        <v>229.88</v>
      </c>
      <c r="F276" s="2">
        <f t="shared" si="31"/>
        <v>172.41</v>
      </c>
      <c r="G276" s="2">
        <f t="shared" si="32"/>
        <v>0</v>
      </c>
      <c r="H276" s="2">
        <f t="shared" si="33"/>
        <v>77875.200000000215</v>
      </c>
    </row>
    <row r="277" spans="1:8" x14ac:dyDescent="0.25">
      <c r="A277" s="1">
        <v>52171</v>
      </c>
      <c r="B277" s="2">
        <f t="shared" si="34"/>
        <v>10994</v>
      </c>
      <c r="C277" s="2">
        <f t="shared" si="28"/>
        <v>0</v>
      </c>
      <c r="D277" s="2">
        <f t="shared" si="29"/>
        <v>10994</v>
      </c>
      <c r="E277" s="2">
        <f t="shared" si="30"/>
        <v>219.88</v>
      </c>
      <c r="F277" s="2">
        <f t="shared" si="31"/>
        <v>164.91</v>
      </c>
      <c r="G277" s="2">
        <f t="shared" si="32"/>
        <v>0</v>
      </c>
      <c r="H277" s="2">
        <f t="shared" si="33"/>
        <v>78259.990000000224</v>
      </c>
    </row>
    <row r="278" spans="1:8" x14ac:dyDescent="0.25">
      <c r="A278" s="1">
        <v>52201</v>
      </c>
      <c r="B278" s="2">
        <f t="shared" si="34"/>
        <v>10994</v>
      </c>
      <c r="C278" s="2">
        <f t="shared" si="28"/>
        <v>0</v>
      </c>
      <c r="D278" s="2">
        <f t="shared" si="29"/>
        <v>10994</v>
      </c>
      <c r="E278" s="2">
        <f t="shared" si="30"/>
        <v>219.88</v>
      </c>
      <c r="F278" s="2">
        <f t="shared" si="31"/>
        <v>164.91</v>
      </c>
      <c r="G278" s="2">
        <f t="shared" si="32"/>
        <v>240</v>
      </c>
      <c r="H278" s="2">
        <f t="shared" si="33"/>
        <v>78884.780000000232</v>
      </c>
    </row>
    <row r="279" spans="1:8" x14ac:dyDescent="0.25">
      <c r="A279" s="1">
        <v>52232</v>
      </c>
      <c r="B279" s="2">
        <f t="shared" si="34"/>
        <v>11269</v>
      </c>
      <c r="C279" s="2">
        <f t="shared" si="28"/>
        <v>500</v>
      </c>
      <c r="D279" s="2">
        <f t="shared" si="29"/>
        <v>11769</v>
      </c>
      <c r="E279" s="2">
        <f t="shared" si="30"/>
        <v>235.38</v>
      </c>
      <c r="F279" s="2">
        <f t="shared" si="31"/>
        <v>176.54</v>
      </c>
      <c r="G279" s="2">
        <f t="shared" si="32"/>
        <v>0</v>
      </c>
      <c r="H279" s="2">
        <f t="shared" si="33"/>
        <v>79296.70000000023</v>
      </c>
    </row>
    <row r="280" spans="1:8" x14ac:dyDescent="0.25">
      <c r="A280" s="1">
        <v>52263</v>
      </c>
      <c r="B280" s="2">
        <f t="shared" si="34"/>
        <v>11269</v>
      </c>
      <c r="C280" s="2">
        <f t="shared" si="28"/>
        <v>0</v>
      </c>
      <c r="D280" s="2">
        <f t="shared" si="29"/>
        <v>11269</v>
      </c>
      <c r="E280" s="2">
        <f t="shared" si="30"/>
        <v>225.38</v>
      </c>
      <c r="F280" s="2">
        <f t="shared" si="31"/>
        <v>169.04</v>
      </c>
      <c r="G280" s="2">
        <f t="shared" si="32"/>
        <v>0</v>
      </c>
      <c r="H280" s="2">
        <f t="shared" si="33"/>
        <v>79691.120000000228</v>
      </c>
    </row>
    <row r="281" spans="1:8" x14ac:dyDescent="0.25">
      <c r="A281" s="1">
        <v>52291</v>
      </c>
      <c r="B281" s="2">
        <f t="shared" si="34"/>
        <v>11269</v>
      </c>
      <c r="C281" s="2">
        <f t="shared" si="28"/>
        <v>0</v>
      </c>
      <c r="D281" s="2">
        <f t="shared" si="29"/>
        <v>11269</v>
      </c>
      <c r="E281" s="2">
        <f t="shared" si="30"/>
        <v>225.38</v>
      </c>
      <c r="F281" s="2">
        <f t="shared" si="31"/>
        <v>169.04</v>
      </c>
      <c r="G281" s="2">
        <f t="shared" si="32"/>
        <v>0</v>
      </c>
      <c r="H281" s="2">
        <f t="shared" si="33"/>
        <v>80085.540000000226</v>
      </c>
    </row>
    <row r="282" spans="1:8" x14ac:dyDescent="0.25">
      <c r="A282" s="1">
        <v>52322</v>
      </c>
      <c r="B282" s="2">
        <f t="shared" si="34"/>
        <v>11269</v>
      </c>
      <c r="C282" s="2">
        <f t="shared" si="28"/>
        <v>500</v>
      </c>
      <c r="D282" s="2">
        <f t="shared" si="29"/>
        <v>11769</v>
      </c>
      <c r="E282" s="2">
        <f t="shared" si="30"/>
        <v>235.38</v>
      </c>
      <c r="F282" s="2">
        <f t="shared" si="31"/>
        <v>176.54</v>
      </c>
      <c r="G282" s="2">
        <f t="shared" si="32"/>
        <v>0</v>
      </c>
      <c r="H282" s="2">
        <f t="shared" si="33"/>
        <v>80497.460000000225</v>
      </c>
    </row>
    <row r="283" spans="1:8" x14ac:dyDescent="0.25">
      <c r="A283" s="1">
        <v>52352</v>
      </c>
      <c r="B283" s="2">
        <f t="shared" si="34"/>
        <v>11269</v>
      </c>
      <c r="C283" s="2">
        <f t="shared" si="28"/>
        <v>0</v>
      </c>
      <c r="D283" s="2">
        <f t="shared" si="29"/>
        <v>11269</v>
      </c>
      <c r="E283" s="2">
        <f t="shared" si="30"/>
        <v>225.38</v>
      </c>
      <c r="F283" s="2">
        <f t="shared" si="31"/>
        <v>169.04</v>
      </c>
      <c r="G283" s="2">
        <f t="shared" si="32"/>
        <v>0</v>
      </c>
      <c r="H283" s="2">
        <f t="shared" si="33"/>
        <v>80891.880000000223</v>
      </c>
    </row>
    <row r="284" spans="1:8" x14ac:dyDescent="0.25">
      <c r="A284" s="1">
        <v>52383</v>
      </c>
      <c r="B284" s="2">
        <f t="shared" si="34"/>
        <v>11269</v>
      </c>
      <c r="C284" s="2">
        <f t="shared" si="28"/>
        <v>0</v>
      </c>
      <c r="D284" s="2">
        <f t="shared" si="29"/>
        <v>11269</v>
      </c>
      <c r="E284" s="2">
        <f t="shared" si="30"/>
        <v>225.38</v>
      </c>
      <c r="F284" s="2">
        <f t="shared" si="31"/>
        <v>169.04</v>
      </c>
      <c r="G284" s="2">
        <f t="shared" si="32"/>
        <v>0</v>
      </c>
      <c r="H284" s="2">
        <f t="shared" si="33"/>
        <v>81286.300000000221</v>
      </c>
    </row>
    <row r="285" spans="1:8" x14ac:dyDescent="0.25">
      <c r="A285" s="1">
        <v>52413</v>
      </c>
      <c r="B285" s="2">
        <f t="shared" si="34"/>
        <v>11269</v>
      </c>
      <c r="C285" s="2">
        <f t="shared" si="28"/>
        <v>500</v>
      </c>
      <c r="D285" s="2">
        <f t="shared" si="29"/>
        <v>11769</v>
      </c>
      <c r="E285" s="2">
        <f t="shared" si="30"/>
        <v>235.38</v>
      </c>
      <c r="F285" s="2">
        <f t="shared" si="31"/>
        <v>176.54</v>
      </c>
      <c r="G285" s="2">
        <f t="shared" si="32"/>
        <v>0</v>
      </c>
      <c r="H285" s="2">
        <f t="shared" si="33"/>
        <v>81698.220000000219</v>
      </c>
    </row>
    <row r="286" spans="1:8" x14ac:dyDescent="0.25">
      <c r="A286" s="1">
        <v>52444</v>
      </c>
      <c r="B286" s="2">
        <f t="shared" si="34"/>
        <v>11269</v>
      </c>
      <c r="C286" s="2">
        <f t="shared" si="28"/>
        <v>0</v>
      </c>
      <c r="D286" s="2">
        <f t="shared" si="29"/>
        <v>11269</v>
      </c>
      <c r="E286" s="2">
        <f t="shared" si="30"/>
        <v>225.38</v>
      </c>
      <c r="F286" s="2">
        <f t="shared" si="31"/>
        <v>169.04</v>
      </c>
      <c r="G286" s="2">
        <f t="shared" si="32"/>
        <v>0</v>
      </c>
      <c r="H286" s="2">
        <f t="shared" si="33"/>
        <v>82092.640000000218</v>
      </c>
    </row>
    <row r="287" spans="1:8" x14ac:dyDescent="0.25">
      <c r="A287" s="1">
        <v>52475</v>
      </c>
      <c r="B287" s="2">
        <f t="shared" si="34"/>
        <v>11269</v>
      </c>
      <c r="C287" s="2">
        <f t="shared" si="28"/>
        <v>0</v>
      </c>
      <c r="D287" s="2">
        <f t="shared" si="29"/>
        <v>11269</v>
      </c>
      <c r="E287" s="2">
        <f t="shared" si="30"/>
        <v>225.38</v>
      </c>
      <c r="F287" s="2">
        <f t="shared" si="31"/>
        <v>169.04</v>
      </c>
      <c r="G287" s="2">
        <f t="shared" si="32"/>
        <v>0</v>
      </c>
      <c r="H287" s="2">
        <f t="shared" si="33"/>
        <v>82487.060000000216</v>
      </c>
    </row>
    <row r="288" spans="1:8" x14ac:dyDescent="0.25">
      <c r="A288" s="1">
        <v>52505</v>
      </c>
      <c r="B288" s="2">
        <f t="shared" si="34"/>
        <v>11269</v>
      </c>
      <c r="C288" s="2">
        <f t="shared" si="28"/>
        <v>500</v>
      </c>
      <c r="D288" s="2">
        <f t="shared" si="29"/>
        <v>11769</v>
      </c>
      <c r="E288" s="2">
        <f t="shared" si="30"/>
        <v>235.38</v>
      </c>
      <c r="F288" s="2">
        <f t="shared" si="31"/>
        <v>176.54</v>
      </c>
      <c r="G288" s="2">
        <f t="shared" si="32"/>
        <v>0</v>
      </c>
      <c r="H288" s="2">
        <f t="shared" si="33"/>
        <v>82898.980000000214</v>
      </c>
    </row>
    <row r="289" spans="1:8" x14ac:dyDescent="0.25">
      <c r="A289" s="1">
        <v>52536</v>
      </c>
      <c r="B289" s="2">
        <f t="shared" si="34"/>
        <v>11269</v>
      </c>
      <c r="C289" s="2">
        <f t="shared" si="28"/>
        <v>0</v>
      </c>
      <c r="D289" s="2">
        <f t="shared" si="29"/>
        <v>11269</v>
      </c>
      <c r="E289" s="2">
        <f t="shared" si="30"/>
        <v>225.38</v>
      </c>
      <c r="F289" s="2">
        <f t="shared" si="31"/>
        <v>169.04</v>
      </c>
      <c r="G289" s="2">
        <f t="shared" si="32"/>
        <v>0</v>
      </c>
      <c r="H289" s="2">
        <f t="shared" si="33"/>
        <v>83293.400000000212</v>
      </c>
    </row>
    <row r="290" spans="1:8" x14ac:dyDescent="0.25">
      <c r="A290" s="1">
        <v>52566</v>
      </c>
      <c r="B290" s="2">
        <f t="shared" si="34"/>
        <v>11269</v>
      </c>
      <c r="C290" s="2">
        <f t="shared" si="28"/>
        <v>0</v>
      </c>
      <c r="D290" s="2">
        <f t="shared" si="29"/>
        <v>11269</v>
      </c>
      <c r="E290" s="2">
        <f t="shared" si="30"/>
        <v>225.38</v>
      </c>
      <c r="F290" s="2">
        <f t="shared" si="31"/>
        <v>169.04</v>
      </c>
      <c r="G290" s="2">
        <f t="shared" si="32"/>
        <v>240</v>
      </c>
      <c r="H290" s="2">
        <f t="shared" si="33"/>
        <v>83927.820000000211</v>
      </c>
    </row>
    <row r="291" spans="1:8" x14ac:dyDescent="0.25">
      <c r="A291" s="1">
        <v>52597</v>
      </c>
      <c r="B291" s="2">
        <f t="shared" si="34"/>
        <v>12051</v>
      </c>
      <c r="C291" s="2">
        <f t="shared" si="28"/>
        <v>500</v>
      </c>
      <c r="D291" s="2">
        <f t="shared" si="29"/>
        <v>12551</v>
      </c>
      <c r="E291" s="2">
        <f t="shared" si="30"/>
        <v>251.02</v>
      </c>
      <c r="F291" s="2">
        <f t="shared" si="31"/>
        <v>188.27</v>
      </c>
      <c r="G291" s="2">
        <f t="shared" si="32"/>
        <v>0</v>
      </c>
      <c r="H291" s="2">
        <f t="shared" si="33"/>
        <v>84367.110000000219</v>
      </c>
    </row>
    <row r="292" spans="1:8" x14ac:dyDescent="0.25">
      <c r="A292" s="1">
        <v>52628</v>
      </c>
      <c r="B292" s="2">
        <f t="shared" si="34"/>
        <v>12051</v>
      </c>
      <c r="C292" s="2">
        <f t="shared" si="28"/>
        <v>0</v>
      </c>
      <c r="D292" s="2">
        <f t="shared" si="29"/>
        <v>12051</v>
      </c>
      <c r="E292" s="2">
        <f t="shared" si="30"/>
        <v>241.02</v>
      </c>
      <c r="F292" s="2">
        <f t="shared" si="31"/>
        <v>180.77</v>
      </c>
      <c r="G292" s="2">
        <f t="shared" si="32"/>
        <v>0</v>
      </c>
      <c r="H292" s="2">
        <f t="shared" si="33"/>
        <v>84788.900000000227</v>
      </c>
    </row>
    <row r="293" spans="1:8" x14ac:dyDescent="0.25">
      <c r="A293" s="1">
        <v>52657</v>
      </c>
      <c r="B293" s="2">
        <f t="shared" si="34"/>
        <v>12051</v>
      </c>
      <c r="C293" s="2">
        <f t="shared" si="28"/>
        <v>0</v>
      </c>
      <c r="D293" s="2">
        <f t="shared" si="29"/>
        <v>12051</v>
      </c>
      <c r="E293" s="2">
        <f t="shared" si="30"/>
        <v>241.02</v>
      </c>
      <c r="F293" s="2">
        <f t="shared" si="31"/>
        <v>180.77</v>
      </c>
      <c r="G293" s="2">
        <f t="shared" si="32"/>
        <v>0</v>
      </c>
      <c r="H293" s="2">
        <f t="shared" si="33"/>
        <v>85210.690000000235</v>
      </c>
    </row>
    <row r="294" spans="1:8" x14ac:dyDescent="0.25">
      <c r="A294" s="1">
        <v>52688</v>
      </c>
      <c r="B294" s="2">
        <f t="shared" si="34"/>
        <v>12051</v>
      </c>
      <c r="C294" s="2">
        <f t="shared" si="28"/>
        <v>500</v>
      </c>
      <c r="D294" s="2">
        <f t="shared" si="29"/>
        <v>12551</v>
      </c>
      <c r="E294" s="2">
        <f t="shared" si="30"/>
        <v>251.02</v>
      </c>
      <c r="F294" s="2">
        <f t="shared" si="31"/>
        <v>188.27</v>
      </c>
      <c r="G294" s="2">
        <f t="shared" si="32"/>
        <v>0</v>
      </c>
      <c r="H294" s="2">
        <f t="shared" si="33"/>
        <v>85649.980000000243</v>
      </c>
    </row>
    <row r="295" spans="1:8" x14ac:dyDescent="0.25">
      <c r="A295" s="1">
        <v>52718</v>
      </c>
      <c r="B295" s="2">
        <f t="shared" si="34"/>
        <v>12051</v>
      </c>
      <c r="C295" s="2">
        <f t="shared" si="28"/>
        <v>0</v>
      </c>
      <c r="D295" s="2">
        <f t="shared" si="29"/>
        <v>12051</v>
      </c>
      <c r="E295" s="2">
        <f t="shared" si="30"/>
        <v>241.02</v>
      </c>
      <c r="F295" s="2">
        <f t="shared" si="31"/>
        <v>180.77</v>
      </c>
      <c r="G295" s="2">
        <f t="shared" si="32"/>
        <v>0</v>
      </c>
      <c r="H295" s="2">
        <f t="shared" si="33"/>
        <v>86071.770000000251</v>
      </c>
    </row>
    <row r="296" spans="1:8" x14ac:dyDescent="0.25">
      <c r="A296" s="1">
        <v>52749</v>
      </c>
      <c r="B296" s="2">
        <f t="shared" si="34"/>
        <v>12051</v>
      </c>
      <c r="C296" s="2">
        <f t="shared" si="28"/>
        <v>0</v>
      </c>
      <c r="D296" s="2">
        <f t="shared" si="29"/>
        <v>12051</v>
      </c>
      <c r="E296" s="2">
        <f t="shared" si="30"/>
        <v>241.02</v>
      </c>
      <c r="F296" s="2">
        <f t="shared" si="31"/>
        <v>180.77</v>
      </c>
      <c r="G296" s="2">
        <f t="shared" si="32"/>
        <v>0</v>
      </c>
      <c r="H296" s="2">
        <f t="shared" si="33"/>
        <v>86493.56000000026</v>
      </c>
    </row>
    <row r="297" spans="1:8" x14ac:dyDescent="0.25">
      <c r="A297" s="1">
        <v>52779</v>
      </c>
      <c r="B297" s="2">
        <f t="shared" si="34"/>
        <v>12051</v>
      </c>
      <c r="C297" s="2">
        <f t="shared" si="28"/>
        <v>500</v>
      </c>
      <c r="D297" s="2">
        <f t="shared" si="29"/>
        <v>12551</v>
      </c>
      <c r="E297" s="2">
        <f t="shared" si="30"/>
        <v>251.02</v>
      </c>
      <c r="F297" s="2">
        <f t="shared" si="31"/>
        <v>188.27</v>
      </c>
      <c r="G297" s="2">
        <f t="shared" si="32"/>
        <v>0</v>
      </c>
      <c r="H297" s="2">
        <f t="shared" si="33"/>
        <v>86932.850000000268</v>
      </c>
    </row>
    <row r="298" spans="1:8" x14ac:dyDescent="0.25">
      <c r="A298" s="1">
        <v>52810</v>
      </c>
      <c r="B298" s="2">
        <f t="shared" si="34"/>
        <v>12051</v>
      </c>
      <c r="C298" s="2">
        <f t="shared" si="28"/>
        <v>0</v>
      </c>
      <c r="D298" s="2">
        <f t="shared" si="29"/>
        <v>12051</v>
      </c>
      <c r="E298" s="2">
        <f t="shared" si="30"/>
        <v>241.02</v>
      </c>
      <c r="F298" s="2">
        <f t="shared" si="31"/>
        <v>180.77</v>
      </c>
      <c r="G298" s="2">
        <f t="shared" si="32"/>
        <v>0</v>
      </c>
      <c r="H298" s="2">
        <f t="shared" si="33"/>
        <v>87354.640000000276</v>
      </c>
    </row>
    <row r="299" spans="1:8" x14ac:dyDescent="0.25">
      <c r="A299" s="1">
        <v>52841</v>
      </c>
      <c r="B299" s="2">
        <f t="shared" si="34"/>
        <v>12051</v>
      </c>
      <c r="C299" s="2">
        <f t="shared" si="28"/>
        <v>0</v>
      </c>
      <c r="D299" s="2">
        <f t="shared" si="29"/>
        <v>12051</v>
      </c>
      <c r="E299" s="2">
        <f t="shared" si="30"/>
        <v>241.02</v>
      </c>
      <c r="F299" s="2">
        <f t="shared" si="31"/>
        <v>180.77</v>
      </c>
      <c r="G299" s="2">
        <f t="shared" si="32"/>
        <v>0</v>
      </c>
      <c r="H299" s="2">
        <f t="shared" si="33"/>
        <v>87776.430000000284</v>
      </c>
    </row>
    <row r="300" spans="1:8" x14ac:dyDescent="0.25">
      <c r="A300" s="1">
        <v>52871</v>
      </c>
      <c r="B300" s="2">
        <f t="shared" si="34"/>
        <v>12051</v>
      </c>
      <c r="C300" s="2">
        <f t="shared" si="28"/>
        <v>500</v>
      </c>
      <c r="D300" s="2">
        <f t="shared" si="29"/>
        <v>12551</v>
      </c>
      <c r="E300" s="2">
        <f t="shared" si="30"/>
        <v>251.02</v>
      </c>
      <c r="F300" s="2">
        <f t="shared" si="31"/>
        <v>188.27</v>
      </c>
      <c r="G300" s="2">
        <f t="shared" si="32"/>
        <v>0</v>
      </c>
      <c r="H300" s="2">
        <f t="shared" si="33"/>
        <v>88215.720000000292</v>
      </c>
    </row>
    <row r="301" spans="1:8" x14ac:dyDescent="0.25">
      <c r="A301" s="1">
        <v>52902</v>
      </c>
      <c r="B301" s="2">
        <f t="shared" si="34"/>
        <v>12051</v>
      </c>
      <c r="C301" s="2">
        <f t="shared" si="28"/>
        <v>0</v>
      </c>
      <c r="D301" s="2">
        <f t="shared" si="29"/>
        <v>12051</v>
      </c>
      <c r="E301" s="2">
        <f t="shared" si="30"/>
        <v>241.02</v>
      </c>
      <c r="F301" s="2">
        <f t="shared" si="31"/>
        <v>180.77</v>
      </c>
      <c r="G301" s="2">
        <f t="shared" si="32"/>
        <v>0</v>
      </c>
      <c r="H301" s="2">
        <f t="shared" si="33"/>
        <v>88637.5100000003</v>
      </c>
    </row>
    <row r="302" spans="1:8" x14ac:dyDescent="0.25">
      <c r="A302" s="1">
        <v>52932</v>
      </c>
      <c r="B302" s="2">
        <f t="shared" si="34"/>
        <v>12051</v>
      </c>
      <c r="C302" s="2">
        <f t="shared" si="28"/>
        <v>0</v>
      </c>
      <c r="D302" s="2">
        <f t="shared" si="29"/>
        <v>12051</v>
      </c>
      <c r="E302" s="2">
        <f t="shared" si="30"/>
        <v>241.02</v>
      </c>
      <c r="F302" s="2">
        <f t="shared" si="31"/>
        <v>180.77</v>
      </c>
      <c r="G302" s="2">
        <f t="shared" si="32"/>
        <v>240</v>
      </c>
      <c r="H302" s="2">
        <f t="shared" si="33"/>
        <v>89299.300000000309</v>
      </c>
    </row>
    <row r="303" spans="1:8" x14ac:dyDescent="0.25">
      <c r="A303" s="1">
        <v>52963</v>
      </c>
      <c r="B303" s="2">
        <f t="shared" si="34"/>
        <v>12353</v>
      </c>
      <c r="C303" s="2">
        <f t="shared" si="28"/>
        <v>500</v>
      </c>
      <c r="D303" s="2">
        <f t="shared" si="29"/>
        <v>12853</v>
      </c>
      <c r="E303" s="2">
        <f t="shared" si="30"/>
        <v>257.06</v>
      </c>
      <c r="F303" s="2">
        <f t="shared" si="31"/>
        <v>192.8</v>
      </c>
      <c r="G303" s="2">
        <f t="shared" si="32"/>
        <v>0</v>
      </c>
      <c r="H303" s="2">
        <f t="shared" si="33"/>
        <v>89749.160000000309</v>
      </c>
    </row>
    <row r="304" spans="1:8" x14ac:dyDescent="0.25">
      <c r="A304" s="1">
        <v>52994</v>
      </c>
      <c r="B304" s="2">
        <f t="shared" si="34"/>
        <v>12353</v>
      </c>
      <c r="C304" s="2">
        <f t="shared" si="28"/>
        <v>0</v>
      </c>
      <c r="D304" s="2">
        <f t="shared" si="29"/>
        <v>12353</v>
      </c>
      <c r="E304" s="2">
        <f t="shared" si="30"/>
        <v>247.06</v>
      </c>
      <c r="F304" s="2">
        <f t="shared" si="31"/>
        <v>185.3</v>
      </c>
      <c r="G304" s="2">
        <f t="shared" si="32"/>
        <v>0</v>
      </c>
      <c r="H304" s="2">
        <f t="shared" si="33"/>
        <v>90181.52000000031</v>
      </c>
    </row>
    <row r="305" spans="1:8" x14ac:dyDescent="0.25">
      <c r="A305" s="1">
        <v>53022</v>
      </c>
      <c r="B305" s="2">
        <f t="shared" si="34"/>
        <v>12353</v>
      </c>
      <c r="C305" s="2">
        <f t="shared" si="28"/>
        <v>0</v>
      </c>
      <c r="D305" s="2">
        <f t="shared" si="29"/>
        <v>12353</v>
      </c>
      <c r="E305" s="2">
        <f t="shared" si="30"/>
        <v>247.06</v>
      </c>
      <c r="F305" s="2">
        <f t="shared" si="31"/>
        <v>185.3</v>
      </c>
      <c r="G305" s="2">
        <f t="shared" si="32"/>
        <v>0</v>
      </c>
      <c r="H305" s="2">
        <f t="shared" si="33"/>
        <v>90613.88000000031</v>
      </c>
    </row>
    <row r="306" spans="1:8" x14ac:dyDescent="0.25">
      <c r="A306" s="1">
        <v>53053</v>
      </c>
      <c r="B306" s="2">
        <f t="shared" si="34"/>
        <v>12353</v>
      </c>
      <c r="C306" s="2">
        <f t="shared" si="28"/>
        <v>500</v>
      </c>
      <c r="D306" s="2">
        <f t="shared" si="29"/>
        <v>12853</v>
      </c>
      <c r="E306" s="2">
        <f t="shared" si="30"/>
        <v>257.06</v>
      </c>
      <c r="F306" s="2">
        <f t="shared" si="31"/>
        <v>192.8</v>
      </c>
      <c r="G306" s="2">
        <f t="shared" si="32"/>
        <v>0</v>
      </c>
      <c r="H306" s="2">
        <f t="shared" si="33"/>
        <v>91063.740000000311</v>
      </c>
    </row>
    <row r="307" spans="1:8" x14ac:dyDescent="0.25">
      <c r="A307" s="1">
        <v>53083</v>
      </c>
      <c r="B307" s="2">
        <f t="shared" si="34"/>
        <v>12353</v>
      </c>
      <c r="C307" s="2">
        <f t="shared" si="28"/>
        <v>0</v>
      </c>
      <c r="D307" s="2">
        <f t="shared" si="29"/>
        <v>12353</v>
      </c>
      <c r="E307" s="2">
        <f t="shared" si="30"/>
        <v>247.06</v>
      </c>
      <c r="F307" s="2">
        <f t="shared" si="31"/>
        <v>185.3</v>
      </c>
      <c r="G307" s="2">
        <f t="shared" si="32"/>
        <v>0</v>
      </c>
      <c r="H307" s="2">
        <f t="shared" si="33"/>
        <v>91496.100000000311</v>
      </c>
    </row>
    <row r="308" spans="1:8" x14ac:dyDescent="0.25">
      <c r="A308" s="1">
        <v>53114</v>
      </c>
      <c r="B308" s="2">
        <f t="shared" si="34"/>
        <v>12353</v>
      </c>
      <c r="C308" s="2">
        <f t="shared" si="28"/>
        <v>0</v>
      </c>
      <c r="D308" s="2">
        <f t="shared" si="29"/>
        <v>12353</v>
      </c>
      <c r="E308" s="2">
        <f t="shared" si="30"/>
        <v>247.06</v>
      </c>
      <c r="F308" s="2">
        <f t="shared" si="31"/>
        <v>185.3</v>
      </c>
      <c r="G308" s="2">
        <f t="shared" si="32"/>
        <v>0</v>
      </c>
      <c r="H308" s="2">
        <f t="shared" si="33"/>
        <v>91928.460000000312</v>
      </c>
    </row>
    <row r="309" spans="1:8" x14ac:dyDescent="0.25">
      <c r="A309" s="1">
        <v>53144</v>
      </c>
      <c r="B309" s="2">
        <f t="shared" si="34"/>
        <v>12353</v>
      </c>
      <c r="C309" s="2">
        <f t="shared" si="28"/>
        <v>500</v>
      </c>
      <c r="D309" s="2">
        <f t="shared" si="29"/>
        <v>12853</v>
      </c>
      <c r="E309" s="2">
        <f t="shared" si="30"/>
        <v>257.06</v>
      </c>
      <c r="F309" s="2">
        <f t="shared" si="31"/>
        <v>192.8</v>
      </c>
      <c r="G309" s="2">
        <f t="shared" si="32"/>
        <v>0</v>
      </c>
      <c r="H309" s="2">
        <f t="shared" si="33"/>
        <v>92378.320000000313</v>
      </c>
    </row>
    <row r="310" spans="1:8" x14ac:dyDescent="0.25">
      <c r="A310" s="1">
        <v>53175</v>
      </c>
      <c r="B310" s="2">
        <f t="shared" si="34"/>
        <v>12353</v>
      </c>
      <c r="C310" s="2">
        <f t="shared" si="28"/>
        <v>0</v>
      </c>
      <c r="D310" s="2">
        <f t="shared" si="29"/>
        <v>12353</v>
      </c>
      <c r="E310" s="2">
        <f t="shared" si="30"/>
        <v>247.06</v>
      </c>
      <c r="F310" s="2">
        <f t="shared" si="31"/>
        <v>185.3</v>
      </c>
      <c r="G310" s="2">
        <f t="shared" si="32"/>
        <v>0</v>
      </c>
      <c r="H310" s="2">
        <f t="shared" si="33"/>
        <v>92810.680000000313</v>
      </c>
    </row>
    <row r="311" spans="1:8" x14ac:dyDescent="0.25">
      <c r="A311" s="1">
        <v>53206</v>
      </c>
      <c r="B311" s="2">
        <f t="shared" si="34"/>
        <v>12353</v>
      </c>
      <c r="C311" s="2">
        <f t="shared" si="28"/>
        <v>0</v>
      </c>
      <c r="D311" s="2">
        <f t="shared" si="29"/>
        <v>12353</v>
      </c>
      <c r="E311" s="2">
        <f t="shared" si="30"/>
        <v>247.06</v>
      </c>
      <c r="F311" s="2">
        <f t="shared" si="31"/>
        <v>185.3</v>
      </c>
      <c r="G311" s="2">
        <f t="shared" si="32"/>
        <v>0</v>
      </c>
      <c r="H311" s="2">
        <f t="shared" si="33"/>
        <v>93243.040000000314</v>
      </c>
    </row>
    <row r="312" spans="1:8" x14ac:dyDescent="0.25">
      <c r="A312" s="1">
        <v>53236</v>
      </c>
      <c r="B312" s="2">
        <f t="shared" si="34"/>
        <v>12353</v>
      </c>
      <c r="C312" s="2">
        <f t="shared" si="28"/>
        <v>500</v>
      </c>
      <c r="D312" s="2">
        <f t="shared" si="29"/>
        <v>12853</v>
      </c>
      <c r="E312" s="2">
        <f t="shared" si="30"/>
        <v>257.06</v>
      </c>
      <c r="F312" s="2">
        <f t="shared" si="31"/>
        <v>192.8</v>
      </c>
      <c r="G312" s="2">
        <f t="shared" si="32"/>
        <v>0</v>
      </c>
      <c r="H312" s="2">
        <f t="shared" si="33"/>
        <v>93692.900000000314</v>
      </c>
    </row>
    <row r="313" spans="1:8" x14ac:dyDescent="0.25">
      <c r="A313" s="1">
        <v>53267</v>
      </c>
      <c r="B313" s="2">
        <f t="shared" si="34"/>
        <v>12353</v>
      </c>
      <c r="C313" s="2">
        <f t="shared" si="28"/>
        <v>0</v>
      </c>
      <c r="D313" s="2">
        <f t="shared" si="29"/>
        <v>12353</v>
      </c>
      <c r="E313" s="2">
        <f t="shared" si="30"/>
        <v>247.06</v>
      </c>
      <c r="F313" s="2">
        <f t="shared" si="31"/>
        <v>185.3</v>
      </c>
      <c r="G313" s="2">
        <f t="shared" si="32"/>
        <v>0</v>
      </c>
      <c r="H313" s="2">
        <f t="shared" si="33"/>
        <v>94125.260000000315</v>
      </c>
    </row>
    <row r="314" spans="1:8" x14ac:dyDescent="0.25">
      <c r="A314" s="1">
        <v>53297</v>
      </c>
      <c r="B314" s="2">
        <f t="shared" si="34"/>
        <v>12353</v>
      </c>
      <c r="C314" s="2">
        <f t="shared" si="28"/>
        <v>0</v>
      </c>
      <c r="D314" s="2">
        <f t="shared" si="29"/>
        <v>12353</v>
      </c>
      <c r="E314" s="2">
        <f t="shared" si="30"/>
        <v>247.06</v>
      </c>
      <c r="F314" s="2">
        <f t="shared" si="31"/>
        <v>185.3</v>
      </c>
      <c r="G314" s="2">
        <f t="shared" si="32"/>
        <v>240</v>
      </c>
      <c r="H314" s="2">
        <f t="shared" si="33"/>
        <v>94797.620000000315</v>
      </c>
    </row>
    <row r="315" spans="1:8" x14ac:dyDescent="0.25">
      <c r="A315" s="1">
        <v>53328</v>
      </c>
      <c r="B315" s="2">
        <f t="shared" si="34"/>
        <v>12662</v>
      </c>
      <c r="C315" s="2">
        <f t="shared" si="28"/>
        <v>500</v>
      </c>
      <c r="D315" s="2">
        <f t="shared" si="29"/>
        <v>13162</v>
      </c>
      <c r="E315" s="2">
        <f t="shared" si="30"/>
        <v>263.24</v>
      </c>
      <c r="F315" s="2">
        <f t="shared" si="31"/>
        <v>197.43</v>
      </c>
      <c r="G315" s="2">
        <f t="shared" si="32"/>
        <v>0</v>
      </c>
      <c r="H315" s="2">
        <f t="shared" si="33"/>
        <v>95258.290000000314</v>
      </c>
    </row>
    <row r="316" spans="1:8" x14ac:dyDescent="0.25">
      <c r="A316" s="1">
        <v>53359</v>
      </c>
      <c r="B316" s="2">
        <f t="shared" si="34"/>
        <v>12662</v>
      </c>
      <c r="C316" s="2">
        <f t="shared" si="28"/>
        <v>0</v>
      </c>
      <c r="D316" s="2">
        <f t="shared" si="29"/>
        <v>12662</v>
      </c>
      <c r="E316" s="2">
        <f t="shared" si="30"/>
        <v>253.24</v>
      </c>
      <c r="F316" s="2">
        <f t="shared" si="31"/>
        <v>189.93</v>
      </c>
      <c r="G316" s="2">
        <f t="shared" si="32"/>
        <v>0</v>
      </c>
      <c r="H316" s="2">
        <f t="shared" si="33"/>
        <v>95701.460000000312</v>
      </c>
    </row>
    <row r="317" spans="1:8" x14ac:dyDescent="0.25">
      <c r="A317" s="1">
        <v>53387</v>
      </c>
      <c r="B317" s="2">
        <f t="shared" si="34"/>
        <v>12662</v>
      </c>
      <c r="C317" s="2">
        <f t="shared" si="28"/>
        <v>0</v>
      </c>
      <c r="D317" s="2">
        <f t="shared" si="29"/>
        <v>12662</v>
      </c>
      <c r="E317" s="2">
        <f t="shared" si="30"/>
        <v>253.24</v>
      </c>
      <c r="F317" s="2">
        <f t="shared" si="31"/>
        <v>189.93</v>
      </c>
      <c r="G317" s="2">
        <f t="shared" si="32"/>
        <v>0</v>
      </c>
      <c r="H317" s="2">
        <f t="shared" si="33"/>
        <v>96144.63000000031</v>
      </c>
    </row>
    <row r="318" spans="1:8" x14ac:dyDescent="0.25">
      <c r="A318" s="1">
        <v>53418</v>
      </c>
      <c r="B318" s="2">
        <f t="shared" si="34"/>
        <v>12662</v>
      </c>
      <c r="C318" s="2">
        <f t="shared" si="28"/>
        <v>500</v>
      </c>
      <c r="D318" s="2">
        <f t="shared" si="29"/>
        <v>13162</v>
      </c>
      <c r="E318" s="2">
        <f t="shared" si="30"/>
        <v>263.24</v>
      </c>
      <c r="F318" s="2">
        <f t="shared" si="31"/>
        <v>197.43</v>
      </c>
      <c r="G318" s="2">
        <f t="shared" si="32"/>
        <v>0</v>
      </c>
      <c r="H318" s="2">
        <f t="shared" si="33"/>
        <v>96605.300000000309</v>
      </c>
    </row>
    <row r="319" spans="1:8" x14ac:dyDescent="0.25">
      <c r="A319" s="1">
        <v>53448</v>
      </c>
      <c r="B319" s="2">
        <f t="shared" si="34"/>
        <v>12662</v>
      </c>
      <c r="C319" s="2">
        <f t="shared" si="28"/>
        <v>0</v>
      </c>
      <c r="D319" s="2">
        <f t="shared" si="29"/>
        <v>12662</v>
      </c>
      <c r="E319" s="2">
        <f t="shared" si="30"/>
        <v>253.24</v>
      </c>
      <c r="F319" s="2">
        <f t="shared" si="31"/>
        <v>189.93</v>
      </c>
      <c r="G319" s="2">
        <f t="shared" si="32"/>
        <v>0</v>
      </c>
      <c r="H319" s="2">
        <f t="shared" si="33"/>
        <v>97048.470000000307</v>
      </c>
    </row>
    <row r="320" spans="1:8" x14ac:dyDescent="0.25">
      <c r="A320" s="1">
        <v>53479</v>
      </c>
      <c r="B320" s="2">
        <f t="shared" si="34"/>
        <v>12662</v>
      </c>
      <c r="C320" s="2">
        <f t="shared" si="28"/>
        <v>0</v>
      </c>
      <c r="D320" s="2">
        <f t="shared" si="29"/>
        <v>12662</v>
      </c>
      <c r="E320" s="2">
        <f t="shared" si="30"/>
        <v>253.24</v>
      </c>
      <c r="F320" s="2">
        <f t="shared" si="31"/>
        <v>189.93</v>
      </c>
      <c r="G320" s="2">
        <f t="shared" si="32"/>
        <v>0</v>
      </c>
      <c r="H320" s="2">
        <f t="shared" si="33"/>
        <v>97491.640000000305</v>
      </c>
    </row>
    <row r="321" spans="1:8" x14ac:dyDescent="0.25">
      <c r="A321" s="1">
        <v>53509</v>
      </c>
      <c r="B321" s="2">
        <f t="shared" si="34"/>
        <v>12662</v>
      </c>
      <c r="C321" s="2">
        <f t="shared" si="28"/>
        <v>500</v>
      </c>
      <c r="D321" s="2">
        <f t="shared" si="29"/>
        <v>13162</v>
      </c>
      <c r="E321" s="2">
        <f t="shared" si="30"/>
        <v>263.24</v>
      </c>
      <c r="F321" s="2">
        <f t="shared" si="31"/>
        <v>197.43</v>
      </c>
      <c r="G321" s="2">
        <f t="shared" si="32"/>
        <v>0</v>
      </c>
      <c r="H321" s="2">
        <f t="shared" si="33"/>
        <v>97952.310000000303</v>
      </c>
    </row>
    <row r="322" spans="1:8" x14ac:dyDescent="0.25">
      <c r="A322" s="1">
        <v>53540</v>
      </c>
      <c r="B322" s="2">
        <f t="shared" si="34"/>
        <v>12662</v>
      </c>
      <c r="C322" s="2">
        <f t="shared" si="28"/>
        <v>0</v>
      </c>
      <c r="D322" s="2">
        <f t="shared" si="29"/>
        <v>12662</v>
      </c>
      <c r="E322" s="2">
        <f t="shared" si="30"/>
        <v>253.24</v>
      </c>
      <c r="F322" s="2">
        <f t="shared" si="31"/>
        <v>189.93</v>
      </c>
      <c r="G322" s="2">
        <f t="shared" si="32"/>
        <v>0</v>
      </c>
      <c r="H322" s="2">
        <f t="shared" si="33"/>
        <v>98395.480000000302</v>
      </c>
    </row>
    <row r="323" spans="1:8" x14ac:dyDescent="0.25">
      <c r="A323" s="1">
        <v>53571</v>
      </c>
      <c r="B323" s="2">
        <f t="shared" si="34"/>
        <v>12662</v>
      </c>
      <c r="C323" s="2">
        <f t="shared" si="28"/>
        <v>0</v>
      </c>
      <c r="D323" s="2">
        <f t="shared" si="29"/>
        <v>12662</v>
      </c>
      <c r="E323" s="2">
        <f t="shared" si="30"/>
        <v>253.24</v>
      </c>
      <c r="F323" s="2">
        <f t="shared" si="31"/>
        <v>189.93</v>
      </c>
      <c r="G323" s="2">
        <f t="shared" si="32"/>
        <v>0</v>
      </c>
      <c r="H323" s="2">
        <f t="shared" si="33"/>
        <v>98838.6500000003</v>
      </c>
    </row>
    <row r="324" spans="1:8" x14ac:dyDescent="0.25">
      <c r="A324" s="1">
        <v>53601</v>
      </c>
      <c r="B324" s="2">
        <f t="shared" si="34"/>
        <v>12662</v>
      </c>
      <c r="C324" s="2">
        <f t="shared" ref="C324:C387" si="35">IF(AND(OR(MONTH(A324)=1,MONTH(A324)=4,MONTH(A324)=7,MONTH(A324)=10),DATE(2020,1,1)&lt;&gt;A324),500,0)</f>
        <v>500</v>
      </c>
      <c r="D324" s="2">
        <f t="shared" ref="D324:D387" si="36">B324+C324</f>
        <v>13162</v>
      </c>
      <c r="E324" s="2">
        <f t="shared" ref="E324:E387" si="37">ROUND(D324*0.02,2)</f>
        <v>263.24</v>
      </c>
      <c r="F324" s="2">
        <f t="shared" ref="F324:F387" si="38">ROUND(D324*0.015,2)</f>
        <v>197.43</v>
      </c>
      <c r="G324" s="2">
        <f t="shared" ref="G324:G387" si="39">IF(MONTH(A324)=12,240,0)</f>
        <v>0</v>
      </c>
      <c r="H324" s="2">
        <f t="shared" ref="H324:H387" si="40">H323+E324+F324+G324</f>
        <v>99299.320000000298</v>
      </c>
    </row>
    <row r="325" spans="1:8" x14ac:dyDescent="0.25">
      <c r="A325" s="1">
        <v>53632</v>
      </c>
      <c r="B325" s="2">
        <f t="shared" ref="B325:B388" si="41">IF(YEAR($A325) &gt; YEAR($A324),IF(AND(MOD(YEAR(A325),4)=0,YEAR(A325)&lt;&gt;2020),ROUNDUP($B324*1.025,0)+500,ROUNDUP($B324*1.025,0)),$B324)</f>
        <v>12662</v>
      </c>
      <c r="C325" s="2">
        <f t="shared" si="35"/>
        <v>0</v>
      </c>
      <c r="D325" s="2">
        <f t="shared" si="36"/>
        <v>12662</v>
      </c>
      <c r="E325" s="2">
        <f t="shared" si="37"/>
        <v>253.24</v>
      </c>
      <c r="F325" s="2">
        <f t="shared" si="38"/>
        <v>189.93</v>
      </c>
      <c r="G325" s="2">
        <f t="shared" si="39"/>
        <v>0</v>
      </c>
      <c r="H325" s="2">
        <f t="shared" si="40"/>
        <v>99742.490000000296</v>
      </c>
    </row>
    <row r="326" spans="1:8" x14ac:dyDescent="0.25">
      <c r="A326" s="1">
        <v>53662</v>
      </c>
      <c r="B326" s="2">
        <f t="shared" si="41"/>
        <v>12662</v>
      </c>
      <c r="C326" s="2">
        <f t="shared" si="35"/>
        <v>0</v>
      </c>
      <c r="D326" s="2">
        <f t="shared" si="36"/>
        <v>12662</v>
      </c>
      <c r="E326" s="2">
        <f t="shared" si="37"/>
        <v>253.24</v>
      </c>
      <c r="F326" s="2">
        <f t="shared" si="38"/>
        <v>189.93</v>
      </c>
      <c r="G326" s="2">
        <f t="shared" si="39"/>
        <v>240</v>
      </c>
      <c r="H326" s="2">
        <f t="shared" si="40"/>
        <v>100425.66000000029</v>
      </c>
    </row>
    <row r="327" spans="1:8" x14ac:dyDescent="0.25">
      <c r="A327" s="1">
        <v>53693</v>
      </c>
      <c r="B327" s="2">
        <f t="shared" si="41"/>
        <v>12979</v>
      </c>
      <c r="C327" s="2">
        <f t="shared" si="35"/>
        <v>500</v>
      </c>
      <c r="D327" s="2">
        <f t="shared" si="36"/>
        <v>13479</v>
      </c>
      <c r="E327" s="2">
        <f t="shared" si="37"/>
        <v>269.58</v>
      </c>
      <c r="F327" s="2">
        <f t="shared" si="38"/>
        <v>202.19</v>
      </c>
      <c r="G327" s="2">
        <f t="shared" si="39"/>
        <v>0</v>
      </c>
      <c r="H327" s="2">
        <f t="shared" si="40"/>
        <v>100897.4300000003</v>
      </c>
    </row>
    <row r="328" spans="1:8" x14ac:dyDescent="0.25">
      <c r="A328" s="1">
        <v>53724</v>
      </c>
      <c r="B328" s="2">
        <f t="shared" si="41"/>
        <v>12979</v>
      </c>
      <c r="C328" s="2">
        <f t="shared" si="35"/>
        <v>0</v>
      </c>
      <c r="D328" s="2">
        <f t="shared" si="36"/>
        <v>12979</v>
      </c>
      <c r="E328" s="2">
        <f t="shared" si="37"/>
        <v>259.58</v>
      </c>
      <c r="F328" s="2">
        <f t="shared" si="38"/>
        <v>194.69</v>
      </c>
      <c r="G328" s="2">
        <f t="shared" si="39"/>
        <v>0</v>
      </c>
      <c r="H328" s="2">
        <f t="shared" si="40"/>
        <v>101351.7000000003</v>
      </c>
    </row>
    <row r="329" spans="1:8" x14ac:dyDescent="0.25">
      <c r="A329" s="1">
        <v>53752</v>
      </c>
      <c r="B329" s="2">
        <f t="shared" si="41"/>
        <v>12979</v>
      </c>
      <c r="C329" s="2">
        <f t="shared" si="35"/>
        <v>0</v>
      </c>
      <c r="D329" s="2">
        <f t="shared" si="36"/>
        <v>12979</v>
      </c>
      <c r="E329" s="2">
        <f t="shared" si="37"/>
        <v>259.58</v>
      </c>
      <c r="F329" s="2">
        <f t="shared" si="38"/>
        <v>194.69</v>
      </c>
      <c r="G329" s="2">
        <f t="shared" si="39"/>
        <v>0</v>
      </c>
      <c r="H329" s="2">
        <f t="shared" si="40"/>
        <v>101805.97000000031</v>
      </c>
    </row>
    <row r="330" spans="1:8" x14ac:dyDescent="0.25">
      <c r="A330" s="1">
        <v>53783</v>
      </c>
      <c r="B330" s="2">
        <f t="shared" si="41"/>
        <v>12979</v>
      </c>
      <c r="C330" s="2">
        <f t="shared" si="35"/>
        <v>500</v>
      </c>
      <c r="D330" s="2">
        <f t="shared" si="36"/>
        <v>13479</v>
      </c>
      <c r="E330" s="2">
        <f t="shared" si="37"/>
        <v>269.58</v>
      </c>
      <c r="F330" s="2">
        <f t="shared" si="38"/>
        <v>202.19</v>
      </c>
      <c r="G330" s="2">
        <f t="shared" si="39"/>
        <v>0</v>
      </c>
      <c r="H330" s="2">
        <f t="shared" si="40"/>
        <v>102277.74000000031</v>
      </c>
    </row>
    <row r="331" spans="1:8" x14ac:dyDescent="0.25">
      <c r="A331" s="1">
        <v>53813</v>
      </c>
      <c r="B331" s="2">
        <f t="shared" si="41"/>
        <v>12979</v>
      </c>
      <c r="C331" s="2">
        <f t="shared" si="35"/>
        <v>0</v>
      </c>
      <c r="D331" s="2">
        <f t="shared" si="36"/>
        <v>12979</v>
      </c>
      <c r="E331" s="2">
        <f t="shared" si="37"/>
        <v>259.58</v>
      </c>
      <c r="F331" s="2">
        <f t="shared" si="38"/>
        <v>194.69</v>
      </c>
      <c r="G331" s="2">
        <f t="shared" si="39"/>
        <v>0</v>
      </c>
      <c r="H331" s="2">
        <f t="shared" si="40"/>
        <v>102732.01000000031</v>
      </c>
    </row>
    <row r="332" spans="1:8" x14ac:dyDescent="0.25">
      <c r="A332" s="1">
        <v>53844</v>
      </c>
      <c r="B332" s="2">
        <f t="shared" si="41"/>
        <v>12979</v>
      </c>
      <c r="C332" s="2">
        <f t="shared" si="35"/>
        <v>0</v>
      </c>
      <c r="D332" s="2">
        <f t="shared" si="36"/>
        <v>12979</v>
      </c>
      <c r="E332" s="2">
        <f t="shared" si="37"/>
        <v>259.58</v>
      </c>
      <c r="F332" s="2">
        <f t="shared" si="38"/>
        <v>194.69</v>
      </c>
      <c r="G332" s="2">
        <f t="shared" si="39"/>
        <v>0</v>
      </c>
      <c r="H332" s="2">
        <f t="shared" si="40"/>
        <v>103186.28000000032</v>
      </c>
    </row>
    <row r="333" spans="1:8" x14ac:dyDescent="0.25">
      <c r="A333" s="1">
        <v>53874</v>
      </c>
      <c r="B333" s="2">
        <f t="shared" si="41"/>
        <v>12979</v>
      </c>
      <c r="C333" s="2">
        <f t="shared" si="35"/>
        <v>500</v>
      </c>
      <c r="D333" s="2">
        <f t="shared" si="36"/>
        <v>13479</v>
      </c>
      <c r="E333" s="2">
        <f t="shared" si="37"/>
        <v>269.58</v>
      </c>
      <c r="F333" s="2">
        <f t="shared" si="38"/>
        <v>202.19</v>
      </c>
      <c r="G333" s="2">
        <f t="shared" si="39"/>
        <v>0</v>
      </c>
      <c r="H333" s="2">
        <f t="shared" si="40"/>
        <v>103658.05000000032</v>
      </c>
    </row>
    <row r="334" spans="1:8" x14ac:dyDescent="0.25">
      <c r="A334" s="1">
        <v>53905</v>
      </c>
      <c r="B334" s="2">
        <f t="shared" si="41"/>
        <v>12979</v>
      </c>
      <c r="C334" s="2">
        <f t="shared" si="35"/>
        <v>0</v>
      </c>
      <c r="D334" s="2">
        <f t="shared" si="36"/>
        <v>12979</v>
      </c>
      <c r="E334" s="2">
        <f t="shared" si="37"/>
        <v>259.58</v>
      </c>
      <c r="F334" s="2">
        <f t="shared" si="38"/>
        <v>194.69</v>
      </c>
      <c r="G334" s="2">
        <f t="shared" si="39"/>
        <v>0</v>
      </c>
      <c r="H334" s="2">
        <f t="shared" si="40"/>
        <v>104112.32000000033</v>
      </c>
    </row>
    <row r="335" spans="1:8" x14ac:dyDescent="0.25">
      <c r="A335" s="1">
        <v>53936</v>
      </c>
      <c r="B335" s="2">
        <f t="shared" si="41"/>
        <v>12979</v>
      </c>
      <c r="C335" s="2">
        <f t="shared" si="35"/>
        <v>0</v>
      </c>
      <c r="D335" s="2">
        <f t="shared" si="36"/>
        <v>12979</v>
      </c>
      <c r="E335" s="2">
        <f t="shared" si="37"/>
        <v>259.58</v>
      </c>
      <c r="F335" s="2">
        <f t="shared" si="38"/>
        <v>194.69</v>
      </c>
      <c r="G335" s="2">
        <f t="shared" si="39"/>
        <v>0</v>
      </c>
      <c r="H335" s="2">
        <f t="shared" si="40"/>
        <v>104566.59000000033</v>
      </c>
    </row>
    <row r="336" spans="1:8" x14ac:dyDescent="0.25">
      <c r="A336" s="1">
        <v>53966</v>
      </c>
      <c r="B336" s="2">
        <f t="shared" si="41"/>
        <v>12979</v>
      </c>
      <c r="C336" s="2">
        <f t="shared" si="35"/>
        <v>500</v>
      </c>
      <c r="D336" s="2">
        <f t="shared" si="36"/>
        <v>13479</v>
      </c>
      <c r="E336" s="2">
        <f t="shared" si="37"/>
        <v>269.58</v>
      </c>
      <c r="F336" s="2">
        <f t="shared" si="38"/>
        <v>202.19</v>
      </c>
      <c r="G336" s="2">
        <f t="shared" si="39"/>
        <v>0</v>
      </c>
      <c r="H336" s="2">
        <f t="shared" si="40"/>
        <v>105038.36000000034</v>
      </c>
    </row>
    <row r="337" spans="1:8" x14ac:dyDescent="0.25">
      <c r="A337" s="1">
        <v>53997</v>
      </c>
      <c r="B337" s="2">
        <f t="shared" si="41"/>
        <v>12979</v>
      </c>
      <c r="C337" s="2">
        <f t="shared" si="35"/>
        <v>0</v>
      </c>
      <c r="D337" s="2">
        <f t="shared" si="36"/>
        <v>12979</v>
      </c>
      <c r="E337" s="2">
        <f t="shared" si="37"/>
        <v>259.58</v>
      </c>
      <c r="F337" s="2">
        <f t="shared" si="38"/>
        <v>194.69</v>
      </c>
      <c r="G337" s="2">
        <f t="shared" si="39"/>
        <v>0</v>
      </c>
      <c r="H337" s="2">
        <f t="shared" si="40"/>
        <v>105492.63000000034</v>
      </c>
    </row>
    <row r="338" spans="1:8" x14ac:dyDescent="0.25">
      <c r="A338" s="1">
        <v>54027</v>
      </c>
      <c r="B338" s="2">
        <f t="shared" si="41"/>
        <v>12979</v>
      </c>
      <c r="C338" s="2">
        <f t="shared" si="35"/>
        <v>0</v>
      </c>
      <c r="D338" s="2">
        <f t="shared" si="36"/>
        <v>12979</v>
      </c>
      <c r="E338" s="2">
        <f t="shared" si="37"/>
        <v>259.58</v>
      </c>
      <c r="F338" s="2">
        <f t="shared" si="38"/>
        <v>194.69</v>
      </c>
      <c r="G338" s="2">
        <f t="shared" si="39"/>
        <v>240</v>
      </c>
      <c r="H338" s="2">
        <f t="shared" si="40"/>
        <v>106186.90000000034</v>
      </c>
    </row>
    <row r="339" spans="1:8" x14ac:dyDescent="0.25">
      <c r="A339" s="1">
        <v>54058</v>
      </c>
      <c r="B339" s="2">
        <f t="shared" si="41"/>
        <v>13804</v>
      </c>
      <c r="C339" s="2">
        <f t="shared" si="35"/>
        <v>500</v>
      </c>
      <c r="D339" s="2">
        <f t="shared" si="36"/>
        <v>14304</v>
      </c>
      <c r="E339" s="2">
        <f t="shared" si="37"/>
        <v>286.08</v>
      </c>
      <c r="F339" s="2">
        <f t="shared" si="38"/>
        <v>214.56</v>
      </c>
      <c r="G339" s="2">
        <f t="shared" si="39"/>
        <v>0</v>
      </c>
      <c r="H339" s="2">
        <f t="shared" si="40"/>
        <v>106687.54000000034</v>
      </c>
    </row>
    <row r="340" spans="1:8" x14ac:dyDescent="0.25">
      <c r="A340" s="1">
        <v>54089</v>
      </c>
      <c r="B340" s="2">
        <f t="shared" si="41"/>
        <v>13804</v>
      </c>
      <c r="C340" s="2">
        <f t="shared" si="35"/>
        <v>0</v>
      </c>
      <c r="D340" s="2">
        <f t="shared" si="36"/>
        <v>13804</v>
      </c>
      <c r="E340" s="2">
        <f t="shared" si="37"/>
        <v>276.08</v>
      </c>
      <c r="F340" s="2">
        <f t="shared" si="38"/>
        <v>207.06</v>
      </c>
      <c r="G340" s="2">
        <f t="shared" si="39"/>
        <v>0</v>
      </c>
      <c r="H340" s="2">
        <f t="shared" si="40"/>
        <v>107170.68000000034</v>
      </c>
    </row>
    <row r="341" spans="1:8" x14ac:dyDescent="0.25">
      <c r="A341" s="1">
        <v>54118</v>
      </c>
      <c r="B341" s="2">
        <f t="shared" si="41"/>
        <v>13804</v>
      </c>
      <c r="C341" s="2">
        <f t="shared" si="35"/>
        <v>0</v>
      </c>
      <c r="D341" s="2">
        <f t="shared" si="36"/>
        <v>13804</v>
      </c>
      <c r="E341" s="2">
        <f t="shared" si="37"/>
        <v>276.08</v>
      </c>
      <c r="F341" s="2">
        <f t="shared" si="38"/>
        <v>207.06</v>
      </c>
      <c r="G341" s="2">
        <f t="shared" si="39"/>
        <v>0</v>
      </c>
      <c r="H341" s="2">
        <f t="shared" si="40"/>
        <v>107653.82000000034</v>
      </c>
    </row>
    <row r="342" spans="1:8" x14ac:dyDescent="0.25">
      <c r="A342" s="1">
        <v>54149</v>
      </c>
      <c r="B342" s="2">
        <f t="shared" si="41"/>
        <v>13804</v>
      </c>
      <c r="C342" s="2">
        <f t="shared" si="35"/>
        <v>500</v>
      </c>
      <c r="D342" s="2">
        <f t="shared" si="36"/>
        <v>14304</v>
      </c>
      <c r="E342" s="2">
        <f t="shared" si="37"/>
        <v>286.08</v>
      </c>
      <c r="F342" s="2">
        <f t="shared" si="38"/>
        <v>214.56</v>
      </c>
      <c r="G342" s="2">
        <f t="shared" si="39"/>
        <v>0</v>
      </c>
      <c r="H342" s="2">
        <f t="shared" si="40"/>
        <v>108154.46000000034</v>
      </c>
    </row>
    <row r="343" spans="1:8" x14ac:dyDescent="0.25">
      <c r="A343" s="1">
        <v>54179</v>
      </c>
      <c r="B343" s="2">
        <f t="shared" si="41"/>
        <v>13804</v>
      </c>
      <c r="C343" s="2">
        <f t="shared" si="35"/>
        <v>0</v>
      </c>
      <c r="D343" s="2">
        <f t="shared" si="36"/>
        <v>13804</v>
      </c>
      <c r="E343" s="2">
        <f t="shared" si="37"/>
        <v>276.08</v>
      </c>
      <c r="F343" s="2">
        <f t="shared" si="38"/>
        <v>207.06</v>
      </c>
      <c r="G343" s="2">
        <f t="shared" si="39"/>
        <v>0</v>
      </c>
      <c r="H343" s="2">
        <f t="shared" si="40"/>
        <v>108637.60000000034</v>
      </c>
    </row>
    <row r="344" spans="1:8" x14ac:dyDescent="0.25">
      <c r="A344" s="1">
        <v>54210</v>
      </c>
      <c r="B344" s="2">
        <f t="shared" si="41"/>
        <v>13804</v>
      </c>
      <c r="C344" s="2">
        <f t="shared" si="35"/>
        <v>0</v>
      </c>
      <c r="D344" s="2">
        <f t="shared" si="36"/>
        <v>13804</v>
      </c>
      <c r="E344" s="2">
        <f t="shared" si="37"/>
        <v>276.08</v>
      </c>
      <c r="F344" s="2">
        <f t="shared" si="38"/>
        <v>207.06</v>
      </c>
      <c r="G344" s="2">
        <f t="shared" si="39"/>
        <v>0</v>
      </c>
      <c r="H344" s="2">
        <f t="shared" si="40"/>
        <v>109120.74000000034</v>
      </c>
    </row>
    <row r="345" spans="1:8" x14ac:dyDescent="0.25">
      <c r="A345" s="1">
        <v>54240</v>
      </c>
      <c r="B345" s="2">
        <f t="shared" si="41"/>
        <v>13804</v>
      </c>
      <c r="C345" s="2">
        <f t="shared" si="35"/>
        <v>500</v>
      </c>
      <c r="D345" s="2">
        <f t="shared" si="36"/>
        <v>14304</v>
      </c>
      <c r="E345" s="2">
        <f t="shared" si="37"/>
        <v>286.08</v>
      </c>
      <c r="F345" s="2">
        <f t="shared" si="38"/>
        <v>214.56</v>
      </c>
      <c r="G345" s="2">
        <f t="shared" si="39"/>
        <v>0</v>
      </c>
      <c r="H345" s="2">
        <f t="shared" si="40"/>
        <v>109621.38000000034</v>
      </c>
    </row>
    <row r="346" spans="1:8" x14ac:dyDescent="0.25">
      <c r="A346" s="1">
        <v>54271</v>
      </c>
      <c r="B346" s="2">
        <f t="shared" si="41"/>
        <v>13804</v>
      </c>
      <c r="C346" s="2">
        <f t="shared" si="35"/>
        <v>0</v>
      </c>
      <c r="D346" s="2">
        <f t="shared" si="36"/>
        <v>13804</v>
      </c>
      <c r="E346" s="2">
        <f t="shared" si="37"/>
        <v>276.08</v>
      </c>
      <c r="F346" s="2">
        <f t="shared" si="38"/>
        <v>207.06</v>
      </c>
      <c r="G346" s="2">
        <f t="shared" si="39"/>
        <v>0</v>
      </c>
      <c r="H346" s="2">
        <f t="shared" si="40"/>
        <v>110104.52000000034</v>
      </c>
    </row>
    <row r="347" spans="1:8" x14ac:dyDescent="0.25">
      <c r="A347" s="1">
        <v>54302</v>
      </c>
      <c r="B347" s="2">
        <f t="shared" si="41"/>
        <v>13804</v>
      </c>
      <c r="C347" s="2">
        <f t="shared" si="35"/>
        <v>0</v>
      </c>
      <c r="D347" s="2">
        <f t="shared" si="36"/>
        <v>13804</v>
      </c>
      <c r="E347" s="2">
        <f t="shared" si="37"/>
        <v>276.08</v>
      </c>
      <c r="F347" s="2">
        <f t="shared" si="38"/>
        <v>207.06</v>
      </c>
      <c r="G347" s="2">
        <f t="shared" si="39"/>
        <v>0</v>
      </c>
      <c r="H347" s="2">
        <f t="shared" si="40"/>
        <v>110587.66000000034</v>
      </c>
    </row>
    <row r="348" spans="1:8" x14ac:dyDescent="0.25">
      <c r="A348" s="1">
        <v>54332</v>
      </c>
      <c r="B348" s="2">
        <f t="shared" si="41"/>
        <v>13804</v>
      </c>
      <c r="C348" s="2">
        <f t="shared" si="35"/>
        <v>500</v>
      </c>
      <c r="D348" s="2">
        <f t="shared" si="36"/>
        <v>14304</v>
      </c>
      <c r="E348" s="2">
        <f t="shared" si="37"/>
        <v>286.08</v>
      </c>
      <c r="F348" s="2">
        <f t="shared" si="38"/>
        <v>214.56</v>
      </c>
      <c r="G348" s="2">
        <f t="shared" si="39"/>
        <v>0</v>
      </c>
      <c r="H348" s="2">
        <f t="shared" si="40"/>
        <v>111088.30000000034</v>
      </c>
    </row>
    <row r="349" spans="1:8" x14ac:dyDescent="0.25">
      <c r="A349" s="1">
        <v>54363</v>
      </c>
      <c r="B349" s="2">
        <f t="shared" si="41"/>
        <v>13804</v>
      </c>
      <c r="C349" s="2">
        <f t="shared" si="35"/>
        <v>0</v>
      </c>
      <c r="D349" s="2">
        <f t="shared" si="36"/>
        <v>13804</v>
      </c>
      <c r="E349" s="2">
        <f t="shared" si="37"/>
        <v>276.08</v>
      </c>
      <c r="F349" s="2">
        <f t="shared" si="38"/>
        <v>207.06</v>
      </c>
      <c r="G349" s="2">
        <f t="shared" si="39"/>
        <v>0</v>
      </c>
      <c r="H349" s="2">
        <f t="shared" si="40"/>
        <v>111571.44000000034</v>
      </c>
    </row>
    <row r="350" spans="1:8" x14ac:dyDescent="0.25">
      <c r="A350" s="1">
        <v>54393</v>
      </c>
      <c r="B350" s="2">
        <f t="shared" si="41"/>
        <v>13804</v>
      </c>
      <c r="C350" s="2">
        <f t="shared" si="35"/>
        <v>0</v>
      </c>
      <c r="D350" s="2">
        <f t="shared" si="36"/>
        <v>13804</v>
      </c>
      <c r="E350" s="2">
        <f t="shared" si="37"/>
        <v>276.08</v>
      </c>
      <c r="F350" s="2">
        <f t="shared" si="38"/>
        <v>207.06</v>
      </c>
      <c r="G350" s="2">
        <f t="shared" si="39"/>
        <v>240</v>
      </c>
      <c r="H350" s="2">
        <f t="shared" si="40"/>
        <v>112294.58000000034</v>
      </c>
    </row>
    <row r="351" spans="1:8" x14ac:dyDescent="0.25">
      <c r="A351" s="1">
        <v>54424</v>
      </c>
      <c r="B351" s="2">
        <f t="shared" si="41"/>
        <v>14150</v>
      </c>
      <c r="C351" s="2">
        <f t="shared" si="35"/>
        <v>500</v>
      </c>
      <c r="D351" s="2">
        <f t="shared" si="36"/>
        <v>14650</v>
      </c>
      <c r="E351" s="2">
        <f t="shared" si="37"/>
        <v>293</v>
      </c>
      <c r="F351" s="2">
        <f t="shared" si="38"/>
        <v>219.75</v>
      </c>
      <c r="G351" s="2">
        <f t="shared" si="39"/>
        <v>0</v>
      </c>
      <c r="H351" s="2">
        <f t="shared" si="40"/>
        <v>112807.33000000034</v>
      </c>
    </row>
    <row r="352" spans="1:8" x14ac:dyDescent="0.25">
      <c r="A352" s="1">
        <v>54455</v>
      </c>
      <c r="B352" s="2">
        <f t="shared" si="41"/>
        <v>14150</v>
      </c>
      <c r="C352" s="2">
        <f t="shared" si="35"/>
        <v>0</v>
      </c>
      <c r="D352" s="2">
        <f t="shared" si="36"/>
        <v>14150</v>
      </c>
      <c r="E352" s="2">
        <f t="shared" si="37"/>
        <v>283</v>
      </c>
      <c r="F352" s="2">
        <f t="shared" si="38"/>
        <v>212.25</v>
      </c>
      <c r="G352" s="2">
        <f t="shared" si="39"/>
        <v>0</v>
      </c>
      <c r="H352" s="2">
        <f t="shared" si="40"/>
        <v>113302.58000000034</v>
      </c>
    </row>
    <row r="353" spans="1:8" x14ac:dyDescent="0.25">
      <c r="A353" s="1">
        <v>54483</v>
      </c>
      <c r="B353" s="2">
        <f t="shared" si="41"/>
        <v>14150</v>
      </c>
      <c r="C353" s="2">
        <f t="shared" si="35"/>
        <v>0</v>
      </c>
      <c r="D353" s="2">
        <f t="shared" si="36"/>
        <v>14150</v>
      </c>
      <c r="E353" s="2">
        <f t="shared" si="37"/>
        <v>283</v>
      </c>
      <c r="F353" s="2">
        <f t="shared" si="38"/>
        <v>212.25</v>
      </c>
      <c r="G353" s="2">
        <f t="shared" si="39"/>
        <v>0</v>
      </c>
      <c r="H353" s="2">
        <f t="shared" si="40"/>
        <v>113797.83000000034</v>
      </c>
    </row>
    <row r="354" spans="1:8" x14ac:dyDescent="0.25">
      <c r="A354" s="1">
        <v>54514</v>
      </c>
      <c r="B354" s="2">
        <f t="shared" si="41"/>
        <v>14150</v>
      </c>
      <c r="C354" s="2">
        <f t="shared" si="35"/>
        <v>500</v>
      </c>
      <c r="D354" s="2">
        <f t="shared" si="36"/>
        <v>14650</v>
      </c>
      <c r="E354" s="2">
        <f t="shared" si="37"/>
        <v>293</v>
      </c>
      <c r="F354" s="2">
        <f t="shared" si="38"/>
        <v>219.75</v>
      </c>
      <c r="G354" s="2">
        <f t="shared" si="39"/>
        <v>0</v>
      </c>
      <c r="H354" s="2">
        <f t="shared" si="40"/>
        <v>114310.58000000034</v>
      </c>
    </row>
    <row r="355" spans="1:8" x14ac:dyDescent="0.25">
      <c r="A355" s="1">
        <v>54544</v>
      </c>
      <c r="B355" s="2">
        <f t="shared" si="41"/>
        <v>14150</v>
      </c>
      <c r="C355" s="2">
        <f t="shared" si="35"/>
        <v>0</v>
      </c>
      <c r="D355" s="2">
        <f t="shared" si="36"/>
        <v>14150</v>
      </c>
      <c r="E355" s="2">
        <f t="shared" si="37"/>
        <v>283</v>
      </c>
      <c r="F355" s="2">
        <f t="shared" si="38"/>
        <v>212.25</v>
      </c>
      <c r="G355" s="2">
        <f t="shared" si="39"/>
        <v>0</v>
      </c>
      <c r="H355" s="2">
        <f t="shared" si="40"/>
        <v>114805.83000000034</v>
      </c>
    </row>
    <row r="356" spans="1:8" x14ac:dyDescent="0.25">
      <c r="A356" s="1">
        <v>54575</v>
      </c>
      <c r="B356" s="2">
        <f t="shared" si="41"/>
        <v>14150</v>
      </c>
      <c r="C356" s="2">
        <f t="shared" si="35"/>
        <v>0</v>
      </c>
      <c r="D356" s="2">
        <f t="shared" si="36"/>
        <v>14150</v>
      </c>
      <c r="E356" s="2">
        <f t="shared" si="37"/>
        <v>283</v>
      </c>
      <c r="F356" s="2">
        <f t="shared" si="38"/>
        <v>212.25</v>
      </c>
      <c r="G356" s="2">
        <f t="shared" si="39"/>
        <v>0</v>
      </c>
      <c r="H356" s="2">
        <f t="shared" si="40"/>
        <v>115301.08000000034</v>
      </c>
    </row>
    <row r="357" spans="1:8" x14ac:dyDescent="0.25">
      <c r="A357" s="1">
        <v>54605</v>
      </c>
      <c r="B357" s="2">
        <f t="shared" si="41"/>
        <v>14150</v>
      </c>
      <c r="C357" s="2">
        <f t="shared" si="35"/>
        <v>500</v>
      </c>
      <c r="D357" s="2">
        <f t="shared" si="36"/>
        <v>14650</v>
      </c>
      <c r="E357" s="2">
        <f t="shared" si="37"/>
        <v>293</v>
      </c>
      <c r="F357" s="2">
        <f t="shared" si="38"/>
        <v>219.75</v>
      </c>
      <c r="G357" s="2">
        <f t="shared" si="39"/>
        <v>0</v>
      </c>
      <c r="H357" s="2">
        <f t="shared" si="40"/>
        <v>115813.83000000034</v>
      </c>
    </row>
    <row r="358" spans="1:8" x14ac:dyDescent="0.25">
      <c r="A358" s="1">
        <v>54636</v>
      </c>
      <c r="B358" s="2">
        <f t="shared" si="41"/>
        <v>14150</v>
      </c>
      <c r="C358" s="2">
        <f t="shared" si="35"/>
        <v>0</v>
      </c>
      <c r="D358" s="2">
        <f t="shared" si="36"/>
        <v>14150</v>
      </c>
      <c r="E358" s="2">
        <f t="shared" si="37"/>
        <v>283</v>
      </c>
      <c r="F358" s="2">
        <f t="shared" si="38"/>
        <v>212.25</v>
      </c>
      <c r="G358" s="2">
        <f t="shared" si="39"/>
        <v>0</v>
      </c>
      <c r="H358" s="2">
        <f t="shared" si="40"/>
        <v>116309.08000000034</v>
      </c>
    </row>
    <row r="359" spans="1:8" x14ac:dyDescent="0.25">
      <c r="A359" s="1">
        <v>54667</v>
      </c>
      <c r="B359" s="2">
        <f t="shared" si="41"/>
        <v>14150</v>
      </c>
      <c r="C359" s="2">
        <f t="shared" si="35"/>
        <v>0</v>
      </c>
      <c r="D359" s="2">
        <f t="shared" si="36"/>
        <v>14150</v>
      </c>
      <c r="E359" s="2">
        <f t="shared" si="37"/>
        <v>283</v>
      </c>
      <c r="F359" s="2">
        <f t="shared" si="38"/>
        <v>212.25</v>
      </c>
      <c r="G359" s="2">
        <f t="shared" si="39"/>
        <v>0</v>
      </c>
      <c r="H359" s="2">
        <f t="shared" si="40"/>
        <v>116804.33000000034</v>
      </c>
    </row>
    <row r="360" spans="1:8" x14ac:dyDescent="0.25">
      <c r="A360" s="1">
        <v>54697</v>
      </c>
      <c r="B360" s="2">
        <f t="shared" si="41"/>
        <v>14150</v>
      </c>
      <c r="C360" s="2">
        <f t="shared" si="35"/>
        <v>500</v>
      </c>
      <c r="D360" s="2">
        <f t="shared" si="36"/>
        <v>14650</v>
      </c>
      <c r="E360" s="2">
        <f t="shared" si="37"/>
        <v>293</v>
      </c>
      <c r="F360" s="2">
        <f t="shared" si="38"/>
        <v>219.75</v>
      </c>
      <c r="G360" s="2">
        <f t="shared" si="39"/>
        <v>0</v>
      </c>
      <c r="H360" s="2">
        <f t="shared" si="40"/>
        <v>117317.08000000034</v>
      </c>
    </row>
    <row r="361" spans="1:8" x14ac:dyDescent="0.25">
      <c r="A361" s="1">
        <v>54728</v>
      </c>
      <c r="B361" s="2">
        <f t="shared" si="41"/>
        <v>14150</v>
      </c>
      <c r="C361" s="2">
        <f t="shared" si="35"/>
        <v>0</v>
      </c>
      <c r="D361" s="2">
        <f t="shared" si="36"/>
        <v>14150</v>
      </c>
      <c r="E361" s="2">
        <f t="shared" si="37"/>
        <v>283</v>
      </c>
      <c r="F361" s="2">
        <f t="shared" si="38"/>
        <v>212.25</v>
      </c>
      <c r="G361" s="2">
        <f t="shared" si="39"/>
        <v>0</v>
      </c>
      <c r="H361" s="2">
        <f t="shared" si="40"/>
        <v>117812.33000000034</v>
      </c>
    </row>
    <row r="362" spans="1:8" x14ac:dyDescent="0.25">
      <c r="A362" s="1">
        <v>54758</v>
      </c>
      <c r="B362" s="2">
        <f t="shared" si="41"/>
        <v>14150</v>
      </c>
      <c r="C362" s="2">
        <f t="shared" si="35"/>
        <v>0</v>
      </c>
      <c r="D362" s="2">
        <f t="shared" si="36"/>
        <v>14150</v>
      </c>
      <c r="E362" s="2">
        <f t="shared" si="37"/>
        <v>283</v>
      </c>
      <c r="F362" s="2">
        <f t="shared" si="38"/>
        <v>212.25</v>
      </c>
      <c r="G362" s="2">
        <f t="shared" si="39"/>
        <v>240</v>
      </c>
      <c r="H362" s="2">
        <f t="shared" si="40"/>
        <v>118547.58000000034</v>
      </c>
    </row>
    <row r="363" spans="1:8" x14ac:dyDescent="0.25">
      <c r="A363" s="1">
        <v>54789</v>
      </c>
      <c r="B363" s="2">
        <f t="shared" si="41"/>
        <v>14504</v>
      </c>
      <c r="C363" s="2">
        <f t="shared" si="35"/>
        <v>500</v>
      </c>
      <c r="D363" s="2">
        <f t="shared" si="36"/>
        <v>15004</v>
      </c>
      <c r="E363" s="2">
        <f t="shared" si="37"/>
        <v>300.08</v>
      </c>
      <c r="F363" s="2">
        <f t="shared" si="38"/>
        <v>225.06</v>
      </c>
      <c r="G363" s="2">
        <f t="shared" si="39"/>
        <v>0</v>
      </c>
      <c r="H363" s="2">
        <f t="shared" si="40"/>
        <v>119072.72000000034</v>
      </c>
    </row>
    <row r="364" spans="1:8" x14ac:dyDescent="0.25">
      <c r="A364" s="1">
        <v>54820</v>
      </c>
      <c r="B364" s="2">
        <f t="shared" si="41"/>
        <v>14504</v>
      </c>
      <c r="C364" s="2">
        <f t="shared" si="35"/>
        <v>0</v>
      </c>
      <c r="D364" s="2">
        <f t="shared" si="36"/>
        <v>14504</v>
      </c>
      <c r="E364" s="2">
        <f t="shared" si="37"/>
        <v>290.08</v>
      </c>
      <c r="F364" s="2">
        <f t="shared" si="38"/>
        <v>217.56</v>
      </c>
      <c r="G364" s="2">
        <f t="shared" si="39"/>
        <v>0</v>
      </c>
      <c r="H364" s="2">
        <f t="shared" si="40"/>
        <v>119580.36000000034</v>
      </c>
    </row>
    <row r="365" spans="1:8" x14ac:dyDescent="0.25">
      <c r="A365" s="1">
        <v>54848</v>
      </c>
      <c r="B365" s="2">
        <f t="shared" si="41"/>
        <v>14504</v>
      </c>
      <c r="C365" s="2">
        <f t="shared" si="35"/>
        <v>0</v>
      </c>
      <c r="D365" s="2">
        <f t="shared" si="36"/>
        <v>14504</v>
      </c>
      <c r="E365" s="2">
        <f t="shared" si="37"/>
        <v>290.08</v>
      </c>
      <c r="F365" s="2">
        <f t="shared" si="38"/>
        <v>217.56</v>
      </c>
      <c r="G365" s="2">
        <f t="shared" si="39"/>
        <v>0</v>
      </c>
      <c r="H365" s="2">
        <f t="shared" si="40"/>
        <v>120088.00000000033</v>
      </c>
    </row>
    <row r="366" spans="1:8" x14ac:dyDescent="0.25">
      <c r="A366" s="1">
        <v>54879</v>
      </c>
      <c r="B366" s="2">
        <f t="shared" si="41"/>
        <v>14504</v>
      </c>
      <c r="C366" s="2">
        <f t="shared" si="35"/>
        <v>500</v>
      </c>
      <c r="D366" s="2">
        <f t="shared" si="36"/>
        <v>15004</v>
      </c>
      <c r="E366" s="2">
        <f t="shared" si="37"/>
        <v>300.08</v>
      </c>
      <c r="F366" s="2">
        <f t="shared" si="38"/>
        <v>225.06</v>
      </c>
      <c r="G366" s="2">
        <f t="shared" si="39"/>
        <v>0</v>
      </c>
      <c r="H366" s="2">
        <f t="shared" si="40"/>
        <v>120613.14000000033</v>
      </c>
    </row>
    <row r="367" spans="1:8" x14ac:dyDescent="0.25">
      <c r="A367" s="1">
        <v>54909</v>
      </c>
      <c r="B367" s="2">
        <f t="shared" si="41"/>
        <v>14504</v>
      </c>
      <c r="C367" s="2">
        <f t="shared" si="35"/>
        <v>0</v>
      </c>
      <c r="D367" s="2">
        <f t="shared" si="36"/>
        <v>14504</v>
      </c>
      <c r="E367" s="2">
        <f t="shared" si="37"/>
        <v>290.08</v>
      </c>
      <c r="F367" s="2">
        <f t="shared" si="38"/>
        <v>217.56</v>
      </c>
      <c r="G367" s="2">
        <f t="shared" si="39"/>
        <v>0</v>
      </c>
      <c r="H367" s="2">
        <f t="shared" si="40"/>
        <v>121120.78000000033</v>
      </c>
    </row>
    <row r="368" spans="1:8" x14ac:dyDescent="0.25">
      <c r="A368" s="1">
        <v>54940</v>
      </c>
      <c r="B368" s="2">
        <f t="shared" si="41"/>
        <v>14504</v>
      </c>
      <c r="C368" s="2">
        <f t="shared" si="35"/>
        <v>0</v>
      </c>
      <c r="D368" s="2">
        <f t="shared" si="36"/>
        <v>14504</v>
      </c>
      <c r="E368" s="2">
        <f t="shared" si="37"/>
        <v>290.08</v>
      </c>
      <c r="F368" s="2">
        <f t="shared" si="38"/>
        <v>217.56</v>
      </c>
      <c r="G368" s="2">
        <f t="shared" si="39"/>
        <v>0</v>
      </c>
      <c r="H368" s="2">
        <f t="shared" si="40"/>
        <v>121628.42000000033</v>
      </c>
    </row>
    <row r="369" spans="1:8" x14ac:dyDescent="0.25">
      <c r="A369" s="1">
        <v>54970</v>
      </c>
      <c r="B369" s="2">
        <f t="shared" si="41"/>
        <v>14504</v>
      </c>
      <c r="C369" s="2">
        <f t="shared" si="35"/>
        <v>500</v>
      </c>
      <c r="D369" s="2">
        <f t="shared" si="36"/>
        <v>15004</v>
      </c>
      <c r="E369" s="2">
        <f t="shared" si="37"/>
        <v>300.08</v>
      </c>
      <c r="F369" s="2">
        <f t="shared" si="38"/>
        <v>225.06</v>
      </c>
      <c r="G369" s="2">
        <f t="shared" si="39"/>
        <v>0</v>
      </c>
      <c r="H369" s="2">
        <f t="shared" si="40"/>
        <v>122153.56000000033</v>
      </c>
    </row>
    <row r="370" spans="1:8" x14ac:dyDescent="0.25">
      <c r="A370" s="1">
        <v>55001</v>
      </c>
      <c r="B370" s="2">
        <f t="shared" si="41"/>
        <v>14504</v>
      </c>
      <c r="C370" s="2">
        <f t="shared" si="35"/>
        <v>0</v>
      </c>
      <c r="D370" s="2">
        <f t="shared" si="36"/>
        <v>14504</v>
      </c>
      <c r="E370" s="2">
        <f t="shared" si="37"/>
        <v>290.08</v>
      </c>
      <c r="F370" s="2">
        <f t="shared" si="38"/>
        <v>217.56</v>
      </c>
      <c r="G370" s="2">
        <f t="shared" si="39"/>
        <v>0</v>
      </c>
      <c r="H370" s="2">
        <f t="shared" si="40"/>
        <v>122661.20000000033</v>
      </c>
    </row>
    <row r="371" spans="1:8" x14ac:dyDescent="0.25">
      <c r="A371" s="1">
        <v>55032</v>
      </c>
      <c r="B371" s="2">
        <f t="shared" si="41"/>
        <v>14504</v>
      </c>
      <c r="C371" s="2">
        <f t="shared" si="35"/>
        <v>0</v>
      </c>
      <c r="D371" s="2">
        <f t="shared" si="36"/>
        <v>14504</v>
      </c>
      <c r="E371" s="2">
        <f t="shared" si="37"/>
        <v>290.08</v>
      </c>
      <c r="F371" s="2">
        <f t="shared" si="38"/>
        <v>217.56</v>
      </c>
      <c r="G371" s="2">
        <f t="shared" si="39"/>
        <v>0</v>
      </c>
      <c r="H371" s="2">
        <f t="shared" si="40"/>
        <v>123168.84000000033</v>
      </c>
    </row>
    <row r="372" spans="1:8" x14ac:dyDescent="0.25">
      <c r="A372" s="1">
        <v>55062</v>
      </c>
      <c r="B372" s="2">
        <f t="shared" si="41"/>
        <v>14504</v>
      </c>
      <c r="C372" s="2">
        <f t="shared" si="35"/>
        <v>500</v>
      </c>
      <c r="D372" s="2">
        <f t="shared" si="36"/>
        <v>15004</v>
      </c>
      <c r="E372" s="2">
        <f t="shared" si="37"/>
        <v>300.08</v>
      </c>
      <c r="F372" s="2">
        <f t="shared" si="38"/>
        <v>225.06</v>
      </c>
      <c r="G372" s="2">
        <f t="shared" si="39"/>
        <v>0</v>
      </c>
      <c r="H372" s="2">
        <f t="shared" si="40"/>
        <v>123693.98000000033</v>
      </c>
    </row>
    <row r="373" spans="1:8" x14ac:dyDescent="0.25">
      <c r="A373" s="1">
        <v>55093</v>
      </c>
      <c r="B373" s="2">
        <f t="shared" si="41"/>
        <v>14504</v>
      </c>
      <c r="C373" s="2">
        <f t="shared" si="35"/>
        <v>0</v>
      </c>
      <c r="D373" s="2">
        <f t="shared" si="36"/>
        <v>14504</v>
      </c>
      <c r="E373" s="2">
        <f t="shared" si="37"/>
        <v>290.08</v>
      </c>
      <c r="F373" s="2">
        <f t="shared" si="38"/>
        <v>217.56</v>
      </c>
      <c r="G373" s="2">
        <f t="shared" si="39"/>
        <v>0</v>
      </c>
      <c r="H373" s="2">
        <f t="shared" si="40"/>
        <v>124201.62000000033</v>
      </c>
    </row>
    <row r="374" spans="1:8" x14ac:dyDescent="0.25">
      <c r="A374" s="1">
        <v>55123</v>
      </c>
      <c r="B374" s="2">
        <f t="shared" si="41"/>
        <v>14504</v>
      </c>
      <c r="C374" s="2">
        <f t="shared" si="35"/>
        <v>0</v>
      </c>
      <c r="D374" s="2">
        <f t="shared" si="36"/>
        <v>14504</v>
      </c>
      <c r="E374" s="2">
        <f t="shared" si="37"/>
        <v>290.08</v>
      </c>
      <c r="F374" s="2">
        <f t="shared" si="38"/>
        <v>217.56</v>
      </c>
      <c r="G374" s="2">
        <f t="shared" si="39"/>
        <v>240</v>
      </c>
      <c r="H374" s="2">
        <f t="shared" si="40"/>
        <v>124949.26000000033</v>
      </c>
    </row>
    <row r="375" spans="1:8" x14ac:dyDescent="0.25">
      <c r="A375" s="1">
        <v>55154</v>
      </c>
      <c r="B375" s="2">
        <f t="shared" si="41"/>
        <v>14867</v>
      </c>
      <c r="C375" s="2">
        <f t="shared" si="35"/>
        <v>500</v>
      </c>
      <c r="D375" s="2">
        <f t="shared" si="36"/>
        <v>15367</v>
      </c>
      <c r="E375" s="2">
        <f t="shared" si="37"/>
        <v>307.33999999999997</v>
      </c>
      <c r="F375" s="2">
        <f t="shared" si="38"/>
        <v>230.51</v>
      </c>
      <c r="G375" s="2">
        <f t="shared" si="39"/>
        <v>0</v>
      </c>
      <c r="H375" s="2">
        <f t="shared" si="40"/>
        <v>125487.11000000032</v>
      </c>
    </row>
    <row r="376" spans="1:8" x14ac:dyDescent="0.25">
      <c r="A376" s="1">
        <v>55185</v>
      </c>
      <c r="B376" s="2">
        <f t="shared" si="41"/>
        <v>14867</v>
      </c>
      <c r="C376" s="2">
        <f t="shared" si="35"/>
        <v>0</v>
      </c>
      <c r="D376" s="2">
        <f t="shared" si="36"/>
        <v>14867</v>
      </c>
      <c r="E376" s="2">
        <f t="shared" si="37"/>
        <v>297.33999999999997</v>
      </c>
      <c r="F376" s="2">
        <f t="shared" si="38"/>
        <v>223.01</v>
      </c>
      <c r="G376" s="2">
        <f t="shared" si="39"/>
        <v>0</v>
      </c>
      <c r="H376" s="2">
        <f t="shared" si="40"/>
        <v>126007.46000000031</v>
      </c>
    </row>
    <row r="377" spans="1:8" x14ac:dyDescent="0.25">
      <c r="A377" s="1">
        <v>55213</v>
      </c>
      <c r="B377" s="2">
        <f t="shared" si="41"/>
        <v>14867</v>
      </c>
      <c r="C377" s="2">
        <f t="shared" si="35"/>
        <v>0</v>
      </c>
      <c r="D377" s="2">
        <f t="shared" si="36"/>
        <v>14867</v>
      </c>
      <c r="E377" s="2">
        <f t="shared" si="37"/>
        <v>297.33999999999997</v>
      </c>
      <c r="F377" s="2">
        <f t="shared" si="38"/>
        <v>223.01</v>
      </c>
      <c r="G377" s="2">
        <f t="shared" si="39"/>
        <v>0</v>
      </c>
      <c r="H377" s="2">
        <f t="shared" si="40"/>
        <v>126527.8100000003</v>
      </c>
    </row>
    <row r="378" spans="1:8" x14ac:dyDescent="0.25">
      <c r="A378" s="1">
        <v>55244</v>
      </c>
      <c r="B378" s="2">
        <f t="shared" si="41"/>
        <v>14867</v>
      </c>
      <c r="C378" s="2">
        <f t="shared" si="35"/>
        <v>500</v>
      </c>
      <c r="D378" s="2">
        <f t="shared" si="36"/>
        <v>15367</v>
      </c>
      <c r="E378" s="2">
        <f t="shared" si="37"/>
        <v>307.33999999999997</v>
      </c>
      <c r="F378" s="2">
        <f t="shared" si="38"/>
        <v>230.51</v>
      </c>
      <c r="G378" s="2">
        <f t="shared" si="39"/>
        <v>0</v>
      </c>
      <c r="H378" s="2">
        <f t="shared" si="40"/>
        <v>127065.66000000029</v>
      </c>
    </row>
    <row r="379" spans="1:8" x14ac:dyDescent="0.25">
      <c r="A379" s="1">
        <v>55274</v>
      </c>
      <c r="B379" s="2">
        <f t="shared" si="41"/>
        <v>14867</v>
      </c>
      <c r="C379" s="2">
        <f t="shared" si="35"/>
        <v>0</v>
      </c>
      <c r="D379" s="2">
        <f t="shared" si="36"/>
        <v>14867</v>
      </c>
      <c r="E379" s="2">
        <f t="shared" si="37"/>
        <v>297.33999999999997</v>
      </c>
      <c r="F379" s="2">
        <f t="shared" si="38"/>
        <v>223.01</v>
      </c>
      <c r="G379" s="2">
        <f t="shared" si="39"/>
        <v>0</v>
      </c>
      <c r="H379" s="2">
        <f t="shared" si="40"/>
        <v>127586.01000000029</v>
      </c>
    </row>
    <row r="380" spans="1:8" x14ac:dyDescent="0.25">
      <c r="A380" s="1">
        <v>55305</v>
      </c>
      <c r="B380" s="2">
        <f t="shared" si="41"/>
        <v>14867</v>
      </c>
      <c r="C380" s="2">
        <f t="shared" si="35"/>
        <v>0</v>
      </c>
      <c r="D380" s="2">
        <f t="shared" si="36"/>
        <v>14867</v>
      </c>
      <c r="E380" s="2">
        <f t="shared" si="37"/>
        <v>297.33999999999997</v>
      </c>
      <c r="F380" s="2">
        <f t="shared" si="38"/>
        <v>223.01</v>
      </c>
      <c r="G380" s="2">
        <f t="shared" si="39"/>
        <v>0</v>
      </c>
      <c r="H380" s="2">
        <f t="shared" si="40"/>
        <v>128106.36000000028</v>
      </c>
    </row>
    <row r="381" spans="1:8" x14ac:dyDescent="0.25">
      <c r="A381" s="1">
        <v>55335</v>
      </c>
      <c r="B381" s="2">
        <f t="shared" si="41"/>
        <v>14867</v>
      </c>
      <c r="C381" s="2">
        <f t="shared" si="35"/>
        <v>500</v>
      </c>
      <c r="D381" s="2">
        <f t="shared" si="36"/>
        <v>15367</v>
      </c>
      <c r="E381" s="2">
        <f t="shared" si="37"/>
        <v>307.33999999999997</v>
      </c>
      <c r="F381" s="2">
        <f t="shared" si="38"/>
        <v>230.51</v>
      </c>
      <c r="G381" s="2">
        <f t="shared" si="39"/>
        <v>0</v>
      </c>
      <c r="H381" s="2">
        <f t="shared" si="40"/>
        <v>128644.21000000027</v>
      </c>
    </row>
    <row r="382" spans="1:8" x14ac:dyDescent="0.25">
      <c r="A382" s="1">
        <v>55366</v>
      </c>
      <c r="B382" s="2">
        <f t="shared" si="41"/>
        <v>14867</v>
      </c>
      <c r="C382" s="2">
        <f t="shared" si="35"/>
        <v>0</v>
      </c>
      <c r="D382" s="2">
        <f t="shared" si="36"/>
        <v>14867</v>
      </c>
      <c r="E382" s="2">
        <f t="shared" si="37"/>
        <v>297.33999999999997</v>
      </c>
      <c r="F382" s="2">
        <f t="shared" si="38"/>
        <v>223.01</v>
      </c>
      <c r="G382" s="2">
        <f t="shared" si="39"/>
        <v>0</v>
      </c>
      <c r="H382" s="2">
        <f t="shared" si="40"/>
        <v>129164.56000000026</v>
      </c>
    </row>
    <row r="383" spans="1:8" x14ac:dyDescent="0.25">
      <c r="A383" s="1">
        <v>55397</v>
      </c>
      <c r="B383" s="2">
        <f t="shared" si="41"/>
        <v>14867</v>
      </c>
      <c r="C383" s="2">
        <f t="shared" si="35"/>
        <v>0</v>
      </c>
      <c r="D383" s="2">
        <f t="shared" si="36"/>
        <v>14867</v>
      </c>
      <c r="E383" s="2">
        <f t="shared" si="37"/>
        <v>297.33999999999997</v>
      </c>
      <c r="F383" s="2">
        <f t="shared" si="38"/>
        <v>223.01</v>
      </c>
      <c r="G383" s="2">
        <f t="shared" si="39"/>
        <v>0</v>
      </c>
      <c r="H383" s="2">
        <f t="shared" si="40"/>
        <v>129684.91000000025</v>
      </c>
    </row>
    <row r="384" spans="1:8" x14ac:dyDescent="0.25">
      <c r="A384" s="1">
        <v>55427</v>
      </c>
      <c r="B384" s="2">
        <f t="shared" si="41"/>
        <v>14867</v>
      </c>
      <c r="C384" s="2">
        <f t="shared" si="35"/>
        <v>500</v>
      </c>
      <c r="D384" s="2">
        <f t="shared" si="36"/>
        <v>15367</v>
      </c>
      <c r="E384" s="2">
        <f t="shared" si="37"/>
        <v>307.33999999999997</v>
      </c>
      <c r="F384" s="2">
        <f t="shared" si="38"/>
        <v>230.51</v>
      </c>
      <c r="G384" s="2">
        <f t="shared" si="39"/>
        <v>0</v>
      </c>
      <c r="H384" s="2">
        <f t="shared" si="40"/>
        <v>130222.76000000024</v>
      </c>
    </row>
    <row r="385" spans="1:8" x14ac:dyDescent="0.25">
      <c r="A385" s="1">
        <v>55458</v>
      </c>
      <c r="B385" s="2">
        <f t="shared" si="41"/>
        <v>14867</v>
      </c>
      <c r="C385" s="2">
        <f t="shared" si="35"/>
        <v>0</v>
      </c>
      <c r="D385" s="2">
        <f t="shared" si="36"/>
        <v>14867</v>
      </c>
      <c r="E385" s="2">
        <f t="shared" si="37"/>
        <v>297.33999999999997</v>
      </c>
      <c r="F385" s="2">
        <f t="shared" si="38"/>
        <v>223.01</v>
      </c>
      <c r="G385" s="2">
        <f t="shared" si="39"/>
        <v>0</v>
      </c>
      <c r="H385" s="2">
        <f t="shared" si="40"/>
        <v>130743.11000000023</v>
      </c>
    </row>
    <row r="386" spans="1:8" x14ac:dyDescent="0.25">
      <c r="A386" s="1">
        <v>55488</v>
      </c>
      <c r="B386" s="2">
        <f t="shared" si="41"/>
        <v>14867</v>
      </c>
      <c r="C386" s="2">
        <f t="shared" si="35"/>
        <v>0</v>
      </c>
      <c r="D386" s="2">
        <f t="shared" si="36"/>
        <v>14867</v>
      </c>
      <c r="E386" s="2">
        <f t="shared" si="37"/>
        <v>297.33999999999997</v>
      </c>
      <c r="F386" s="2">
        <f t="shared" si="38"/>
        <v>223.01</v>
      </c>
      <c r="G386" s="2">
        <f t="shared" si="39"/>
        <v>240</v>
      </c>
      <c r="H386" s="2">
        <f t="shared" si="40"/>
        <v>131503.46000000022</v>
      </c>
    </row>
    <row r="387" spans="1:8" x14ac:dyDescent="0.25">
      <c r="A387" s="1">
        <v>55519</v>
      </c>
      <c r="B387" s="2">
        <f t="shared" si="41"/>
        <v>15739</v>
      </c>
      <c r="C387" s="2">
        <f t="shared" si="35"/>
        <v>500</v>
      </c>
      <c r="D387" s="2">
        <f t="shared" si="36"/>
        <v>16239</v>
      </c>
      <c r="E387" s="2">
        <f t="shared" si="37"/>
        <v>324.77999999999997</v>
      </c>
      <c r="F387" s="2">
        <f t="shared" si="38"/>
        <v>243.59</v>
      </c>
      <c r="G387" s="2">
        <f t="shared" si="39"/>
        <v>0</v>
      </c>
      <c r="H387" s="2">
        <f t="shared" si="40"/>
        <v>132071.83000000022</v>
      </c>
    </row>
    <row r="388" spans="1:8" x14ac:dyDescent="0.25">
      <c r="A388" s="1">
        <v>55550</v>
      </c>
      <c r="B388" s="2">
        <f t="shared" si="41"/>
        <v>15739</v>
      </c>
      <c r="C388" s="2">
        <f t="shared" ref="C388:C451" si="42">IF(AND(OR(MONTH(A388)=1,MONTH(A388)=4,MONTH(A388)=7,MONTH(A388)=10),DATE(2020,1,1)&lt;&gt;A388),500,0)</f>
        <v>0</v>
      </c>
      <c r="D388" s="2">
        <f t="shared" ref="D388:D451" si="43">B388+C388</f>
        <v>15739</v>
      </c>
      <c r="E388" s="2">
        <f t="shared" ref="E388:E451" si="44">ROUND(D388*0.02,2)</f>
        <v>314.77999999999997</v>
      </c>
      <c r="F388" s="2">
        <f t="shared" ref="F388:F451" si="45">ROUND(D388*0.015,2)</f>
        <v>236.09</v>
      </c>
      <c r="G388" s="2">
        <f t="shared" ref="G388:G451" si="46">IF(MONTH(A388)=12,240,0)</f>
        <v>0</v>
      </c>
      <c r="H388" s="2">
        <f t="shared" ref="H388:H451" si="47">H387+E388+F388+G388</f>
        <v>132622.70000000022</v>
      </c>
    </row>
    <row r="389" spans="1:8" x14ac:dyDescent="0.25">
      <c r="A389" s="1">
        <v>55579</v>
      </c>
      <c r="B389" s="2">
        <f t="shared" ref="B389:B452" si="48">IF(YEAR($A389) &gt; YEAR($A388),IF(AND(MOD(YEAR(A389),4)=0,YEAR(A389)&lt;&gt;2020),ROUNDUP($B388*1.025,0)+500,ROUNDUP($B388*1.025,0)),$B388)</f>
        <v>15739</v>
      </c>
      <c r="C389" s="2">
        <f t="shared" si="42"/>
        <v>0</v>
      </c>
      <c r="D389" s="2">
        <f t="shared" si="43"/>
        <v>15739</v>
      </c>
      <c r="E389" s="2">
        <f t="shared" si="44"/>
        <v>314.77999999999997</v>
      </c>
      <c r="F389" s="2">
        <f t="shared" si="45"/>
        <v>236.09</v>
      </c>
      <c r="G389" s="2">
        <f t="shared" si="46"/>
        <v>0</v>
      </c>
      <c r="H389" s="2">
        <f t="shared" si="47"/>
        <v>133173.57000000021</v>
      </c>
    </row>
    <row r="390" spans="1:8" x14ac:dyDescent="0.25">
      <c r="A390" s="1">
        <v>55610</v>
      </c>
      <c r="B390" s="2">
        <f t="shared" si="48"/>
        <v>15739</v>
      </c>
      <c r="C390" s="2">
        <f t="shared" si="42"/>
        <v>500</v>
      </c>
      <c r="D390" s="2">
        <f t="shared" si="43"/>
        <v>16239</v>
      </c>
      <c r="E390" s="2">
        <f t="shared" si="44"/>
        <v>324.77999999999997</v>
      </c>
      <c r="F390" s="2">
        <f t="shared" si="45"/>
        <v>243.59</v>
      </c>
      <c r="G390" s="2">
        <f t="shared" si="46"/>
        <v>0</v>
      </c>
      <c r="H390" s="2">
        <f t="shared" si="47"/>
        <v>133741.94000000021</v>
      </c>
    </row>
    <row r="391" spans="1:8" x14ac:dyDescent="0.25">
      <c r="A391" s="1">
        <v>55640</v>
      </c>
      <c r="B391" s="2">
        <f t="shared" si="48"/>
        <v>15739</v>
      </c>
      <c r="C391" s="2">
        <f t="shared" si="42"/>
        <v>0</v>
      </c>
      <c r="D391" s="2">
        <f t="shared" si="43"/>
        <v>15739</v>
      </c>
      <c r="E391" s="2">
        <f t="shared" si="44"/>
        <v>314.77999999999997</v>
      </c>
      <c r="F391" s="2">
        <f t="shared" si="45"/>
        <v>236.09</v>
      </c>
      <c r="G391" s="2">
        <f t="shared" si="46"/>
        <v>0</v>
      </c>
      <c r="H391" s="2">
        <f t="shared" si="47"/>
        <v>134292.8100000002</v>
      </c>
    </row>
    <row r="392" spans="1:8" x14ac:dyDescent="0.25">
      <c r="A392" s="1">
        <v>55671</v>
      </c>
      <c r="B392" s="2">
        <f t="shared" si="48"/>
        <v>15739</v>
      </c>
      <c r="C392" s="2">
        <f t="shared" si="42"/>
        <v>0</v>
      </c>
      <c r="D392" s="2">
        <f t="shared" si="43"/>
        <v>15739</v>
      </c>
      <c r="E392" s="2">
        <f t="shared" si="44"/>
        <v>314.77999999999997</v>
      </c>
      <c r="F392" s="2">
        <f t="shared" si="45"/>
        <v>236.09</v>
      </c>
      <c r="G392" s="2">
        <f t="shared" si="46"/>
        <v>0</v>
      </c>
      <c r="H392" s="2">
        <f t="shared" si="47"/>
        <v>134843.6800000002</v>
      </c>
    </row>
    <row r="393" spans="1:8" x14ac:dyDescent="0.25">
      <c r="A393" s="1">
        <v>55701</v>
      </c>
      <c r="B393" s="2">
        <f t="shared" si="48"/>
        <v>15739</v>
      </c>
      <c r="C393" s="2">
        <f t="shared" si="42"/>
        <v>500</v>
      </c>
      <c r="D393" s="2">
        <f t="shared" si="43"/>
        <v>16239</v>
      </c>
      <c r="E393" s="2">
        <f t="shared" si="44"/>
        <v>324.77999999999997</v>
      </c>
      <c r="F393" s="2">
        <f t="shared" si="45"/>
        <v>243.59</v>
      </c>
      <c r="G393" s="2">
        <f t="shared" si="46"/>
        <v>0</v>
      </c>
      <c r="H393" s="2">
        <f t="shared" si="47"/>
        <v>135412.05000000019</v>
      </c>
    </row>
    <row r="394" spans="1:8" x14ac:dyDescent="0.25">
      <c r="A394" s="1">
        <v>55732</v>
      </c>
      <c r="B394" s="2">
        <f t="shared" si="48"/>
        <v>15739</v>
      </c>
      <c r="C394" s="2">
        <f t="shared" si="42"/>
        <v>0</v>
      </c>
      <c r="D394" s="2">
        <f t="shared" si="43"/>
        <v>15739</v>
      </c>
      <c r="E394" s="2">
        <f t="shared" si="44"/>
        <v>314.77999999999997</v>
      </c>
      <c r="F394" s="2">
        <f t="shared" si="45"/>
        <v>236.09</v>
      </c>
      <c r="G394" s="2">
        <f t="shared" si="46"/>
        <v>0</v>
      </c>
      <c r="H394" s="2">
        <f t="shared" si="47"/>
        <v>135962.92000000019</v>
      </c>
    </row>
    <row r="395" spans="1:8" x14ac:dyDescent="0.25">
      <c r="A395" s="1">
        <v>55763</v>
      </c>
      <c r="B395" s="2">
        <f t="shared" si="48"/>
        <v>15739</v>
      </c>
      <c r="C395" s="2">
        <f t="shared" si="42"/>
        <v>0</v>
      </c>
      <c r="D395" s="2">
        <f t="shared" si="43"/>
        <v>15739</v>
      </c>
      <c r="E395" s="2">
        <f t="shared" si="44"/>
        <v>314.77999999999997</v>
      </c>
      <c r="F395" s="2">
        <f t="shared" si="45"/>
        <v>236.09</v>
      </c>
      <c r="G395" s="2">
        <f t="shared" si="46"/>
        <v>0</v>
      </c>
      <c r="H395" s="2">
        <f t="shared" si="47"/>
        <v>136513.79000000018</v>
      </c>
    </row>
    <row r="396" spans="1:8" x14ac:dyDescent="0.25">
      <c r="A396" s="1">
        <v>55793</v>
      </c>
      <c r="B396" s="2">
        <f t="shared" si="48"/>
        <v>15739</v>
      </c>
      <c r="C396" s="2">
        <f t="shared" si="42"/>
        <v>500</v>
      </c>
      <c r="D396" s="2">
        <f t="shared" si="43"/>
        <v>16239</v>
      </c>
      <c r="E396" s="2">
        <f t="shared" si="44"/>
        <v>324.77999999999997</v>
      </c>
      <c r="F396" s="2">
        <f t="shared" si="45"/>
        <v>243.59</v>
      </c>
      <c r="G396" s="2">
        <f t="shared" si="46"/>
        <v>0</v>
      </c>
      <c r="H396" s="2">
        <f t="shared" si="47"/>
        <v>137082.16000000018</v>
      </c>
    </row>
    <row r="397" spans="1:8" x14ac:dyDescent="0.25">
      <c r="A397" s="1">
        <v>55824</v>
      </c>
      <c r="B397" s="2">
        <f t="shared" si="48"/>
        <v>15739</v>
      </c>
      <c r="C397" s="2">
        <f t="shared" si="42"/>
        <v>0</v>
      </c>
      <c r="D397" s="2">
        <f t="shared" si="43"/>
        <v>15739</v>
      </c>
      <c r="E397" s="2">
        <f t="shared" si="44"/>
        <v>314.77999999999997</v>
      </c>
      <c r="F397" s="2">
        <f t="shared" si="45"/>
        <v>236.09</v>
      </c>
      <c r="G397" s="2">
        <f t="shared" si="46"/>
        <v>0</v>
      </c>
      <c r="H397" s="2">
        <f t="shared" si="47"/>
        <v>137633.03000000017</v>
      </c>
    </row>
    <row r="398" spans="1:8" x14ac:dyDescent="0.25">
      <c r="A398" s="1">
        <v>55854</v>
      </c>
      <c r="B398" s="2">
        <f t="shared" si="48"/>
        <v>15739</v>
      </c>
      <c r="C398" s="2">
        <f t="shared" si="42"/>
        <v>0</v>
      </c>
      <c r="D398" s="2">
        <f t="shared" si="43"/>
        <v>15739</v>
      </c>
      <c r="E398" s="2">
        <f t="shared" si="44"/>
        <v>314.77999999999997</v>
      </c>
      <c r="F398" s="2">
        <f t="shared" si="45"/>
        <v>236.09</v>
      </c>
      <c r="G398" s="2">
        <f t="shared" si="46"/>
        <v>240</v>
      </c>
      <c r="H398" s="2">
        <f t="shared" si="47"/>
        <v>138423.90000000017</v>
      </c>
    </row>
    <row r="399" spans="1:8" x14ac:dyDescent="0.25">
      <c r="A399" s="1">
        <v>55885</v>
      </c>
      <c r="B399" s="2">
        <f t="shared" si="48"/>
        <v>16133</v>
      </c>
      <c r="C399" s="2">
        <f t="shared" si="42"/>
        <v>500</v>
      </c>
      <c r="D399" s="2">
        <f t="shared" si="43"/>
        <v>16633</v>
      </c>
      <c r="E399" s="2">
        <f t="shared" si="44"/>
        <v>332.66</v>
      </c>
      <c r="F399" s="2">
        <f t="shared" si="45"/>
        <v>249.5</v>
      </c>
      <c r="G399" s="2">
        <f t="shared" si="46"/>
        <v>0</v>
      </c>
      <c r="H399" s="2">
        <f t="shared" si="47"/>
        <v>139006.06000000017</v>
      </c>
    </row>
    <row r="400" spans="1:8" x14ac:dyDescent="0.25">
      <c r="A400" s="1">
        <v>55916</v>
      </c>
      <c r="B400" s="2">
        <f t="shared" si="48"/>
        <v>16133</v>
      </c>
      <c r="C400" s="2">
        <f t="shared" si="42"/>
        <v>0</v>
      </c>
      <c r="D400" s="2">
        <f t="shared" si="43"/>
        <v>16133</v>
      </c>
      <c r="E400" s="2">
        <f t="shared" si="44"/>
        <v>322.66000000000003</v>
      </c>
      <c r="F400" s="2">
        <f t="shared" si="45"/>
        <v>242</v>
      </c>
      <c r="G400" s="2">
        <f t="shared" si="46"/>
        <v>0</v>
      </c>
      <c r="H400" s="2">
        <f t="shared" si="47"/>
        <v>139570.72000000018</v>
      </c>
    </row>
    <row r="401" spans="1:8" x14ac:dyDescent="0.25">
      <c r="A401" s="1">
        <v>55944</v>
      </c>
      <c r="B401" s="2">
        <f t="shared" si="48"/>
        <v>16133</v>
      </c>
      <c r="C401" s="2">
        <f t="shared" si="42"/>
        <v>0</v>
      </c>
      <c r="D401" s="2">
        <f t="shared" si="43"/>
        <v>16133</v>
      </c>
      <c r="E401" s="2">
        <f t="shared" si="44"/>
        <v>322.66000000000003</v>
      </c>
      <c r="F401" s="2">
        <f t="shared" si="45"/>
        <v>242</v>
      </c>
      <c r="G401" s="2">
        <f t="shared" si="46"/>
        <v>0</v>
      </c>
      <c r="H401" s="2">
        <f t="shared" si="47"/>
        <v>140135.38000000018</v>
      </c>
    </row>
    <row r="402" spans="1:8" x14ac:dyDescent="0.25">
      <c r="A402" s="1">
        <v>55975</v>
      </c>
      <c r="B402" s="2">
        <f t="shared" si="48"/>
        <v>16133</v>
      </c>
      <c r="C402" s="2">
        <f t="shared" si="42"/>
        <v>500</v>
      </c>
      <c r="D402" s="2">
        <f t="shared" si="43"/>
        <v>16633</v>
      </c>
      <c r="E402" s="2">
        <f t="shared" si="44"/>
        <v>332.66</v>
      </c>
      <c r="F402" s="2">
        <f t="shared" si="45"/>
        <v>249.5</v>
      </c>
      <c r="G402" s="2">
        <f t="shared" si="46"/>
        <v>0</v>
      </c>
      <c r="H402" s="2">
        <f t="shared" si="47"/>
        <v>140717.54000000018</v>
      </c>
    </row>
    <row r="403" spans="1:8" x14ac:dyDescent="0.25">
      <c r="A403" s="1">
        <v>56005</v>
      </c>
      <c r="B403" s="2">
        <f t="shared" si="48"/>
        <v>16133</v>
      </c>
      <c r="C403" s="2">
        <f t="shared" si="42"/>
        <v>0</v>
      </c>
      <c r="D403" s="2">
        <f t="shared" si="43"/>
        <v>16133</v>
      </c>
      <c r="E403" s="2">
        <f t="shared" si="44"/>
        <v>322.66000000000003</v>
      </c>
      <c r="F403" s="2">
        <f t="shared" si="45"/>
        <v>242</v>
      </c>
      <c r="G403" s="2">
        <f t="shared" si="46"/>
        <v>0</v>
      </c>
      <c r="H403" s="2">
        <f t="shared" si="47"/>
        <v>141282.20000000019</v>
      </c>
    </row>
    <row r="404" spans="1:8" x14ac:dyDescent="0.25">
      <c r="A404" s="1">
        <v>56036</v>
      </c>
      <c r="B404" s="2">
        <f t="shared" si="48"/>
        <v>16133</v>
      </c>
      <c r="C404" s="2">
        <f t="shared" si="42"/>
        <v>0</v>
      </c>
      <c r="D404" s="2">
        <f t="shared" si="43"/>
        <v>16133</v>
      </c>
      <c r="E404" s="2">
        <f t="shared" si="44"/>
        <v>322.66000000000003</v>
      </c>
      <c r="F404" s="2">
        <f t="shared" si="45"/>
        <v>242</v>
      </c>
      <c r="G404" s="2">
        <f t="shared" si="46"/>
        <v>0</v>
      </c>
      <c r="H404" s="2">
        <f t="shared" si="47"/>
        <v>141846.86000000019</v>
      </c>
    </row>
    <row r="405" spans="1:8" x14ac:dyDescent="0.25">
      <c r="A405" s="1">
        <v>56066</v>
      </c>
      <c r="B405" s="2">
        <f t="shared" si="48"/>
        <v>16133</v>
      </c>
      <c r="C405" s="2">
        <f t="shared" si="42"/>
        <v>500</v>
      </c>
      <c r="D405" s="2">
        <f t="shared" si="43"/>
        <v>16633</v>
      </c>
      <c r="E405" s="2">
        <f t="shared" si="44"/>
        <v>332.66</v>
      </c>
      <c r="F405" s="2">
        <f t="shared" si="45"/>
        <v>249.5</v>
      </c>
      <c r="G405" s="2">
        <f t="shared" si="46"/>
        <v>0</v>
      </c>
      <c r="H405" s="2">
        <f t="shared" si="47"/>
        <v>142429.02000000019</v>
      </c>
    </row>
    <row r="406" spans="1:8" x14ac:dyDescent="0.25">
      <c r="A406" s="1">
        <v>56097</v>
      </c>
      <c r="B406" s="2">
        <f t="shared" si="48"/>
        <v>16133</v>
      </c>
      <c r="C406" s="2">
        <f t="shared" si="42"/>
        <v>0</v>
      </c>
      <c r="D406" s="2">
        <f t="shared" si="43"/>
        <v>16133</v>
      </c>
      <c r="E406" s="2">
        <f t="shared" si="44"/>
        <v>322.66000000000003</v>
      </c>
      <c r="F406" s="2">
        <f t="shared" si="45"/>
        <v>242</v>
      </c>
      <c r="G406" s="2">
        <f t="shared" si="46"/>
        <v>0</v>
      </c>
      <c r="H406" s="2">
        <f t="shared" si="47"/>
        <v>142993.6800000002</v>
      </c>
    </row>
    <row r="407" spans="1:8" x14ac:dyDescent="0.25">
      <c r="A407" s="1">
        <v>56128</v>
      </c>
      <c r="B407" s="2">
        <f t="shared" si="48"/>
        <v>16133</v>
      </c>
      <c r="C407" s="2">
        <f t="shared" si="42"/>
        <v>0</v>
      </c>
      <c r="D407" s="2">
        <f t="shared" si="43"/>
        <v>16133</v>
      </c>
      <c r="E407" s="2">
        <f t="shared" si="44"/>
        <v>322.66000000000003</v>
      </c>
      <c r="F407" s="2">
        <f t="shared" si="45"/>
        <v>242</v>
      </c>
      <c r="G407" s="2">
        <f t="shared" si="46"/>
        <v>0</v>
      </c>
      <c r="H407" s="2">
        <f t="shared" si="47"/>
        <v>143558.3400000002</v>
      </c>
    </row>
    <row r="408" spans="1:8" x14ac:dyDescent="0.25">
      <c r="A408" s="1">
        <v>56158</v>
      </c>
      <c r="B408" s="2">
        <f t="shared" si="48"/>
        <v>16133</v>
      </c>
      <c r="C408" s="2">
        <f t="shared" si="42"/>
        <v>500</v>
      </c>
      <c r="D408" s="2">
        <f t="shared" si="43"/>
        <v>16633</v>
      </c>
      <c r="E408" s="2">
        <f t="shared" si="44"/>
        <v>332.66</v>
      </c>
      <c r="F408" s="2">
        <f t="shared" si="45"/>
        <v>249.5</v>
      </c>
      <c r="G408" s="2">
        <f t="shared" si="46"/>
        <v>0</v>
      </c>
      <c r="H408" s="2">
        <f t="shared" si="47"/>
        <v>144140.5000000002</v>
      </c>
    </row>
    <row r="409" spans="1:8" x14ac:dyDescent="0.25">
      <c r="A409" s="1">
        <v>56189</v>
      </c>
      <c r="B409" s="2">
        <f t="shared" si="48"/>
        <v>16133</v>
      </c>
      <c r="C409" s="2">
        <f t="shared" si="42"/>
        <v>0</v>
      </c>
      <c r="D409" s="2">
        <f t="shared" si="43"/>
        <v>16133</v>
      </c>
      <c r="E409" s="2">
        <f t="shared" si="44"/>
        <v>322.66000000000003</v>
      </c>
      <c r="F409" s="2">
        <f t="shared" si="45"/>
        <v>242</v>
      </c>
      <c r="G409" s="2">
        <f t="shared" si="46"/>
        <v>0</v>
      </c>
      <c r="H409" s="2">
        <f t="shared" si="47"/>
        <v>144705.16000000021</v>
      </c>
    </row>
    <row r="410" spans="1:8" x14ac:dyDescent="0.25">
      <c r="A410" s="1">
        <v>56219</v>
      </c>
      <c r="B410" s="2">
        <f t="shared" si="48"/>
        <v>16133</v>
      </c>
      <c r="C410" s="2">
        <f t="shared" si="42"/>
        <v>0</v>
      </c>
      <c r="D410" s="2">
        <f t="shared" si="43"/>
        <v>16133</v>
      </c>
      <c r="E410" s="2">
        <f t="shared" si="44"/>
        <v>322.66000000000003</v>
      </c>
      <c r="F410" s="2">
        <f t="shared" si="45"/>
        <v>242</v>
      </c>
      <c r="G410" s="2">
        <f t="shared" si="46"/>
        <v>240</v>
      </c>
      <c r="H410" s="2">
        <f t="shared" si="47"/>
        <v>145509.82000000021</v>
      </c>
    </row>
    <row r="411" spans="1:8" x14ac:dyDescent="0.25">
      <c r="A411" s="1">
        <v>56250</v>
      </c>
      <c r="B411" s="2">
        <f t="shared" si="48"/>
        <v>16537</v>
      </c>
      <c r="C411" s="2">
        <f t="shared" si="42"/>
        <v>500</v>
      </c>
      <c r="D411" s="2">
        <f t="shared" si="43"/>
        <v>17037</v>
      </c>
      <c r="E411" s="2">
        <f t="shared" si="44"/>
        <v>340.74</v>
      </c>
      <c r="F411" s="2">
        <f t="shared" si="45"/>
        <v>255.56</v>
      </c>
      <c r="G411" s="2">
        <f t="shared" si="46"/>
        <v>0</v>
      </c>
      <c r="H411" s="2">
        <f t="shared" si="47"/>
        <v>146106.1200000002</v>
      </c>
    </row>
    <row r="412" spans="1:8" x14ac:dyDescent="0.25">
      <c r="A412" s="1">
        <v>56281</v>
      </c>
      <c r="B412" s="2">
        <f t="shared" si="48"/>
        <v>16537</v>
      </c>
      <c r="C412" s="2">
        <f t="shared" si="42"/>
        <v>0</v>
      </c>
      <c r="D412" s="2">
        <f t="shared" si="43"/>
        <v>16537</v>
      </c>
      <c r="E412" s="2">
        <f t="shared" si="44"/>
        <v>330.74</v>
      </c>
      <c r="F412" s="2">
        <f t="shared" si="45"/>
        <v>248.06</v>
      </c>
      <c r="G412" s="2">
        <f t="shared" si="46"/>
        <v>0</v>
      </c>
      <c r="H412" s="2">
        <f t="shared" si="47"/>
        <v>146684.92000000019</v>
      </c>
    </row>
    <row r="413" spans="1:8" x14ac:dyDescent="0.25">
      <c r="A413" s="1">
        <v>56309</v>
      </c>
      <c r="B413" s="2">
        <f t="shared" si="48"/>
        <v>16537</v>
      </c>
      <c r="C413" s="2">
        <f t="shared" si="42"/>
        <v>0</v>
      </c>
      <c r="D413" s="2">
        <f t="shared" si="43"/>
        <v>16537</v>
      </c>
      <c r="E413" s="2">
        <f t="shared" si="44"/>
        <v>330.74</v>
      </c>
      <c r="F413" s="2">
        <f t="shared" si="45"/>
        <v>248.06</v>
      </c>
      <c r="G413" s="2">
        <f t="shared" si="46"/>
        <v>0</v>
      </c>
      <c r="H413" s="2">
        <f t="shared" si="47"/>
        <v>147263.72000000018</v>
      </c>
    </row>
    <row r="414" spans="1:8" x14ac:dyDescent="0.25">
      <c r="A414" s="1">
        <v>56340</v>
      </c>
      <c r="B414" s="2">
        <f t="shared" si="48"/>
        <v>16537</v>
      </c>
      <c r="C414" s="2">
        <f t="shared" si="42"/>
        <v>500</v>
      </c>
      <c r="D414" s="2">
        <f t="shared" si="43"/>
        <v>17037</v>
      </c>
      <c r="E414" s="2">
        <f t="shared" si="44"/>
        <v>340.74</v>
      </c>
      <c r="F414" s="2">
        <f t="shared" si="45"/>
        <v>255.56</v>
      </c>
      <c r="G414" s="2">
        <f t="shared" si="46"/>
        <v>0</v>
      </c>
      <c r="H414" s="2">
        <f t="shared" si="47"/>
        <v>147860.02000000016</v>
      </c>
    </row>
    <row r="415" spans="1:8" x14ac:dyDescent="0.25">
      <c r="A415" s="1">
        <v>56370</v>
      </c>
      <c r="B415" s="2">
        <f t="shared" si="48"/>
        <v>16537</v>
      </c>
      <c r="C415" s="2">
        <f t="shared" si="42"/>
        <v>0</v>
      </c>
      <c r="D415" s="2">
        <f t="shared" si="43"/>
        <v>16537</v>
      </c>
      <c r="E415" s="2">
        <f t="shared" si="44"/>
        <v>330.74</v>
      </c>
      <c r="F415" s="2">
        <f t="shared" si="45"/>
        <v>248.06</v>
      </c>
      <c r="G415" s="2">
        <f t="shared" si="46"/>
        <v>0</v>
      </c>
      <c r="H415" s="2">
        <f t="shared" si="47"/>
        <v>148438.82000000015</v>
      </c>
    </row>
    <row r="416" spans="1:8" x14ac:dyDescent="0.25">
      <c r="A416" s="1">
        <v>56401</v>
      </c>
      <c r="B416" s="2">
        <f t="shared" si="48"/>
        <v>16537</v>
      </c>
      <c r="C416" s="2">
        <f t="shared" si="42"/>
        <v>0</v>
      </c>
      <c r="D416" s="2">
        <f t="shared" si="43"/>
        <v>16537</v>
      </c>
      <c r="E416" s="2">
        <f t="shared" si="44"/>
        <v>330.74</v>
      </c>
      <c r="F416" s="2">
        <f t="shared" si="45"/>
        <v>248.06</v>
      </c>
      <c r="G416" s="2">
        <f t="shared" si="46"/>
        <v>0</v>
      </c>
      <c r="H416" s="2">
        <f t="shared" si="47"/>
        <v>149017.62000000014</v>
      </c>
    </row>
    <row r="417" spans="1:8" x14ac:dyDescent="0.25">
      <c r="A417" s="1">
        <v>56431</v>
      </c>
      <c r="B417" s="2">
        <f t="shared" si="48"/>
        <v>16537</v>
      </c>
      <c r="C417" s="2">
        <f t="shared" si="42"/>
        <v>500</v>
      </c>
      <c r="D417" s="2">
        <f t="shared" si="43"/>
        <v>17037</v>
      </c>
      <c r="E417" s="2">
        <f t="shared" si="44"/>
        <v>340.74</v>
      </c>
      <c r="F417" s="2">
        <f t="shared" si="45"/>
        <v>255.56</v>
      </c>
      <c r="G417" s="2">
        <f t="shared" si="46"/>
        <v>0</v>
      </c>
      <c r="H417" s="2">
        <f t="shared" si="47"/>
        <v>149613.92000000013</v>
      </c>
    </row>
    <row r="418" spans="1:8" x14ac:dyDescent="0.25">
      <c r="A418" s="1">
        <v>56462</v>
      </c>
      <c r="B418" s="2">
        <f t="shared" si="48"/>
        <v>16537</v>
      </c>
      <c r="C418" s="2">
        <f t="shared" si="42"/>
        <v>0</v>
      </c>
      <c r="D418" s="2">
        <f t="shared" si="43"/>
        <v>16537</v>
      </c>
      <c r="E418" s="2">
        <f t="shared" si="44"/>
        <v>330.74</v>
      </c>
      <c r="F418" s="2">
        <f t="shared" si="45"/>
        <v>248.06</v>
      </c>
      <c r="G418" s="2">
        <f t="shared" si="46"/>
        <v>0</v>
      </c>
      <c r="H418" s="2">
        <f t="shared" si="47"/>
        <v>150192.72000000012</v>
      </c>
    </row>
    <row r="419" spans="1:8" x14ac:dyDescent="0.25">
      <c r="A419" s="1">
        <v>56493</v>
      </c>
      <c r="B419" s="2">
        <f t="shared" si="48"/>
        <v>16537</v>
      </c>
      <c r="C419" s="2">
        <f t="shared" si="42"/>
        <v>0</v>
      </c>
      <c r="D419" s="2">
        <f t="shared" si="43"/>
        <v>16537</v>
      </c>
      <c r="E419" s="2">
        <f t="shared" si="44"/>
        <v>330.74</v>
      </c>
      <c r="F419" s="2">
        <f t="shared" si="45"/>
        <v>248.06</v>
      </c>
      <c r="G419" s="2">
        <f t="shared" si="46"/>
        <v>0</v>
      </c>
      <c r="H419" s="2">
        <f t="shared" si="47"/>
        <v>150771.52000000011</v>
      </c>
    </row>
    <row r="420" spans="1:8" x14ac:dyDescent="0.25">
      <c r="A420" s="1">
        <v>56523</v>
      </c>
      <c r="B420" s="2">
        <f t="shared" si="48"/>
        <v>16537</v>
      </c>
      <c r="C420" s="2">
        <f t="shared" si="42"/>
        <v>500</v>
      </c>
      <c r="D420" s="2">
        <f t="shared" si="43"/>
        <v>17037</v>
      </c>
      <c r="E420" s="2">
        <f t="shared" si="44"/>
        <v>340.74</v>
      </c>
      <c r="F420" s="2">
        <f t="shared" si="45"/>
        <v>255.56</v>
      </c>
      <c r="G420" s="2">
        <f t="shared" si="46"/>
        <v>0</v>
      </c>
      <c r="H420" s="2">
        <f t="shared" si="47"/>
        <v>151367.82000000009</v>
      </c>
    </row>
    <row r="421" spans="1:8" x14ac:dyDescent="0.25">
      <c r="A421" s="1">
        <v>56554</v>
      </c>
      <c r="B421" s="2">
        <f t="shared" si="48"/>
        <v>16537</v>
      </c>
      <c r="C421" s="2">
        <f t="shared" si="42"/>
        <v>0</v>
      </c>
      <c r="D421" s="2">
        <f t="shared" si="43"/>
        <v>16537</v>
      </c>
      <c r="E421" s="2">
        <f t="shared" si="44"/>
        <v>330.74</v>
      </c>
      <c r="F421" s="2">
        <f t="shared" si="45"/>
        <v>248.06</v>
      </c>
      <c r="G421" s="2">
        <f t="shared" si="46"/>
        <v>0</v>
      </c>
      <c r="H421" s="2">
        <f t="shared" si="47"/>
        <v>151946.62000000008</v>
      </c>
    </row>
    <row r="422" spans="1:8" x14ac:dyDescent="0.25">
      <c r="A422" s="1">
        <v>56584</v>
      </c>
      <c r="B422" s="2">
        <f t="shared" si="48"/>
        <v>16537</v>
      </c>
      <c r="C422" s="2">
        <f t="shared" si="42"/>
        <v>0</v>
      </c>
      <c r="D422" s="2">
        <f t="shared" si="43"/>
        <v>16537</v>
      </c>
      <c r="E422" s="2">
        <f t="shared" si="44"/>
        <v>330.74</v>
      </c>
      <c r="F422" s="2">
        <f t="shared" si="45"/>
        <v>248.06</v>
      </c>
      <c r="G422" s="2">
        <f t="shared" si="46"/>
        <v>240</v>
      </c>
      <c r="H422" s="2">
        <f t="shared" si="47"/>
        <v>152765.42000000007</v>
      </c>
    </row>
    <row r="423" spans="1:8" x14ac:dyDescent="0.25">
      <c r="A423" s="1">
        <v>56615</v>
      </c>
      <c r="B423" s="2">
        <f t="shared" si="48"/>
        <v>16951</v>
      </c>
      <c r="C423" s="2">
        <f t="shared" si="42"/>
        <v>500</v>
      </c>
      <c r="D423" s="2">
        <f t="shared" si="43"/>
        <v>17451</v>
      </c>
      <c r="E423" s="2">
        <f t="shared" si="44"/>
        <v>349.02</v>
      </c>
      <c r="F423" s="2">
        <f t="shared" si="45"/>
        <v>261.77</v>
      </c>
      <c r="G423" s="2">
        <f t="shared" si="46"/>
        <v>0</v>
      </c>
      <c r="H423" s="2">
        <f t="shared" si="47"/>
        <v>153376.21000000005</v>
      </c>
    </row>
    <row r="424" spans="1:8" x14ac:dyDescent="0.25">
      <c r="A424" s="1">
        <v>56646</v>
      </c>
      <c r="B424" s="2">
        <f t="shared" si="48"/>
        <v>16951</v>
      </c>
      <c r="C424" s="2">
        <f t="shared" si="42"/>
        <v>0</v>
      </c>
      <c r="D424" s="2">
        <f t="shared" si="43"/>
        <v>16951</v>
      </c>
      <c r="E424" s="2">
        <f t="shared" si="44"/>
        <v>339.02</v>
      </c>
      <c r="F424" s="2">
        <f t="shared" si="45"/>
        <v>254.27</v>
      </c>
      <c r="G424" s="2">
        <f t="shared" si="46"/>
        <v>0</v>
      </c>
      <c r="H424" s="2">
        <f t="shared" si="47"/>
        <v>153969.50000000003</v>
      </c>
    </row>
    <row r="425" spans="1:8" x14ac:dyDescent="0.25">
      <c r="A425" s="1">
        <v>56674</v>
      </c>
      <c r="B425" s="2">
        <f t="shared" si="48"/>
        <v>16951</v>
      </c>
      <c r="C425" s="2">
        <f t="shared" si="42"/>
        <v>0</v>
      </c>
      <c r="D425" s="2">
        <f t="shared" si="43"/>
        <v>16951</v>
      </c>
      <c r="E425" s="2">
        <f t="shared" si="44"/>
        <v>339.02</v>
      </c>
      <c r="F425" s="2">
        <f t="shared" si="45"/>
        <v>254.27</v>
      </c>
      <c r="G425" s="2">
        <f t="shared" si="46"/>
        <v>0</v>
      </c>
      <c r="H425" s="2">
        <f t="shared" si="47"/>
        <v>154562.79</v>
      </c>
    </row>
    <row r="426" spans="1:8" x14ac:dyDescent="0.25">
      <c r="A426" s="1">
        <v>56705</v>
      </c>
      <c r="B426" s="2">
        <f t="shared" si="48"/>
        <v>16951</v>
      </c>
      <c r="C426" s="2">
        <f t="shared" si="42"/>
        <v>500</v>
      </c>
      <c r="D426" s="2">
        <f t="shared" si="43"/>
        <v>17451</v>
      </c>
      <c r="E426" s="2">
        <f t="shared" si="44"/>
        <v>349.02</v>
      </c>
      <c r="F426" s="2">
        <f t="shared" si="45"/>
        <v>261.77</v>
      </c>
      <c r="G426" s="2">
        <f t="shared" si="46"/>
        <v>0</v>
      </c>
      <c r="H426" s="2">
        <f t="shared" si="47"/>
        <v>155173.57999999999</v>
      </c>
    </row>
    <row r="427" spans="1:8" x14ac:dyDescent="0.25">
      <c r="A427" s="1">
        <v>56735</v>
      </c>
      <c r="B427" s="2">
        <f t="shared" si="48"/>
        <v>16951</v>
      </c>
      <c r="C427" s="2">
        <f t="shared" si="42"/>
        <v>0</v>
      </c>
      <c r="D427" s="2">
        <f t="shared" si="43"/>
        <v>16951</v>
      </c>
      <c r="E427" s="2">
        <f t="shared" si="44"/>
        <v>339.02</v>
      </c>
      <c r="F427" s="2">
        <f t="shared" si="45"/>
        <v>254.27</v>
      </c>
      <c r="G427" s="2">
        <f t="shared" si="46"/>
        <v>0</v>
      </c>
      <c r="H427" s="2">
        <f t="shared" si="47"/>
        <v>155766.86999999997</v>
      </c>
    </row>
    <row r="428" spans="1:8" x14ac:dyDescent="0.25">
      <c r="A428" s="1">
        <v>56766</v>
      </c>
      <c r="B428" s="2">
        <f t="shared" si="48"/>
        <v>16951</v>
      </c>
      <c r="C428" s="2">
        <f t="shared" si="42"/>
        <v>0</v>
      </c>
      <c r="D428" s="2">
        <f t="shared" si="43"/>
        <v>16951</v>
      </c>
      <c r="E428" s="2">
        <f t="shared" si="44"/>
        <v>339.02</v>
      </c>
      <c r="F428" s="2">
        <f t="shared" si="45"/>
        <v>254.27</v>
      </c>
      <c r="G428" s="2">
        <f t="shared" si="46"/>
        <v>0</v>
      </c>
      <c r="H428" s="2">
        <f t="shared" si="47"/>
        <v>156360.15999999995</v>
      </c>
    </row>
    <row r="429" spans="1:8" x14ac:dyDescent="0.25">
      <c r="A429" s="1">
        <v>56796</v>
      </c>
      <c r="B429" s="2">
        <f t="shared" si="48"/>
        <v>16951</v>
      </c>
      <c r="C429" s="2">
        <f t="shared" si="42"/>
        <v>500</v>
      </c>
      <c r="D429" s="2">
        <f t="shared" si="43"/>
        <v>17451</v>
      </c>
      <c r="E429" s="2">
        <f t="shared" si="44"/>
        <v>349.02</v>
      </c>
      <c r="F429" s="2">
        <f t="shared" si="45"/>
        <v>261.77</v>
      </c>
      <c r="G429" s="2">
        <f t="shared" si="46"/>
        <v>0</v>
      </c>
      <c r="H429" s="2">
        <f t="shared" si="47"/>
        <v>156970.94999999992</v>
      </c>
    </row>
    <row r="430" spans="1:8" x14ac:dyDescent="0.25">
      <c r="A430" s="1">
        <v>56827</v>
      </c>
      <c r="B430" s="2">
        <f t="shared" si="48"/>
        <v>16951</v>
      </c>
      <c r="C430" s="2">
        <f t="shared" si="42"/>
        <v>0</v>
      </c>
      <c r="D430" s="2">
        <f t="shared" si="43"/>
        <v>16951</v>
      </c>
      <c r="E430" s="2">
        <f t="shared" si="44"/>
        <v>339.02</v>
      </c>
      <c r="F430" s="2">
        <f t="shared" si="45"/>
        <v>254.27</v>
      </c>
      <c r="G430" s="2">
        <f t="shared" si="46"/>
        <v>0</v>
      </c>
      <c r="H430" s="2">
        <f t="shared" si="47"/>
        <v>157564.2399999999</v>
      </c>
    </row>
    <row r="431" spans="1:8" x14ac:dyDescent="0.25">
      <c r="A431" s="1">
        <v>56858</v>
      </c>
      <c r="B431" s="2">
        <f t="shared" si="48"/>
        <v>16951</v>
      </c>
      <c r="C431" s="2">
        <f t="shared" si="42"/>
        <v>0</v>
      </c>
      <c r="D431" s="2">
        <f t="shared" si="43"/>
        <v>16951</v>
      </c>
      <c r="E431" s="2">
        <f t="shared" si="44"/>
        <v>339.02</v>
      </c>
      <c r="F431" s="2">
        <f t="shared" si="45"/>
        <v>254.27</v>
      </c>
      <c r="G431" s="2">
        <f t="shared" si="46"/>
        <v>0</v>
      </c>
      <c r="H431" s="2">
        <f t="shared" si="47"/>
        <v>158157.52999999988</v>
      </c>
    </row>
    <row r="432" spans="1:8" x14ac:dyDescent="0.25">
      <c r="A432" s="1">
        <v>56888</v>
      </c>
      <c r="B432" s="2">
        <f t="shared" si="48"/>
        <v>16951</v>
      </c>
      <c r="C432" s="2">
        <f t="shared" si="42"/>
        <v>500</v>
      </c>
      <c r="D432" s="2">
        <f t="shared" si="43"/>
        <v>17451</v>
      </c>
      <c r="E432" s="2">
        <f t="shared" si="44"/>
        <v>349.02</v>
      </c>
      <c r="F432" s="2">
        <f t="shared" si="45"/>
        <v>261.77</v>
      </c>
      <c r="G432" s="2">
        <f t="shared" si="46"/>
        <v>0</v>
      </c>
      <c r="H432" s="2">
        <f t="shared" si="47"/>
        <v>158768.31999999986</v>
      </c>
    </row>
    <row r="433" spans="1:8" x14ac:dyDescent="0.25">
      <c r="A433" s="1">
        <v>56919</v>
      </c>
      <c r="B433" s="2">
        <f t="shared" si="48"/>
        <v>16951</v>
      </c>
      <c r="C433" s="2">
        <f t="shared" si="42"/>
        <v>0</v>
      </c>
      <c r="D433" s="2">
        <f t="shared" si="43"/>
        <v>16951</v>
      </c>
      <c r="E433" s="2">
        <f t="shared" si="44"/>
        <v>339.02</v>
      </c>
      <c r="F433" s="2">
        <f t="shared" si="45"/>
        <v>254.27</v>
      </c>
      <c r="G433" s="2">
        <f t="shared" si="46"/>
        <v>0</v>
      </c>
      <c r="H433" s="2">
        <f t="shared" si="47"/>
        <v>159361.60999999984</v>
      </c>
    </row>
    <row r="434" spans="1:8" x14ac:dyDescent="0.25">
      <c r="A434" s="1">
        <v>56949</v>
      </c>
      <c r="B434" s="2">
        <f t="shared" si="48"/>
        <v>16951</v>
      </c>
      <c r="C434" s="2">
        <f t="shared" si="42"/>
        <v>0</v>
      </c>
      <c r="D434" s="2">
        <f t="shared" si="43"/>
        <v>16951</v>
      </c>
      <c r="E434" s="2">
        <f t="shared" si="44"/>
        <v>339.02</v>
      </c>
      <c r="F434" s="2">
        <f t="shared" si="45"/>
        <v>254.27</v>
      </c>
      <c r="G434" s="2">
        <f t="shared" si="46"/>
        <v>240</v>
      </c>
      <c r="H434" s="2">
        <f t="shared" si="47"/>
        <v>160194.89999999982</v>
      </c>
    </row>
    <row r="435" spans="1:8" x14ac:dyDescent="0.25">
      <c r="A435" s="1">
        <v>56980</v>
      </c>
      <c r="B435" s="2">
        <f t="shared" si="48"/>
        <v>17875</v>
      </c>
      <c r="C435" s="2">
        <f t="shared" si="42"/>
        <v>500</v>
      </c>
      <c r="D435" s="2">
        <f t="shared" si="43"/>
        <v>18375</v>
      </c>
      <c r="E435" s="2">
        <f t="shared" si="44"/>
        <v>367.5</v>
      </c>
      <c r="F435" s="2">
        <f t="shared" si="45"/>
        <v>275.63</v>
      </c>
      <c r="G435" s="2">
        <f t="shared" si="46"/>
        <v>0</v>
      </c>
      <c r="H435" s="2">
        <f t="shared" si="47"/>
        <v>160838.02999999982</v>
      </c>
    </row>
    <row r="436" spans="1:8" x14ac:dyDescent="0.25">
      <c r="A436" s="1">
        <v>57011</v>
      </c>
      <c r="B436" s="2">
        <f t="shared" si="48"/>
        <v>17875</v>
      </c>
      <c r="C436" s="2">
        <f t="shared" si="42"/>
        <v>0</v>
      </c>
      <c r="D436" s="2">
        <f t="shared" si="43"/>
        <v>17875</v>
      </c>
      <c r="E436" s="2">
        <f t="shared" si="44"/>
        <v>357.5</v>
      </c>
      <c r="F436" s="2">
        <f t="shared" si="45"/>
        <v>268.13</v>
      </c>
      <c r="G436" s="2">
        <f t="shared" si="46"/>
        <v>0</v>
      </c>
      <c r="H436" s="2">
        <f t="shared" si="47"/>
        <v>161463.65999999983</v>
      </c>
    </row>
    <row r="437" spans="1:8" x14ac:dyDescent="0.25">
      <c r="A437" s="1">
        <v>57040</v>
      </c>
      <c r="B437" s="2">
        <f t="shared" si="48"/>
        <v>17875</v>
      </c>
      <c r="C437" s="2">
        <f t="shared" si="42"/>
        <v>0</v>
      </c>
      <c r="D437" s="2">
        <f t="shared" si="43"/>
        <v>17875</v>
      </c>
      <c r="E437" s="2">
        <f t="shared" si="44"/>
        <v>357.5</v>
      </c>
      <c r="F437" s="2">
        <f t="shared" si="45"/>
        <v>268.13</v>
      </c>
      <c r="G437" s="2">
        <f t="shared" si="46"/>
        <v>0</v>
      </c>
      <c r="H437" s="2">
        <f t="shared" si="47"/>
        <v>162089.28999999983</v>
      </c>
    </row>
    <row r="438" spans="1:8" x14ac:dyDescent="0.25">
      <c r="A438" s="1">
        <v>57071</v>
      </c>
      <c r="B438" s="2">
        <f t="shared" si="48"/>
        <v>17875</v>
      </c>
      <c r="C438" s="2">
        <f t="shared" si="42"/>
        <v>500</v>
      </c>
      <c r="D438" s="2">
        <f t="shared" si="43"/>
        <v>18375</v>
      </c>
      <c r="E438" s="2">
        <f t="shared" si="44"/>
        <v>367.5</v>
      </c>
      <c r="F438" s="2">
        <f t="shared" si="45"/>
        <v>275.63</v>
      </c>
      <c r="G438" s="2">
        <f t="shared" si="46"/>
        <v>0</v>
      </c>
      <c r="H438" s="2">
        <f t="shared" si="47"/>
        <v>162732.41999999984</v>
      </c>
    </row>
    <row r="439" spans="1:8" x14ac:dyDescent="0.25">
      <c r="A439" s="1">
        <v>57101</v>
      </c>
      <c r="B439" s="2">
        <f t="shared" si="48"/>
        <v>17875</v>
      </c>
      <c r="C439" s="2">
        <f t="shared" si="42"/>
        <v>0</v>
      </c>
      <c r="D439" s="2">
        <f t="shared" si="43"/>
        <v>17875</v>
      </c>
      <c r="E439" s="2">
        <f t="shared" si="44"/>
        <v>357.5</v>
      </c>
      <c r="F439" s="2">
        <f t="shared" si="45"/>
        <v>268.13</v>
      </c>
      <c r="G439" s="2">
        <f t="shared" si="46"/>
        <v>0</v>
      </c>
      <c r="H439" s="2">
        <f t="shared" si="47"/>
        <v>163358.04999999984</v>
      </c>
    </row>
    <row r="440" spans="1:8" x14ac:dyDescent="0.25">
      <c r="A440" s="1">
        <v>57132</v>
      </c>
      <c r="B440" s="2">
        <f t="shared" si="48"/>
        <v>17875</v>
      </c>
      <c r="C440" s="2">
        <f t="shared" si="42"/>
        <v>0</v>
      </c>
      <c r="D440" s="2">
        <f t="shared" si="43"/>
        <v>17875</v>
      </c>
      <c r="E440" s="2">
        <f t="shared" si="44"/>
        <v>357.5</v>
      </c>
      <c r="F440" s="2">
        <f t="shared" si="45"/>
        <v>268.13</v>
      </c>
      <c r="G440" s="2">
        <f t="shared" si="46"/>
        <v>0</v>
      </c>
      <c r="H440" s="2">
        <f t="shared" si="47"/>
        <v>163983.67999999985</v>
      </c>
    </row>
    <row r="441" spans="1:8" x14ac:dyDescent="0.25">
      <c r="A441" s="1">
        <v>57162</v>
      </c>
      <c r="B441" s="2">
        <f t="shared" si="48"/>
        <v>17875</v>
      </c>
      <c r="C441" s="2">
        <f t="shared" si="42"/>
        <v>500</v>
      </c>
      <c r="D441" s="2">
        <f t="shared" si="43"/>
        <v>18375</v>
      </c>
      <c r="E441" s="2">
        <f t="shared" si="44"/>
        <v>367.5</v>
      </c>
      <c r="F441" s="2">
        <f t="shared" si="45"/>
        <v>275.63</v>
      </c>
      <c r="G441" s="2">
        <f t="shared" si="46"/>
        <v>0</v>
      </c>
      <c r="H441" s="2">
        <f t="shared" si="47"/>
        <v>164626.80999999985</v>
      </c>
    </row>
    <row r="442" spans="1:8" x14ac:dyDescent="0.25">
      <c r="A442" s="1">
        <v>57193</v>
      </c>
      <c r="B442" s="2">
        <f t="shared" si="48"/>
        <v>17875</v>
      </c>
      <c r="C442" s="2">
        <f t="shared" si="42"/>
        <v>0</v>
      </c>
      <c r="D442" s="2">
        <f t="shared" si="43"/>
        <v>17875</v>
      </c>
      <c r="E442" s="2">
        <f t="shared" si="44"/>
        <v>357.5</v>
      </c>
      <c r="F442" s="2">
        <f t="shared" si="45"/>
        <v>268.13</v>
      </c>
      <c r="G442" s="2">
        <f t="shared" si="46"/>
        <v>0</v>
      </c>
      <c r="H442" s="2">
        <f t="shared" si="47"/>
        <v>165252.43999999986</v>
      </c>
    </row>
    <row r="443" spans="1:8" x14ac:dyDescent="0.25">
      <c r="A443" s="1">
        <v>57224</v>
      </c>
      <c r="B443" s="2">
        <f t="shared" si="48"/>
        <v>17875</v>
      </c>
      <c r="C443" s="2">
        <f t="shared" si="42"/>
        <v>0</v>
      </c>
      <c r="D443" s="2">
        <f t="shared" si="43"/>
        <v>17875</v>
      </c>
      <c r="E443" s="2">
        <f t="shared" si="44"/>
        <v>357.5</v>
      </c>
      <c r="F443" s="2">
        <f t="shared" si="45"/>
        <v>268.13</v>
      </c>
      <c r="G443" s="2">
        <f t="shared" si="46"/>
        <v>0</v>
      </c>
      <c r="H443" s="2">
        <f t="shared" si="47"/>
        <v>165878.06999999986</v>
      </c>
    </row>
    <row r="444" spans="1:8" x14ac:dyDescent="0.25">
      <c r="A444" s="1">
        <v>57254</v>
      </c>
      <c r="B444" s="2">
        <f t="shared" si="48"/>
        <v>17875</v>
      </c>
      <c r="C444" s="2">
        <f t="shared" si="42"/>
        <v>500</v>
      </c>
      <c r="D444" s="2">
        <f t="shared" si="43"/>
        <v>18375</v>
      </c>
      <c r="E444" s="2">
        <f t="shared" si="44"/>
        <v>367.5</v>
      </c>
      <c r="F444" s="2">
        <f t="shared" si="45"/>
        <v>275.63</v>
      </c>
      <c r="G444" s="2">
        <f t="shared" si="46"/>
        <v>0</v>
      </c>
      <c r="H444" s="2">
        <f t="shared" si="47"/>
        <v>166521.19999999987</v>
      </c>
    </row>
    <row r="445" spans="1:8" x14ac:dyDescent="0.25">
      <c r="A445" s="1">
        <v>57285</v>
      </c>
      <c r="B445" s="2">
        <f t="shared" si="48"/>
        <v>17875</v>
      </c>
      <c r="C445" s="2">
        <f t="shared" si="42"/>
        <v>0</v>
      </c>
      <c r="D445" s="2">
        <f t="shared" si="43"/>
        <v>17875</v>
      </c>
      <c r="E445" s="2">
        <f t="shared" si="44"/>
        <v>357.5</v>
      </c>
      <c r="F445" s="2">
        <f t="shared" si="45"/>
        <v>268.13</v>
      </c>
      <c r="G445" s="2">
        <f t="shared" si="46"/>
        <v>0</v>
      </c>
      <c r="H445" s="2">
        <f t="shared" si="47"/>
        <v>167146.82999999987</v>
      </c>
    </row>
    <row r="446" spans="1:8" x14ac:dyDescent="0.25">
      <c r="A446" s="1">
        <v>57315</v>
      </c>
      <c r="B446" s="2">
        <f t="shared" si="48"/>
        <v>17875</v>
      </c>
      <c r="C446" s="2">
        <f t="shared" si="42"/>
        <v>0</v>
      </c>
      <c r="D446" s="2">
        <f t="shared" si="43"/>
        <v>17875</v>
      </c>
      <c r="E446" s="2">
        <f t="shared" si="44"/>
        <v>357.5</v>
      </c>
      <c r="F446" s="2">
        <f t="shared" si="45"/>
        <v>268.13</v>
      </c>
      <c r="G446" s="2">
        <f t="shared" si="46"/>
        <v>240</v>
      </c>
      <c r="H446" s="2">
        <f t="shared" si="47"/>
        <v>168012.45999999988</v>
      </c>
    </row>
    <row r="447" spans="1:8" x14ac:dyDescent="0.25">
      <c r="A447" s="1">
        <v>57346</v>
      </c>
      <c r="B447" s="2">
        <f t="shared" si="48"/>
        <v>18322</v>
      </c>
      <c r="C447" s="2">
        <f t="shared" si="42"/>
        <v>500</v>
      </c>
      <c r="D447" s="2">
        <f t="shared" si="43"/>
        <v>18822</v>
      </c>
      <c r="E447" s="2">
        <f t="shared" si="44"/>
        <v>376.44</v>
      </c>
      <c r="F447" s="2">
        <f t="shared" si="45"/>
        <v>282.33</v>
      </c>
      <c r="G447" s="2">
        <f t="shared" si="46"/>
        <v>0</v>
      </c>
      <c r="H447" s="2">
        <f t="shared" si="47"/>
        <v>168671.22999999986</v>
      </c>
    </row>
    <row r="448" spans="1:8" x14ac:dyDescent="0.25">
      <c r="A448" s="1">
        <v>57377</v>
      </c>
      <c r="B448" s="2">
        <f t="shared" si="48"/>
        <v>18322</v>
      </c>
      <c r="C448" s="2">
        <f t="shared" si="42"/>
        <v>0</v>
      </c>
      <c r="D448" s="2">
        <f t="shared" si="43"/>
        <v>18322</v>
      </c>
      <c r="E448" s="2">
        <f t="shared" si="44"/>
        <v>366.44</v>
      </c>
      <c r="F448" s="2">
        <f t="shared" si="45"/>
        <v>274.83</v>
      </c>
      <c r="G448" s="2">
        <f t="shared" si="46"/>
        <v>0</v>
      </c>
      <c r="H448" s="2">
        <f t="shared" si="47"/>
        <v>169312.49999999985</v>
      </c>
    </row>
    <row r="449" spans="1:8" x14ac:dyDescent="0.25">
      <c r="A449" s="1">
        <v>57405</v>
      </c>
      <c r="B449" s="2">
        <f t="shared" si="48"/>
        <v>18322</v>
      </c>
      <c r="C449" s="2">
        <f t="shared" si="42"/>
        <v>0</v>
      </c>
      <c r="D449" s="2">
        <f t="shared" si="43"/>
        <v>18322</v>
      </c>
      <c r="E449" s="2">
        <f t="shared" si="44"/>
        <v>366.44</v>
      </c>
      <c r="F449" s="2">
        <f t="shared" si="45"/>
        <v>274.83</v>
      </c>
      <c r="G449" s="2">
        <f t="shared" si="46"/>
        <v>0</v>
      </c>
      <c r="H449" s="2">
        <f t="shared" si="47"/>
        <v>169953.76999999984</v>
      </c>
    </row>
    <row r="450" spans="1:8" x14ac:dyDescent="0.25">
      <c r="A450" s="1">
        <v>57436</v>
      </c>
      <c r="B450" s="2">
        <f t="shared" si="48"/>
        <v>18322</v>
      </c>
      <c r="C450" s="2">
        <f t="shared" si="42"/>
        <v>500</v>
      </c>
      <c r="D450" s="2">
        <f t="shared" si="43"/>
        <v>18822</v>
      </c>
      <c r="E450" s="2">
        <f t="shared" si="44"/>
        <v>376.44</v>
      </c>
      <c r="F450" s="2">
        <f t="shared" si="45"/>
        <v>282.33</v>
      </c>
      <c r="G450" s="2">
        <f t="shared" si="46"/>
        <v>0</v>
      </c>
      <c r="H450" s="2">
        <f t="shared" si="47"/>
        <v>170612.53999999983</v>
      </c>
    </row>
    <row r="451" spans="1:8" x14ac:dyDescent="0.25">
      <c r="A451" s="1">
        <v>57466</v>
      </c>
      <c r="B451" s="2">
        <f t="shared" si="48"/>
        <v>18322</v>
      </c>
      <c r="C451" s="2">
        <f t="shared" si="42"/>
        <v>0</v>
      </c>
      <c r="D451" s="2">
        <f t="shared" si="43"/>
        <v>18322</v>
      </c>
      <c r="E451" s="2">
        <f t="shared" si="44"/>
        <v>366.44</v>
      </c>
      <c r="F451" s="2">
        <f t="shared" si="45"/>
        <v>274.83</v>
      </c>
      <c r="G451" s="2">
        <f t="shared" si="46"/>
        <v>0</v>
      </c>
      <c r="H451" s="2">
        <f t="shared" si="47"/>
        <v>171253.80999999982</v>
      </c>
    </row>
    <row r="452" spans="1:8" x14ac:dyDescent="0.25">
      <c r="A452" s="1">
        <v>57497</v>
      </c>
      <c r="B452" s="2">
        <f t="shared" si="48"/>
        <v>18322</v>
      </c>
      <c r="C452" s="2">
        <f t="shared" ref="C452:C483" si="49">IF(AND(OR(MONTH(A452)=1,MONTH(A452)=4,MONTH(A452)=7,MONTH(A452)=10),DATE(2020,1,1)&lt;&gt;A452),500,0)</f>
        <v>0</v>
      </c>
      <c r="D452" s="2">
        <f t="shared" ref="D452:D483" si="50">B452+C452</f>
        <v>18322</v>
      </c>
      <c r="E452" s="2">
        <f t="shared" ref="E452:E483" si="51">ROUND(D452*0.02,2)</f>
        <v>366.44</v>
      </c>
      <c r="F452" s="2">
        <f t="shared" ref="F452:F483" si="52">ROUND(D452*0.015,2)</f>
        <v>274.83</v>
      </c>
      <c r="G452" s="2">
        <f t="shared" ref="G452:G483" si="53">IF(MONTH(A452)=12,240,0)</f>
        <v>0</v>
      </c>
      <c r="H452" s="2">
        <f t="shared" ref="H452:H483" si="54">H451+E452+F452+G452</f>
        <v>171895.07999999981</v>
      </c>
    </row>
    <row r="453" spans="1:8" x14ac:dyDescent="0.25">
      <c r="A453" s="1">
        <v>57527</v>
      </c>
      <c r="B453" s="2">
        <f t="shared" ref="B453:B483" si="55">IF(YEAR($A453) &gt; YEAR($A452),IF(AND(MOD(YEAR(A453),4)=0,YEAR(A453)&lt;&gt;2020),ROUNDUP($B452*1.025,0)+500,ROUNDUP($B452*1.025,0)),$B452)</f>
        <v>18322</v>
      </c>
      <c r="C453" s="2">
        <f t="shared" si="49"/>
        <v>500</v>
      </c>
      <c r="D453" s="2">
        <f t="shared" si="50"/>
        <v>18822</v>
      </c>
      <c r="E453" s="2">
        <f t="shared" si="51"/>
        <v>376.44</v>
      </c>
      <c r="F453" s="2">
        <f t="shared" si="52"/>
        <v>282.33</v>
      </c>
      <c r="G453" s="2">
        <f t="shared" si="53"/>
        <v>0</v>
      </c>
      <c r="H453" s="2">
        <f t="shared" si="54"/>
        <v>172553.8499999998</v>
      </c>
    </row>
    <row r="454" spans="1:8" x14ac:dyDescent="0.25">
      <c r="A454" s="1">
        <v>57558</v>
      </c>
      <c r="B454" s="2">
        <f t="shared" si="55"/>
        <v>18322</v>
      </c>
      <c r="C454" s="2">
        <f t="shared" si="49"/>
        <v>0</v>
      </c>
      <c r="D454" s="2">
        <f t="shared" si="50"/>
        <v>18322</v>
      </c>
      <c r="E454" s="2">
        <f t="shared" si="51"/>
        <v>366.44</v>
      </c>
      <c r="F454" s="2">
        <f t="shared" si="52"/>
        <v>274.83</v>
      </c>
      <c r="G454" s="2">
        <f t="shared" si="53"/>
        <v>0</v>
      </c>
      <c r="H454" s="2">
        <f t="shared" si="54"/>
        <v>173195.11999999979</v>
      </c>
    </row>
    <row r="455" spans="1:8" x14ac:dyDescent="0.25">
      <c r="A455" s="1">
        <v>57589</v>
      </c>
      <c r="B455" s="2">
        <f t="shared" si="55"/>
        <v>18322</v>
      </c>
      <c r="C455" s="2">
        <f t="shared" si="49"/>
        <v>0</v>
      </c>
      <c r="D455" s="2">
        <f t="shared" si="50"/>
        <v>18322</v>
      </c>
      <c r="E455" s="2">
        <f t="shared" si="51"/>
        <v>366.44</v>
      </c>
      <c r="F455" s="2">
        <f t="shared" si="52"/>
        <v>274.83</v>
      </c>
      <c r="G455" s="2">
        <f t="shared" si="53"/>
        <v>0</v>
      </c>
      <c r="H455" s="2">
        <f t="shared" si="54"/>
        <v>173836.38999999978</v>
      </c>
    </row>
    <row r="456" spans="1:8" x14ac:dyDescent="0.25">
      <c r="A456" s="1">
        <v>57619</v>
      </c>
      <c r="B456" s="2">
        <f t="shared" si="55"/>
        <v>18322</v>
      </c>
      <c r="C456" s="2">
        <f t="shared" si="49"/>
        <v>500</v>
      </c>
      <c r="D456" s="2">
        <f t="shared" si="50"/>
        <v>18822</v>
      </c>
      <c r="E456" s="2">
        <f t="shared" si="51"/>
        <v>376.44</v>
      </c>
      <c r="F456" s="2">
        <f t="shared" si="52"/>
        <v>282.33</v>
      </c>
      <c r="G456" s="2">
        <f t="shared" si="53"/>
        <v>0</v>
      </c>
      <c r="H456" s="2">
        <f t="shared" si="54"/>
        <v>174495.15999999977</v>
      </c>
    </row>
    <row r="457" spans="1:8" x14ac:dyDescent="0.25">
      <c r="A457" s="1">
        <v>57650</v>
      </c>
      <c r="B457" s="2">
        <f t="shared" si="55"/>
        <v>18322</v>
      </c>
      <c r="C457" s="2">
        <f t="shared" si="49"/>
        <v>0</v>
      </c>
      <c r="D457" s="2">
        <f t="shared" si="50"/>
        <v>18322</v>
      </c>
      <c r="E457" s="2">
        <f t="shared" si="51"/>
        <v>366.44</v>
      </c>
      <c r="F457" s="2">
        <f t="shared" si="52"/>
        <v>274.83</v>
      </c>
      <c r="G457" s="2">
        <f t="shared" si="53"/>
        <v>0</v>
      </c>
      <c r="H457" s="2">
        <f t="shared" si="54"/>
        <v>175136.42999999976</v>
      </c>
    </row>
    <row r="458" spans="1:8" x14ac:dyDescent="0.25">
      <c r="A458" s="1">
        <v>57680</v>
      </c>
      <c r="B458" s="2">
        <f t="shared" si="55"/>
        <v>18322</v>
      </c>
      <c r="C458" s="2">
        <f t="shared" si="49"/>
        <v>0</v>
      </c>
      <c r="D458" s="2">
        <f t="shared" si="50"/>
        <v>18322</v>
      </c>
      <c r="E458" s="2">
        <f t="shared" si="51"/>
        <v>366.44</v>
      </c>
      <c r="F458" s="2">
        <f t="shared" si="52"/>
        <v>274.83</v>
      </c>
      <c r="G458" s="2">
        <f t="shared" si="53"/>
        <v>240</v>
      </c>
      <c r="H458" s="2">
        <f t="shared" si="54"/>
        <v>176017.69999999975</v>
      </c>
    </row>
    <row r="459" spans="1:8" x14ac:dyDescent="0.25">
      <c r="A459" s="1">
        <v>57711</v>
      </c>
      <c r="B459" s="2">
        <f t="shared" si="55"/>
        <v>18781</v>
      </c>
      <c r="C459" s="2">
        <f t="shared" si="49"/>
        <v>500</v>
      </c>
      <c r="D459" s="2">
        <f t="shared" si="50"/>
        <v>19281</v>
      </c>
      <c r="E459" s="2">
        <f t="shared" si="51"/>
        <v>385.62</v>
      </c>
      <c r="F459" s="2">
        <f t="shared" si="52"/>
        <v>289.22000000000003</v>
      </c>
      <c r="G459" s="2">
        <f t="shared" si="53"/>
        <v>0</v>
      </c>
      <c r="H459" s="2">
        <f t="shared" si="54"/>
        <v>176692.53999999975</v>
      </c>
    </row>
    <row r="460" spans="1:8" x14ac:dyDescent="0.25">
      <c r="A460" s="1">
        <v>57742</v>
      </c>
      <c r="B460" s="2">
        <f t="shared" si="55"/>
        <v>18781</v>
      </c>
      <c r="C460" s="2">
        <f t="shared" si="49"/>
        <v>0</v>
      </c>
      <c r="D460" s="2">
        <f t="shared" si="50"/>
        <v>18781</v>
      </c>
      <c r="E460" s="2">
        <f t="shared" si="51"/>
        <v>375.62</v>
      </c>
      <c r="F460" s="2">
        <f t="shared" si="52"/>
        <v>281.72000000000003</v>
      </c>
      <c r="G460" s="2">
        <f t="shared" si="53"/>
        <v>0</v>
      </c>
      <c r="H460" s="2">
        <f t="shared" si="54"/>
        <v>177349.87999999974</v>
      </c>
    </row>
    <row r="461" spans="1:8" x14ac:dyDescent="0.25">
      <c r="A461" s="1">
        <v>57770</v>
      </c>
      <c r="B461" s="2">
        <f t="shared" si="55"/>
        <v>18781</v>
      </c>
      <c r="C461" s="2">
        <f t="shared" si="49"/>
        <v>0</v>
      </c>
      <c r="D461" s="2">
        <f t="shared" si="50"/>
        <v>18781</v>
      </c>
      <c r="E461" s="2">
        <f t="shared" si="51"/>
        <v>375.62</v>
      </c>
      <c r="F461" s="2">
        <f t="shared" si="52"/>
        <v>281.72000000000003</v>
      </c>
      <c r="G461" s="2">
        <f t="shared" si="53"/>
        <v>0</v>
      </c>
      <c r="H461" s="2">
        <f t="shared" si="54"/>
        <v>178007.21999999974</v>
      </c>
    </row>
    <row r="462" spans="1:8" x14ac:dyDescent="0.25">
      <c r="A462" s="1">
        <v>57801</v>
      </c>
      <c r="B462" s="2">
        <f t="shared" si="55"/>
        <v>18781</v>
      </c>
      <c r="C462" s="2">
        <f t="shared" si="49"/>
        <v>500</v>
      </c>
      <c r="D462" s="2">
        <f t="shared" si="50"/>
        <v>19281</v>
      </c>
      <c r="E462" s="2">
        <f t="shared" si="51"/>
        <v>385.62</v>
      </c>
      <c r="F462" s="2">
        <f t="shared" si="52"/>
        <v>289.22000000000003</v>
      </c>
      <c r="G462" s="2">
        <f t="shared" si="53"/>
        <v>0</v>
      </c>
      <c r="H462" s="2">
        <f t="shared" si="54"/>
        <v>178682.05999999974</v>
      </c>
    </row>
    <row r="463" spans="1:8" x14ac:dyDescent="0.25">
      <c r="A463" s="1">
        <v>57831</v>
      </c>
      <c r="B463" s="2">
        <f t="shared" si="55"/>
        <v>18781</v>
      </c>
      <c r="C463" s="2">
        <f t="shared" si="49"/>
        <v>0</v>
      </c>
      <c r="D463" s="2">
        <f t="shared" si="50"/>
        <v>18781</v>
      </c>
      <c r="E463" s="2">
        <f t="shared" si="51"/>
        <v>375.62</v>
      </c>
      <c r="F463" s="2">
        <f t="shared" si="52"/>
        <v>281.72000000000003</v>
      </c>
      <c r="G463" s="2">
        <f t="shared" si="53"/>
        <v>0</v>
      </c>
      <c r="H463" s="2">
        <f t="shared" si="54"/>
        <v>179339.39999999973</v>
      </c>
    </row>
    <row r="464" spans="1:8" x14ac:dyDescent="0.25">
      <c r="A464" s="1">
        <v>57862</v>
      </c>
      <c r="B464" s="2">
        <f t="shared" si="55"/>
        <v>18781</v>
      </c>
      <c r="C464" s="2">
        <f t="shared" si="49"/>
        <v>0</v>
      </c>
      <c r="D464" s="2">
        <f t="shared" si="50"/>
        <v>18781</v>
      </c>
      <c r="E464" s="2">
        <f t="shared" si="51"/>
        <v>375.62</v>
      </c>
      <c r="F464" s="2">
        <f t="shared" si="52"/>
        <v>281.72000000000003</v>
      </c>
      <c r="G464" s="2">
        <f t="shared" si="53"/>
        <v>0</v>
      </c>
      <c r="H464" s="2">
        <f t="shared" si="54"/>
        <v>179996.73999999973</v>
      </c>
    </row>
    <row r="465" spans="1:8" x14ac:dyDescent="0.25">
      <c r="A465" s="1">
        <v>57892</v>
      </c>
      <c r="B465" s="2">
        <f t="shared" si="55"/>
        <v>18781</v>
      </c>
      <c r="C465" s="2">
        <f t="shared" si="49"/>
        <v>500</v>
      </c>
      <c r="D465" s="2">
        <f t="shared" si="50"/>
        <v>19281</v>
      </c>
      <c r="E465" s="2">
        <f t="shared" si="51"/>
        <v>385.62</v>
      </c>
      <c r="F465" s="2">
        <f t="shared" si="52"/>
        <v>289.22000000000003</v>
      </c>
      <c r="G465" s="2">
        <f t="shared" si="53"/>
        <v>0</v>
      </c>
      <c r="H465" s="2">
        <f t="shared" si="54"/>
        <v>180671.57999999973</v>
      </c>
    </row>
    <row r="466" spans="1:8" x14ac:dyDescent="0.25">
      <c r="A466" s="1">
        <v>57923</v>
      </c>
      <c r="B466" s="2">
        <f t="shared" si="55"/>
        <v>18781</v>
      </c>
      <c r="C466" s="2">
        <f t="shared" si="49"/>
        <v>0</v>
      </c>
      <c r="D466" s="2">
        <f t="shared" si="50"/>
        <v>18781</v>
      </c>
      <c r="E466" s="2">
        <f t="shared" si="51"/>
        <v>375.62</v>
      </c>
      <c r="F466" s="2">
        <f t="shared" si="52"/>
        <v>281.72000000000003</v>
      </c>
      <c r="G466" s="2">
        <f t="shared" si="53"/>
        <v>0</v>
      </c>
      <c r="H466" s="2">
        <f t="shared" si="54"/>
        <v>181328.91999999972</v>
      </c>
    </row>
    <row r="467" spans="1:8" x14ac:dyDescent="0.25">
      <c r="A467" s="1">
        <v>57954</v>
      </c>
      <c r="B467" s="2">
        <f t="shared" si="55"/>
        <v>18781</v>
      </c>
      <c r="C467" s="2">
        <f t="shared" si="49"/>
        <v>0</v>
      </c>
      <c r="D467" s="2">
        <f t="shared" si="50"/>
        <v>18781</v>
      </c>
      <c r="E467" s="2">
        <f t="shared" si="51"/>
        <v>375.62</v>
      </c>
      <c r="F467" s="2">
        <f t="shared" si="52"/>
        <v>281.72000000000003</v>
      </c>
      <c r="G467" s="2">
        <f t="shared" si="53"/>
        <v>0</v>
      </c>
      <c r="H467" s="2">
        <f t="shared" si="54"/>
        <v>181986.25999999972</v>
      </c>
    </row>
    <row r="468" spans="1:8" x14ac:dyDescent="0.25">
      <c r="A468" s="1">
        <v>57984</v>
      </c>
      <c r="B468" s="2">
        <f t="shared" si="55"/>
        <v>18781</v>
      </c>
      <c r="C468" s="2">
        <f t="shared" si="49"/>
        <v>500</v>
      </c>
      <c r="D468" s="2">
        <f t="shared" si="50"/>
        <v>19281</v>
      </c>
      <c r="E468" s="2">
        <f t="shared" si="51"/>
        <v>385.62</v>
      </c>
      <c r="F468" s="2">
        <f t="shared" si="52"/>
        <v>289.22000000000003</v>
      </c>
      <c r="G468" s="2">
        <f t="shared" si="53"/>
        <v>0</v>
      </c>
      <c r="H468" s="2">
        <f t="shared" si="54"/>
        <v>182661.09999999971</v>
      </c>
    </row>
    <row r="469" spans="1:8" x14ac:dyDescent="0.25">
      <c r="A469" s="1">
        <v>58015</v>
      </c>
      <c r="B469" s="2">
        <f t="shared" si="55"/>
        <v>18781</v>
      </c>
      <c r="C469" s="2">
        <f t="shared" si="49"/>
        <v>0</v>
      </c>
      <c r="D469" s="2">
        <f t="shared" si="50"/>
        <v>18781</v>
      </c>
      <c r="E469" s="2">
        <f t="shared" si="51"/>
        <v>375.62</v>
      </c>
      <c r="F469" s="2">
        <f t="shared" si="52"/>
        <v>281.72000000000003</v>
      </c>
      <c r="G469" s="2">
        <f t="shared" si="53"/>
        <v>0</v>
      </c>
      <c r="H469" s="2">
        <f t="shared" si="54"/>
        <v>183318.43999999971</v>
      </c>
    </row>
    <row r="470" spans="1:8" x14ac:dyDescent="0.25">
      <c r="A470" s="1">
        <v>58045</v>
      </c>
      <c r="B470" s="2">
        <f t="shared" si="55"/>
        <v>18781</v>
      </c>
      <c r="C470" s="2">
        <f t="shared" si="49"/>
        <v>0</v>
      </c>
      <c r="D470" s="2">
        <f t="shared" si="50"/>
        <v>18781</v>
      </c>
      <c r="E470" s="2">
        <f t="shared" si="51"/>
        <v>375.62</v>
      </c>
      <c r="F470" s="2">
        <f t="shared" si="52"/>
        <v>281.72000000000003</v>
      </c>
      <c r="G470" s="2">
        <f t="shared" si="53"/>
        <v>240</v>
      </c>
      <c r="H470" s="2">
        <f t="shared" si="54"/>
        <v>184215.77999999971</v>
      </c>
    </row>
    <row r="471" spans="1:8" x14ac:dyDescent="0.25">
      <c r="A471" s="1">
        <v>58076</v>
      </c>
      <c r="B471" s="2">
        <f t="shared" si="55"/>
        <v>19251</v>
      </c>
      <c r="C471" s="2">
        <f t="shared" si="49"/>
        <v>500</v>
      </c>
      <c r="D471" s="2">
        <f t="shared" si="50"/>
        <v>19751</v>
      </c>
      <c r="E471" s="2">
        <f t="shared" si="51"/>
        <v>395.02</v>
      </c>
      <c r="F471" s="2">
        <f t="shared" si="52"/>
        <v>296.27</v>
      </c>
      <c r="G471" s="2">
        <f t="shared" si="53"/>
        <v>0</v>
      </c>
      <c r="H471" s="2">
        <f t="shared" si="54"/>
        <v>184907.06999999969</v>
      </c>
    </row>
    <row r="472" spans="1:8" x14ac:dyDescent="0.25">
      <c r="A472" s="1">
        <v>58107</v>
      </c>
      <c r="B472" s="2">
        <f t="shared" si="55"/>
        <v>19251</v>
      </c>
      <c r="C472" s="2">
        <f t="shared" si="49"/>
        <v>0</v>
      </c>
      <c r="D472" s="2">
        <f t="shared" si="50"/>
        <v>19251</v>
      </c>
      <c r="E472" s="2">
        <f t="shared" si="51"/>
        <v>385.02</v>
      </c>
      <c r="F472" s="2">
        <f t="shared" si="52"/>
        <v>288.77</v>
      </c>
      <c r="G472" s="2">
        <f t="shared" si="53"/>
        <v>0</v>
      </c>
      <c r="H472" s="2">
        <f t="shared" si="54"/>
        <v>185580.85999999967</v>
      </c>
    </row>
    <row r="473" spans="1:8" x14ac:dyDescent="0.25">
      <c r="A473" s="1">
        <v>58135</v>
      </c>
      <c r="B473" s="2">
        <f t="shared" si="55"/>
        <v>19251</v>
      </c>
      <c r="C473" s="2">
        <f t="shared" si="49"/>
        <v>0</v>
      </c>
      <c r="D473" s="2">
        <f t="shared" si="50"/>
        <v>19251</v>
      </c>
      <c r="E473" s="2">
        <f t="shared" si="51"/>
        <v>385.02</v>
      </c>
      <c r="F473" s="2">
        <f t="shared" si="52"/>
        <v>288.77</v>
      </c>
      <c r="G473" s="2">
        <f t="shared" si="53"/>
        <v>0</v>
      </c>
      <c r="H473" s="2">
        <f t="shared" si="54"/>
        <v>186254.64999999964</v>
      </c>
    </row>
    <row r="474" spans="1:8" x14ac:dyDescent="0.25">
      <c r="A474" s="1">
        <v>58166</v>
      </c>
      <c r="B474" s="2">
        <f t="shared" si="55"/>
        <v>19251</v>
      </c>
      <c r="C474" s="2">
        <f t="shared" si="49"/>
        <v>500</v>
      </c>
      <c r="D474" s="2">
        <f t="shared" si="50"/>
        <v>19751</v>
      </c>
      <c r="E474" s="2">
        <f t="shared" si="51"/>
        <v>395.02</v>
      </c>
      <c r="F474" s="2">
        <f t="shared" si="52"/>
        <v>296.27</v>
      </c>
      <c r="G474" s="2">
        <f t="shared" si="53"/>
        <v>0</v>
      </c>
      <c r="H474" s="2">
        <f t="shared" si="54"/>
        <v>186945.93999999962</v>
      </c>
    </row>
    <row r="475" spans="1:8" x14ac:dyDescent="0.25">
      <c r="A475" s="1">
        <v>58196</v>
      </c>
      <c r="B475" s="2">
        <f t="shared" si="55"/>
        <v>19251</v>
      </c>
      <c r="C475" s="2">
        <f t="shared" si="49"/>
        <v>0</v>
      </c>
      <c r="D475" s="2">
        <f t="shared" si="50"/>
        <v>19251</v>
      </c>
      <c r="E475" s="2">
        <f t="shared" si="51"/>
        <v>385.02</v>
      </c>
      <c r="F475" s="2">
        <f t="shared" si="52"/>
        <v>288.77</v>
      </c>
      <c r="G475" s="2">
        <f t="shared" si="53"/>
        <v>0</v>
      </c>
      <c r="H475" s="2">
        <f t="shared" si="54"/>
        <v>187619.7299999996</v>
      </c>
    </row>
    <row r="476" spans="1:8" x14ac:dyDescent="0.25">
      <c r="A476" s="1">
        <v>58227</v>
      </c>
      <c r="B476" s="2">
        <f t="shared" si="55"/>
        <v>19251</v>
      </c>
      <c r="C476" s="2">
        <f t="shared" si="49"/>
        <v>0</v>
      </c>
      <c r="D476" s="2">
        <f t="shared" si="50"/>
        <v>19251</v>
      </c>
      <c r="E476" s="2">
        <f t="shared" si="51"/>
        <v>385.02</v>
      </c>
      <c r="F476" s="2">
        <f t="shared" si="52"/>
        <v>288.77</v>
      </c>
      <c r="G476" s="2">
        <f t="shared" si="53"/>
        <v>0</v>
      </c>
      <c r="H476" s="2">
        <f t="shared" si="54"/>
        <v>188293.51999999958</v>
      </c>
    </row>
    <row r="477" spans="1:8" x14ac:dyDescent="0.25">
      <c r="A477" s="1">
        <v>58257</v>
      </c>
      <c r="B477" s="2">
        <f t="shared" si="55"/>
        <v>19251</v>
      </c>
      <c r="C477" s="2">
        <f t="shared" si="49"/>
        <v>500</v>
      </c>
      <c r="D477" s="2">
        <f t="shared" si="50"/>
        <v>19751</v>
      </c>
      <c r="E477" s="2">
        <f t="shared" si="51"/>
        <v>395.02</v>
      </c>
      <c r="F477" s="2">
        <f t="shared" si="52"/>
        <v>296.27</v>
      </c>
      <c r="G477" s="2">
        <f t="shared" si="53"/>
        <v>0</v>
      </c>
      <c r="H477" s="2">
        <f t="shared" si="54"/>
        <v>188984.80999999956</v>
      </c>
    </row>
    <row r="478" spans="1:8" x14ac:dyDescent="0.25">
      <c r="A478" s="1">
        <v>58288</v>
      </c>
      <c r="B478" s="2">
        <f t="shared" si="55"/>
        <v>19251</v>
      </c>
      <c r="C478" s="2">
        <f t="shared" si="49"/>
        <v>0</v>
      </c>
      <c r="D478" s="2">
        <f t="shared" si="50"/>
        <v>19251</v>
      </c>
      <c r="E478" s="2">
        <f t="shared" si="51"/>
        <v>385.02</v>
      </c>
      <c r="F478" s="2">
        <f t="shared" si="52"/>
        <v>288.77</v>
      </c>
      <c r="G478" s="2">
        <f t="shared" si="53"/>
        <v>0</v>
      </c>
      <c r="H478" s="2">
        <f t="shared" si="54"/>
        <v>189658.59999999954</v>
      </c>
    </row>
    <row r="479" spans="1:8" x14ac:dyDescent="0.25">
      <c r="A479" s="1">
        <v>58319</v>
      </c>
      <c r="B479" s="2">
        <f t="shared" si="55"/>
        <v>19251</v>
      </c>
      <c r="C479" s="2">
        <f t="shared" si="49"/>
        <v>0</v>
      </c>
      <c r="D479" s="2">
        <f t="shared" si="50"/>
        <v>19251</v>
      </c>
      <c r="E479" s="2">
        <f t="shared" si="51"/>
        <v>385.02</v>
      </c>
      <c r="F479" s="2">
        <f t="shared" si="52"/>
        <v>288.77</v>
      </c>
      <c r="G479" s="2">
        <f t="shared" si="53"/>
        <v>0</v>
      </c>
      <c r="H479" s="2">
        <f t="shared" si="54"/>
        <v>190332.38999999952</v>
      </c>
    </row>
    <row r="480" spans="1:8" x14ac:dyDescent="0.25">
      <c r="A480" s="1">
        <v>58349</v>
      </c>
      <c r="B480" s="2">
        <f t="shared" si="55"/>
        <v>19251</v>
      </c>
      <c r="C480" s="2">
        <f t="shared" si="49"/>
        <v>500</v>
      </c>
      <c r="D480" s="2">
        <f t="shared" si="50"/>
        <v>19751</v>
      </c>
      <c r="E480" s="2">
        <f t="shared" si="51"/>
        <v>395.02</v>
      </c>
      <c r="F480" s="2">
        <f t="shared" si="52"/>
        <v>296.27</v>
      </c>
      <c r="G480" s="2">
        <f t="shared" si="53"/>
        <v>0</v>
      </c>
      <c r="H480" s="2">
        <f t="shared" si="54"/>
        <v>191023.6799999995</v>
      </c>
    </row>
    <row r="481" spans="1:8" x14ac:dyDescent="0.25">
      <c r="A481" s="1">
        <v>58380</v>
      </c>
      <c r="B481" s="2">
        <f t="shared" si="55"/>
        <v>19251</v>
      </c>
      <c r="C481" s="2">
        <f t="shared" si="49"/>
        <v>0</v>
      </c>
      <c r="D481" s="2">
        <f t="shared" si="50"/>
        <v>19251</v>
      </c>
      <c r="E481" s="2">
        <f t="shared" si="51"/>
        <v>385.02</v>
      </c>
      <c r="F481" s="2">
        <f t="shared" si="52"/>
        <v>288.77</v>
      </c>
      <c r="G481" s="2">
        <f t="shared" si="53"/>
        <v>0</v>
      </c>
      <c r="H481" s="2">
        <f t="shared" si="54"/>
        <v>191697.46999999948</v>
      </c>
    </row>
    <row r="482" spans="1:8" x14ac:dyDescent="0.25">
      <c r="A482" s="1">
        <v>58410</v>
      </c>
      <c r="B482" s="2">
        <f t="shared" si="55"/>
        <v>19251</v>
      </c>
      <c r="C482" s="2">
        <f t="shared" si="49"/>
        <v>0</v>
      </c>
      <c r="D482" s="2">
        <f t="shared" si="50"/>
        <v>19251</v>
      </c>
      <c r="E482" s="2">
        <f t="shared" si="51"/>
        <v>385.02</v>
      </c>
      <c r="F482" s="2">
        <f t="shared" si="52"/>
        <v>288.77</v>
      </c>
      <c r="G482" s="2">
        <f t="shared" si="53"/>
        <v>240</v>
      </c>
      <c r="H482" s="2">
        <f t="shared" si="54"/>
        <v>192611.25999999946</v>
      </c>
    </row>
    <row r="483" spans="1:8" x14ac:dyDescent="0.25">
      <c r="A483" s="1">
        <v>58441</v>
      </c>
      <c r="B483" s="2">
        <f t="shared" si="55"/>
        <v>20233</v>
      </c>
      <c r="C483" s="2">
        <f t="shared" si="49"/>
        <v>500</v>
      </c>
      <c r="D483" s="2">
        <f t="shared" si="50"/>
        <v>20733</v>
      </c>
      <c r="E483" s="2">
        <f t="shared" si="51"/>
        <v>414.66</v>
      </c>
      <c r="F483" s="2">
        <f t="shared" si="52"/>
        <v>311</v>
      </c>
      <c r="G483" s="2">
        <f t="shared" si="53"/>
        <v>0</v>
      </c>
      <c r="H483" s="2">
        <f t="shared" si="54"/>
        <v>193336.91999999946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D33D-D9AA-4644-8044-00D56BE77C59}">
  <dimension ref="A1:C46"/>
  <sheetViews>
    <sheetView workbookViewId="0">
      <selection activeCell="C1" sqref="C1"/>
    </sheetView>
  </sheetViews>
  <sheetFormatPr defaultRowHeight="15" x14ac:dyDescent="0.25"/>
  <cols>
    <col min="1" max="1" width="17.7109375" bestFit="1" customWidth="1"/>
    <col min="2" max="2" width="33.140625" style="2" bestFit="1" customWidth="1"/>
    <col min="3" max="3" width="31.85546875" style="2" bestFit="1" customWidth="1"/>
  </cols>
  <sheetData>
    <row r="1" spans="1:3" x14ac:dyDescent="0.25">
      <c r="B1"/>
      <c r="C1"/>
    </row>
    <row r="2" spans="1:3" x14ac:dyDescent="0.25">
      <c r="B2"/>
      <c r="C2"/>
    </row>
    <row r="3" spans="1:3" x14ac:dyDescent="0.25">
      <c r="A3" s="3" t="s">
        <v>12</v>
      </c>
      <c r="B3" t="s">
        <v>56</v>
      </c>
      <c r="C3" t="s">
        <v>57</v>
      </c>
    </row>
    <row r="4" spans="1:3" x14ac:dyDescent="0.25">
      <c r="A4" s="4" t="s">
        <v>14</v>
      </c>
    </row>
    <row r="5" spans="1:3" x14ac:dyDescent="0.25">
      <c r="A5" s="4" t="s">
        <v>15</v>
      </c>
      <c r="B5" s="2">
        <v>832.5</v>
      </c>
      <c r="C5" s="2">
        <v>1110</v>
      </c>
    </row>
    <row r="6" spans="1:3" x14ac:dyDescent="0.25">
      <c r="A6" s="4" t="s">
        <v>16</v>
      </c>
      <c r="B6" s="2">
        <v>860.4000000000002</v>
      </c>
      <c r="C6" s="2">
        <v>1147.1200000000001</v>
      </c>
    </row>
    <row r="7" spans="1:3" x14ac:dyDescent="0.25">
      <c r="A7" s="4" t="s">
        <v>17</v>
      </c>
      <c r="B7" s="2">
        <v>881.2800000000002</v>
      </c>
      <c r="C7" s="2">
        <v>1174.96</v>
      </c>
    </row>
    <row r="8" spans="1:3" x14ac:dyDescent="0.25">
      <c r="A8" s="4" t="s">
        <v>18</v>
      </c>
      <c r="B8" s="2">
        <v>902.64000000000021</v>
      </c>
      <c r="C8" s="2">
        <v>1203.5200000000002</v>
      </c>
    </row>
    <row r="9" spans="1:3" x14ac:dyDescent="0.25">
      <c r="A9" s="4" t="s">
        <v>19</v>
      </c>
      <c r="B9" s="2">
        <v>1014.5999999999998</v>
      </c>
      <c r="C9" s="2">
        <v>1352.8000000000002</v>
      </c>
    </row>
    <row r="10" spans="1:3" x14ac:dyDescent="0.25">
      <c r="A10" s="4" t="s">
        <v>20</v>
      </c>
      <c r="B10" s="2">
        <v>1039.32</v>
      </c>
      <c r="C10" s="2">
        <v>1385.6800000000003</v>
      </c>
    </row>
    <row r="11" spans="1:3" x14ac:dyDescent="0.25">
      <c r="A11" s="4" t="s">
        <v>21</v>
      </c>
      <c r="B11" s="2">
        <v>1064.6400000000001</v>
      </c>
      <c r="C11" s="2">
        <v>1419.5200000000002</v>
      </c>
    </row>
    <row r="12" spans="1:3" x14ac:dyDescent="0.25">
      <c r="A12" s="4" t="s">
        <v>22</v>
      </c>
      <c r="B12" s="2">
        <v>1090.56</v>
      </c>
      <c r="C12" s="2">
        <v>1454.08</v>
      </c>
    </row>
    <row r="13" spans="1:3" x14ac:dyDescent="0.25">
      <c r="A13" s="4" t="s">
        <v>23</v>
      </c>
      <c r="B13" s="2">
        <v>1207.2</v>
      </c>
      <c r="C13" s="2">
        <v>1609.5999999999997</v>
      </c>
    </row>
    <row r="14" spans="1:3" x14ac:dyDescent="0.25">
      <c r="A14" s="4" t="s">
        <v>24</v>
      </c>
      <c r="B14" s="2">
        <v>1236.7199999999996</v>
      </c>
      <c r="C14" s="2">
        <v>1648.9599999999998</v>
      </c>
    </row>
    <row r="15" spans="1:3" x14ac:dyDescent="0.25">
      <c r="A15" s="4" t="s">
        <v>25</v>
      </c>
      <c r="B15" s="2">
        <v>1266.96</v>
      </c>
      <c r="C15" s="2">
        <v>1689.2800000000004</v>
      </c>
    </row>
    <row r="16" spans="1:3" x14ac:dyDescent="0.25">
      <c r="A16" s="4" t="s">
        <v>26</v>
      </c>
      <c r="B16" s="2">
        <v>1297.92</v>
      </c>
      <c r="C16" s="2">
        <v>1730.5600000000004</v>
      </c>
    </row>
    <row r="17" spans="1:3" x14ac:dyDescent="0.25">
      <c r="A17" s="4" t="s">
        <v>27</v>
      </c>
      <c r="B17" s="2">
        <v>1419.8399999999995</v>
      </c>
      <c r="C17" s="2">
        <v>1893.0400000000002</v>
      </c>
    </row>
    <row r="18" spans="1:3" x14ac:dyDescent="0.25">
      <c r="A18" s="4" t="s">
        <v>28</v>
      </c>
      <c r="B18" s="2">
        <v>1454.76</v>
      </c>
      <c r="C18" s="2">
        <v>1939.5999999999997</v>
      </c>
    </row>
    <row r="19" spans="1:3" x14ac:dyDescent="0.25">
      <c r="A19" s="4" t="s">
        <v>29</v>
      </c>
      <c r="B19" s="2">
        <v>1490.4000000000003</v>
      </c>
      <c r="C19" s="2">
        <v>1987.12</v>
      </c>
    </row>
    <row r="20" spans="1:3" x14ac:dyDescent="0.25">
      <c r="A20" s="4" t="s">
        <v>30</v>
      </c>
      <c r="B20" s="2">
        <v>1526.88</v>
      </c>
      <c r="C20" s="2">
        <v>2035.8399999999995</v>
      </c>
    </row>
    <row r="21" spans="1:3" x14ac:dyDescent="0.25">
      <c r="A21" s="4" t="s">
        <v>31</v>
      </c>
      <c r="B21" s="2">
        <v>1654.3200000000006</v>
      </c>
      <c r="C21" s="2">
        <v>2205.7599999999998</v>
      </c>
    </row>
    <row r="22" spans="1:3" x14ac:dyDescent="0.25">
      <c r="A22" s="4" t="s">
        <v>32</v>
      </c>
      <c r="B22" s="2">
        <v>1695</v>
      </c>
      <c r="C22" s="2">
        <v>2260</v>
      </c>
    </row>
    <row r="23" spans="1:3" x14ac:dyDescent="0.25">
      <c r="A23" s="4" t="s">
        <v>33</v>
      </c>
      <c r="B23" s="2">
        <v>1736.76</v>
      </c>
      <c r="C23" s="2">
        <v>2315.6799999999994</v>
      </c>
    </row>
    <row r="24" spans="1:3" x14ac:dyDescent="0.25">
      <c r="A24" s="4" t="s">
        <v>34</v>
      </c>
      <c r="B24" s="2">
        <v>1779.5999999999997</v>
      </c>
      <c r="C24" s="2">
        <v>2372.8000000000006</v>
      </c>
    </row>
    <row r="25" spans="1:3" x14ac:dyDescent="0.25">
      <c r="A25" s="4" t="s">
        <v>35</v>
      </c>
      <c r="B25" s="2">
        <v>1913.4000000000003</v>
      </c>
      <c r="C25" s="2">
        <v>2551.12</v>
      </c>
    </row>
    <row r="26" spans="1:3" x14ac:dyDescent="0.25">
      <c r="A26" s="4" t="s">
        <v>36</v>
      </c>
      <c r="B26" s="2">
        <v>1960.5600000000004</v>
      </c>
      <c r="C26" s="2">
        <v>2614</v>
      </c>
    </row>
    <row r="27" spans="1:3" x14ac:dyDescent="0.25">
      <c r="A27" s="4" t="s">
        <v>37</v>
      </c>
      <c r="B27" s="2">
        <v>2008.9200000000003</v>
      </c>
      <c r="C27" s="2">
        <v>2678.5600000000009</v>
      </c>
    </row>
    <row r="28" spans="1:3" x14ac:dyDescent="0.25">
      <c r="A28" s="4" t="s">
        <v>38</v>
      </c>
      <c r="B28" s="2">
        <v>2058.48</v>
      </c>
      <c r="C28" s="2">
        <v>2744.5600000000009</v>
      </c>
    </row>
    <row r="29" spans="1:3" x14ac:dyDescent="0.25">
      <c r="A29" s="4" t="s">
        <v>39</v>
      </c>
      <c r="B29" s="2">
        <v>2199.2400000000002</v>
      </c>
      <c r="C29" s="2">
        <v>2932.2400000000002</v>
      </c>
    </row>
    <row r="30" spans="1:3" x14ac:dyDescent="0.25">
      <c r="A30" s="4" t="s">
        <v>40</v>
      </c>
      <c r="B30" s="2">
        <v>2253.6</v>
      </c>
      <c r="C30" s="2">
        <v>3004.72</v>
      </c>
    </row>
    <row r="31" spans="1:3" x14ac:dyDescent="0.25">
      <c r="A31" s="4" t="s">
        <v>41</v>
      </c>
      <c r="B31" s="2">
        <v>2309.1600000000003</v>
      </c>
      <c r="C31" s="2">
        <v>3078.8799999999992</v>
      </c>
    </row>
    <row r="32" spans="1:3" x14ac:dyDescent="0.25">
      <c r="A32" s="4" t="s">
        <v>42</v>
      </c>
      <c r="B32" s="2">
        <v>2366.2800000000002</v>
      </c>
      <c r="C32" s="2">
        <v>3154.9599999999996</v>
      </c>
    </row>
    <row r="33" spans="1:3" x14ac:dyDescent="0.25">
      <c r="A33" s="4" t="s">
        <v>43</v>
      </c>
      <c r="B33" s="2">
        <v>2514.7199999999998</v>
      </c>
      <c r="C33" s="2">
        <v>3352.9599999999996</v>
      </c>
    </row>
    <row r="34" spans="1:3" x14ac:dyDescent="0.25">
      <c r="A34" s="4" t="s">
        <v>44</v>
      </c>
      <c r="B34" s="2">
        <v>2577</v>
      </c>
      <c r="C34" s="2">
        <v>3436</v>
      </c>
    </row>
    <row r="35" spans="1:3" x14ac:dyDescent="0.25">
      <c r="A35" s="4" t="s">
        <v>45</v>
      </c>
      <c r="B35" s="2">
        <v>2640.72</v>
      </c>
      <c r="C35" s="2">
        <v>3520.9599999999996</v>
      </c>
    </row>
    <row r="36" spans="1:3" x14ac:dyDescent="0.25">
      <c r="A36" s="4" t="s">
        <v>46</v>
      </c>
      <c r="B36" s="2">
        <v>2706.12</v>
      </c>
      <c r="C36" s="2">
        <v>3608.0800000000004</v>
      </c>
    </row>
    <row r="37" spans="1:3" x14ac:dyDescent="0.25">
      <c r="A37" s="4" t="s">
        <v>47</v>
      </c>
      <c r="B37" s="2">
        <v>2863.0800000000004</v>
      </c>
      <c r="C37" s="2">
        <v>3817.3599999999988</v>
      </c>
    </row>
    <row r="38" spans="1:3" x14ac:dyDescent="0.25">
      <c r="A38" s="4" t="s">
        <v>48</v>
      </c>
      <c r="B38" s="2">
        <v>2934</v>
      </c>
      <c r="C38" s="2">
        <v>3911.9199999999996</v>
      </c>
    </row>
    <row r="39" spans="1:3" x14ac:dyDescent="0.25">
      <c r="A39" s="4" t="s">
        <v>49</v>
      </c>
      <c r="B39" s="2">
        <v>3006.72</v>
      </c>
      <c r="C39" s="2">
        <v>4008.8799999999992</v>
      </c>
    </row>
    <row r="40" spans="1:3" x14ac:dyDescent="0.25">
      <c r="A40" s="4" t="s">
        <v>50</v>
      </c>
      <c r="B40" s="2">
        <v>3081.24</v>
      </c>
      <c r="C40" s="2">
        <v>4108.24</v>
      </c>
    </row>
    <row r="41" spans="1:3" x14ac:dyDescent="0.25">
      <c r="A41" s="4" t="s">
        <v>51</v>
      </c>
      <c r="B41" s="2">
        <v>3247.5600000000009</v>
      </c>
      <c r="C41" s="2">
        <v>4330</v>
      </c>
    </row>
    <row r="42" spans="1:3" x14ac:dyDescent="0.25">
      <c r="A42" s="4" t="s">
        <v>52</v>
      </c>
      <c r="B42" s="2">
        <v>3327.9599999999996</v>
      </c>
      <c r="C42" s="2">
        <v>4437.28</v>
      </c>
    </row>
    <row r="43" spans="1:3" x14ac:dyDescent="0.25">
      <c r="A43" s="4" t="s">
        <v>53</v>
      </c>
      <c r="B43" s="2">
        <v>3410.6400000000012</v>
      </c>
      <c r="C43" s="2">
        <v>4547.4399999999996</v>
      </c>
    </row>
    <row r="44" spans="1:3" x14ac:dyDescent="0.25">
      <c r="A44" s="4" t="s">
        <v>54</v>
      </c>
      <c r="B44" s="2">
        <v>3495.24</v>
      </c>
      <c r="C44" s="2">
        <v>4660.24</v>
      </c>
    </row>
    <row r="45" spans="1:3" x14ac:dyDescent="0.25">
      <c r="A45" s="4" t="s">
        <v>55</v>
      </c>
      <c r="B45" s="2">
        <v>311</v>
      </c>
      <c r="C45" s="2">
        <v>414.66</v>
      </c>
    </row>
    <row r="46" spans="1:3" x14ac:dyDescent="0.25">
      <c r="A46" s="4" t="s">
        <v>13</v>
      </c>
      <c r="B46" s="2">
        <v>78637.940000000017</v>
      </c>
      <c r="C46" s="2">
        <v>104848.98000000001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3696-3426-41D0-921F-0CBD5187771B}">
  <dimension ref="A1:B45"/>
  <sheetViews>
    <sheetView tabSelected="1" zoomScale="85" zoomScaleNormal="85" workbookViewId="0">
      <selection activeCell="A4" sqref="A4"/>
    </sheetView>
  </sheetViews>
  <sheetFormatPr defaultRowHeight="15" x14ac:dyDescent="0.25"/>
  <cols>
    <col min="1" max="1" width="17.7109375" bestFit="1" customWidth="1"/>
    <col min="2" max="2" width="31" style="2" bestFit="1" customWidth="1"/>
  </cols>
  <sheetData>
    <row r="1" spans="1:2" x14ac:dyDescent="0.25">
      <c r="B1"/>
    </row>
    <row r="2" spans="1:2" x14ac:dyDescent="0.25">
      <c r="B2"/>
    </row>
    <row r="3" spans="1:2" x14ac:dyDescent="0.25">
      <c r="A3" s="3" t="s">
        <v>12</v>
      </c>
      <c r="B3" t="s">
        <v>62</v>
      </c>
    </row>
    <row r="4" spans="1:2" x14ac:dyDescent="0.25">
      <c r="A4" s="4" t="s">
        <v>15</v>
      </c>
      <c r="B4" s="2">
        <v>157.5</v>
      </c>
    </row>
    <row r="5" spans="1:2" x14ac:dyDescent="0.25">
      <c r="A5" s="4" t="s">
        <v>16</v>
      </c>
      <c r="B5" s="2">
        <v>161.46</v>
      </c>
    </row>
    <row r="6" spans="1:2" x14ac:dyDescent="0.25">
      <c r="A6" s="4" t="s">
        <v>17</v>
      </c>
      <c r="B6" s="2">
        <v>165.51999999999998</v>
      </c>
    </row>
    <row r="7" spans="1:2" x14ac:dyDescent="0.25">
      <c r="A7" s="4" t="s">
        <v>18</v>
      </c>
      <c r="B7" s="2">
        <v>169.68</v>
      </c>
    </row>
    <row r="8" spans="1:2" x14ac:dyDescent="0.25">
      <c r="A8" s="4" t="s">
        <v>19</v>
      </c>
      <c r="B8" s="2">
        <v>191.45</v>
      </c>
    </row>
    <row r="9" spans="1:2" x14ac:dyDescent="0.25">
      <c r="A9" s="4" t="s">
        <v>20</v>
      </c>
      <c r="B9" s="2">
        <v>196.25</v>
      </c>
    </row>
    <row r="10" spans="1:2" x14ac:dyDescent="0.25">
      <c r="A10" s="4" t="s">
        <v>21</v>
      </c>
      <c r="B10" s="2">
        <v>201.18</v>
      </c>
    </row>
    <row r="11" spans="1:2" x14ac:dyDescent="0.25">
      <c r="A11" s="4" t="s">
        <v>22</v>
      </c>
      <c r="B11" s="2">
        <v>206.22</v>
      </c>
    </row>
    <row r="12" spans="1:2" x14ac:dyDescent="0.25">
      <c r="A12" s="4" t="s">
        <v>23</v>
      </c>
      <c r="B12" s="2">
        <v>228.9</v>
      </c>
    </row>
    <row r="13" spans="1:2" x14ac:dyDescent="0.25">
      <c r="A13" s="4" t="s">
        <v>24</v>
      </c>
      <c r="B13" s="2">
        <v>234.64000000000001</v>
      </c>
    </row>
    <row r="14" spans="1:2" x14ac:dyDescent="0.25">
      <c r="A14" s="4" t="s">
        <v>25</v>
      </c>
      <c r="B14" s="2">
        <v>240.51999999999998</v>
      </c>
    </row>
    <row r="15" spans="1:2" x14ac:dyDescent="0.25">
      <c r="A15" s="4" t="s">
        <v>26</v>
      </c>
      <c r="B15" s="2">
        <v>246.54</v>
      </c>
    </row>
    <row r="16" spans="1:2" x14ac:dyDescent="0.25">
      <c r="A16" s="4" t="s">
        <v>27</v>
      </c>
      <c r="B16" s="2">
        <v>270.24</v>
      </c>
    </row>
    <row r="17" spans="1:2" x14ac:dyDescent="0.25">
      <c r="A17" s="4" t="s">
        <v>28</v>
      </c>
      <c r="B17" s="2">
        <v>277.03000000000003</v>
      </c>
    </row>
    <row r="18" spans="1:2" x14ac:dyDescent="0.25">
      <c r="A18" s="4" t="s">
        <v>29</v>
      </c>
      <c r="B18" s="2">
        <v>649.04</v>
      </c>
    </row>
    <row r="19" spans="1:2" x14ac:dyDescent="0.25">
      <c r="A19" s="4" t="s">
        <v>30</v>
      </c>
      <c r="B19" s="2">
        <v>665.28</v>
      </c>
    </row>
    <row r="20" spans="1:2" x14ac:dyDescent="0.25">
      <c r="A20" s="4" t="s">
        <v>31</v>
      </c>
      <c r="B20" s="2">
        <v>721.92</v>
      </c>
    </row>
    <row r="21" spans="1:2" x14ac:dyDescent="0.25">
      <c r="A21" s="4" t="s">
        <v>32</v>
      </c>
      <c r="B21" s="2">
        <v>740</v>
      </c>
    </row>
    <row r="22" spans="1:2" x14ac:dyDescent="0.25">
      <c r="A22" s="4" t="s">
        <v>33</v>
      </c>
      <c r="B22" s="2">
        <v>758.56</v>
      </c>
    </row>
    <row r="23" spans="1:2" x14ac:dyDescent="0.25">
      <c r="A23" s="4" t="s">
        <v>34</v>
      </c>
      <c r="B23" s="2">
        <v>777.6</v>
      </c>
    </row>
    <row r="24" spans="1:2" x14ac:dyDescent="0.25">
      <c r="A24" s="4" t="s">
        <v>35</v>
      </c>
      <c r="B24" s="2">
        <v>837.04</v>
      </c>
    </row>
    <row r="25" spans="1:2" x14ac:dyDescent="0.25">
      <c r="A25" s="4" t="s">
        <v>36</v>
      </c>
      <c r="B25" s="2">
        <v>858</v>
      </c>
    </row>
    <row r="26" spans="1:2" x14ac:dyDescent="0.25">
      <c r="A26" s="4" t="s">
        <v>37</v>
      </c>
      <c r="B26" s="2">
        <v>879.52</v>
      </c>
    </row>
    <row r="27" spans="1:2" x14ac:dyDescent="0.25">
      <c r="A27" s="4" t="s">
        <v>38</v>
      </c>
      <c r="B27" s="2">
        <v>901.52</v>
      </c>
    </row>
    <row r="28" spans="1:2" x14ac:dyDescent="0.25">
      <c r="A28" s="4" t="s">
        <v>39</v>
      </c>
      <c r="B28" s="2">
        <v>964.08</v>
      </c>
    </row>
    <row r="29" spans="1:2" x14ac:dyDescent="0.25">
      <c r="A29" s="4" t="s">
        <v>40</v>
      </c>
      <c r="B29" s="2">
        <v>988.24</v>
      </c>
    </row>
    <row r="30" spans="1:2" x14ac:dyDescent="0.25">
      <c r="A30" s="4" t="s">
        <v>41</v>
      </c>
      <c r="B30" s="2">
        <v>1012.96</v>
      </c>
    </row>
    <row r="31" spans="1:2" x14ac:dyDescent="0.25">
      <c r="A31" s="4" t="s">
        <v>42</v>
      </c>
      <c r="B31" s="2">
        <v>1038.32</v>
      </c>
    </row>
    <row r="32" spans="1:2" x14ac:dyDescent="0.25">
      <c r="A32" s="4" t="s">
        <v>43</v>
      </c>
      <c r="B32" s="2">
        <v>1104.32</v>
      </c>
    </row>
    <row r="33" spans="1:2" x14ac:dyDescent="0.25">
      <c r="A33" s="4" t="s">
        <v>44</v>
      </c>
      <c r="B33" s="2">
        <v>1132</v>
      </c>
    </row>
    <row r="34" spans="1:2" x14ac:dyDescent="0.25">
      <c r="A34" s="4" t="s">
        <v>45</v>
      </c>
      <c r="B34" s="2">
        <v>1160.32</v>
      </c>
    </row>
    <row r="35" spans="1:2" x14ac:dyDescent="0.25">
      <c r="A35" s="4" t="s">
        <v>46</v>
      </c>
      <c r="B35" s="2">
        <v>1189.3599999999999</v>
      </c>
    </row>
    <row r="36" spans="1:2" x14ac:dyDescent="0.25">
      <c r="A36" s="4" t="s">
        <v>47</v>
      </c>
      <c r="B36" s="2">
        <v>1259.1199999999999</v>
      </c>
    </row>
    <row r="37" spans="1:2" x14ac:dyDescent="0.25">
      <c r="A37" s="4" t="s">
        <v>48</v>
      </c>
      <c r="B37" s="2">
        <v>1290.6400000000001</v>
      </c>
    </row>
    <row r="38" spans="1:2" x14ac:dyDescent="0.25">
      <c r="A38" s="4" t="s">
        <v>49</v>
      </c>
      <c r="B38" s="2">
        <v>1322.96</v>
      </c>
    </row>
    <row r="39" spans="1:2" x14ac:dyDescent="0.25">
      <c r="A39" s="4" t="s">
        <v>50</v>
      </c>
      <c r="B39" s="2">
        <v>1356.08</v>
      </c>
    </row>
    <row r="40" spans="1:2" x14ac:dyDescent="0.25">
      <c r="A40" s="4" t="s">
        <v>51</v>
      </c>
      <c r="B40" s="2">
        <v>1430</v>
      </c>
    </row>
    <row r="41" spans="1:2" x14ac:dyDescent="0.25">
      <c r="A41" s="4" t="s">
        <v>52</v>
      </c>
      <c r="B41" s="2">
        <v>1465.76</v>
      </c>
    </row>
    <row r="42" spans="1:2" x14ac:dyDescent="0.25">
      <c r="A42" s="4" t="s">
        <v>53</v>
      </c>
      <c r="B42" s="2">
        <v>1502.48</v>
      </c>
    </row>
    <row r="43" spans="1:2" x14ac:dyDescent="0.25">
      <c r="A43" s="4" t="s">
        <v>54</v>
      </c>
      <c r="B43" s="2">
        <v>1540.08</v>
      </c>
    </row>
    <row r="44" spans="1:2" x14ac:dyDescent="0.25">
      <c r="A44" s="4" t="s">
        <v>13</v>
      </c>
      <c r="B44" s="2">
        <v>30492.329999999994</v>
      </c>
    </row>
    <row r="45" spans="1:2" x14ac:dyDescent="0.25">
      <c r="B45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55AC-C562-4758-BC6F-23719BF6A774}">
  <dimension ref="A1:L483"/>
  <sheetViews>
    <sheetView workbookViewId="0">
      <selection activeCell="O6" sqref="O6"/>
    </sheetView>
  </sheetViews>
  <sheetFormatPr defaultRowHeight="15" x14ac:dyDescent="0.25"/>
  <cols>
    <col min="1" max="1" width="17.7109375" customWidth="1"/>
    <col min="2" max="2" width="15.42578125" customWidth="1"/>
    <col min="4" max="4" width="17.5703125" customWidth="1"/>
    <col min="5" max="5" width="14.28515625" customWidth="1"/>
    <col min="6" max="6" width="15.140625" customWidth="1"/>
    <col min="7" max="7" width="17" customWidth="1"/>
    <col min="8" max="8" width="25" customWidth="1"/>
    <col min="9" max="9" width="15.5703125" customWidth="1"/>
    <col min="12" max="12" width="9.85546875" bestFit="1" customWidth="1"/>
  </cols>
  <sheetData>
    <row r="1" spans="1:12" x14ac:dyDescent="0.25">
      <c r="B1" s="2"/>
      <c r="C1" s="2"/>
      <c r="D1" s="2"/>
      <c r="I1" t="s">
        <v>7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61</v>
      </c>
      <c r="I2" s="2">
        <v>250</v>
      </c>
    </row>
    <row r="3" spans="1:12" x14ac:dyDescent="0.25">
      <c r="A3" s="1">
        <v>43831</v>
      </c>
      <c r="B3" s="2">
        <v>4500</v>
      </c>
      <c r="C3" s="2">
        <f>IF(AND(OR(MONTH(A3)=1,MONTH(A3)=4,MONTH(A3)=7,MONTH(A3)=10),DATE(2020,1,1)&lt;&gt;A3),500,0)</f>
        <v>0</v>
      </c>
      <c r="D3" s="2">
        <f>B3+C3</f>
        <v>4500</v>
      </c>
      <c r="E3" s="2">
        <f>IF(B3&gt;8000,ROUND(D3*(0.02+0.02),2),ROUND(D3*(0.02),2))</f>
        <v>90</v>
      </c>
      <c r="F3" s="2">
        <f>IF(B3&gt;8000,ROUND(D3*0.04,2),ROUND(D3*0.015,2))</f>
        <v>67.5</v>
      </c>
      <c r="G3" s="2">
        <f>IF(MONTH(A3)=12,240,0)</f>
        <v>0</v>
      </c>
      <c r="H3" s="2">
        <f>E3+F3</f>
        <v>157.5</v>
      </c>
      <c r="I3" s="2">
        <f>I2+E3+F3+G3</f>
        <v>407.5</v>
      </c>
    </row>
    <row r="4" spans="1:12" x14ac:dyDescent="0.25">
      <c r="A4" s="1">
        <v>43862</v>
      </c>
      <c r="B4" s="2">
        <f>IF(YEAR($A4) &gt; YEAR($A3),IF(AND(MOD(YEAR(A4),4)=0,YEAR(A4)&lt;&gt;2020),ROUNDUP($B3*1.025,0)+500,ROUNDUP($B3*1.025,0)),$B3)</f>
        <v>4500</v>
      </c>
      <c r="C4" s="2">
        <f t="shared" ref="C4:C67" si="0">IF(AND(OR(MONTH(A4)=1,MONTH(A4)=4,MONTH(A4)=7,MONTH(A4)=10),DATE(2020,1,1)&lt;&gt;A4),500,0)</f>
        <v>0</v>
      </c>
      <c r="D4" s="2">
        <f t="shared" ref="D4:D67" si="1">B4+C4</f>
        <v>4500</v>
      </c>
      <c r="E4" s="2">
        <f t="shared" ref="E4:E67" si="2">IF(B4&gt;8000,ROUND(D4*(0.02+0.02),2),ROUND(D4*(0.02),2))</f>
        <v>90</v>
      </c>
      <c r="F4" s="2">
        <f t="shared" ref="F4:F67" si="3">IF(B4&gt;8000,ROUND(D4*0.04,2),ROUND(D4*0.015,2))</f>
        <v>67.5</v>
      </c>
      <c r="G4" s="2">
        <f t="shared" ref="G4:G67" si="4">IF(MONTH(A4)=12,240,0)</f>
        <v>0</v>
      </c>
      <c r="H4" s="2">
        <f t="shared" ref="H4:H67" si="5">E4+F4</f>
        <v>157.5</v>
      </c>
      <c r="I4" s="2">
        <f t="shared" ref="I4:I67" si="6">I3+E4+F4+G4</f>
        <v>565</v>
      </c>
      <c r="L4" s="5" t="s">
        <v>60</v>
      </c>
    </row>
    <row r="5" spans="1:12" x14ac:dyDescent="0.25">
      <c r="A5" s="1">
        <v>43891</v>
      </c>
      <c r="B5" s="2">
        <f t="shared" ref="B5:B68" si="7">IF(YEAR($A5) &gt; YEAR($A4),IF(AND(MOD(YEAR(A5),4)=0,YEAR(A5)&lt;&gt;2020),ROUNDUP($B4*1.025,0)+500,ROUNDUP($B4*1.025,0)),$B4)</f>
        <v>4500</v>
      </c>
      <c r="C5" s="2">
        <f t="shared" si="0"/>
        <v>0</v>
      </c>
      <c r="D5" s="2">
        <f t="shared" si="1"/>
        <v>4500</v>
      </c>
      <c r="E5" s="2">
        <f t="shared" si="2"/>
        <v>90</v>
      </c>
      <c r="F5" s="2">
        <f t="shared" si="3"/>
        <v>67.5</v>
      </c>
      <c r="G5" s="2">
        <f t="shared" si="4"/>
        <v>0</v>
      </c>
      <c r="H5" s="2">
        <f t="shared" si="5"/>
        <v>157.5</v>
      </c>
      <c r="I5" s="2">
        <f t="shared" si="6"/>
        <v>722.5</v>
      </c>
      <c r="K5" t="s">
        <v>58</v>
      </c>
      <c r="L5" s="2">
        <f>I483/240</f>
        <v>1593.9129166666623</v>
      </c>
    </row>
    <row r="6" spans="1:12" x14ac:dyDescent="0.25">
      <c r="A6" s="1">
        <v>43922</v>
      </c>
      <c r="B6" s="2">
        <f t="shared" si="7"/>
        <v>4500</v>
      </c>
      <c r="C6" s="2">
        <f t="shared" si="0"/>
        <v>500</v>
      </c>
      <c r="D6" s="2">
        <f t="shared" si="1"/>
        <v>5000</v>
      </c>
      <c r="E6" s="2">
        <f t="shared" si="2"/>
        <v>100</v>
      </c>
      <c r="F6" s="2">
        <f t="shared" si="3"/>
        <v>75</v>
      </c>
      <c r="G6" s="2">
        <f t="shared" si="4"/>
        <v>0</v>
      </c>
      <c r="H6" s="2">
        <f t="shared" si="5"/>
        <v>175</v>
      </c>
      <c r="I6" s="2">
        <f t="shared" si="6"/>
        <v>897.5</v>
      </c>
    </row>
    <row r="7" spans="1:12" x14ac:dyDescent="0.25">
      <c r="A7" s="1">
        <v>43952</v>
      </c>
      <c r="B7" s="2">
        <f t="shared" si="7"/>
        <v>4500</v>
      </c>
      <c r="C7" s="2">
        <f t="shared" si="0"/>
        <v>0</v>
      </c>
      <c r="D7" s="2">
        <f t="shared" si="1"/>
        <v>4500</v>
      </c>
      <c r="E7" s="2">
        <f t="shared" si="2"/>
        <v>90</v>
      </c>
      <c r="F7" s="2">
        <f t="shared" si="3"/>
        <v>67.5</v>
      </c>
      <c r="G7" s="2">
        <f t="shared" si="4"/>
        <v>0</v>
      </c>
      <c r="H7" s="2">
        <f t="shared" si="5"/>
        <v>157.5</v>
      </c>
      <c r="I7" s="2">
        <f t="shared" si="6"/>
        <v>1055</v>
      </c>
    </row>
    <row r="8" spans="1:12" x14ac:dyDescent="0.25">
      <c r="A8" s="1">
        <v>43983</v>
      </c>
      <c r="B8" s="2">
        <f t="shared" si="7"/>
        <v>4500</v>
      </c>
      <c r="C8" s="2">
        <f t="shared" si="0"/>
        <v>0</v>
      </c>
      <c r="D8" s="2">
        <f t="shared" si="1"/>
        <v>4500</v>
      </c>
      <c r="E8" s="2">
        <f t="shared" si="2"/>
        <v>90</v>
      </c>
      <c r="F8" s="2">
        <f t="shared" si="3"/>
        <v>67.5</v>
      </c>
      <c r="G8" s="2">
        <f t="shared" si="4"/>
        <v>0</v>
      </c>
      <c r="H8" s="2">
        <f t="shared" si="5"/>
        <v>157.5</v>
      </c>
      <c r="I8" s="2">
        <f t="shared" si="6"/>
        <v>1212.5</v>
      </c>
    </row>
    <row r="9" spans="1:12" x14ac:dyDescent="0.25">
      <c r="A9" s="1">
        <v>44013</v>
      </c>
      <c r="B9" s="2">
        <f t="shared" si="7"/>
        <v>4500</v>
      </c>
      <c r="C9" s="2">
        <f t="shared" si="0"/>
        <v>500</v>
      </c>
      <c r="D9" s="2">
        <f t="shared" si="1"/>
        <v>5000</v>
      </c>
      <c r="E9" s="2">
        <f t="shared" si="2"/>
        <v>100</v>
      </c>
      <c r="F9" s="2">
        <f t="shared" si="3"/>
        <v>75</v>
      </c>
      <c r="G9" s="2">
        <f t="shared" si="4"/>
        <v>0</v>
      </c>
      <c r="H9" s="2">
        <f t="shared" si="5"/>
        <v>175</v>
      </c>
      <c r="I9" s="2">
        <f t="shared" si="6"/>
        <v>1387.5</v>
      </c>
    </row>
    <row r="10" spans="1:12" x14ac:dyDescent="0.25">
      <c r="A10" s="1">
        <v>44044</v>
      </c>
      <c r="B10" s="2">
        <f t="shared" si="7"/>
        <v>4500</v>
      </c>
      <c r="C10" s="2">
        <f t="shared" si="0"/>
        <v>0</v>
      </c>
      <c r="D10" s="2">
        <f t="shared" si="1"/>
        <v>4500</v>
      </c>
      <c r="E10" s="2">
        <f t="shared" si="2"/>
        <v>90</v>
      </c>
      <c r="F10" s="2">
        <f t="shared" si="3"/>
        <v>67.5</v>
      </c>
      <c r="G10" s="2">
        <f t="shared" si="4"/>
        <v>0</v>
      </c>
      <c r="H10" s="2">
        <f t="shared" si="5"/>
        <v>157.5</v>
      </c>
      <c r="I10" s="2">
        <f t="shared" si="6"/>
        <v>1545</v>
      </c>
    </row>
    <row r="11" spans="1:12" x14ac:dyDescent="0.25">
      <c r="A11" s="1">
        <v>44075</v>
      </c>
      <c r="B11" s="2">
        <f t="shared" si="7"/>
        <v>4500</v>
      </c>
      <c r="C11" s="2">
        <f t="shared" si="0"/>
        <v>0</v>
      </c>
      <c r="D11" s="2">
        <f t="shared" si="1"/>
        <v>4500</v>
      </c>
      <c r="E11" s="2">
        <f t="shared" si="2"/>
        <v>90</v>
      </c>
      <c r="F11" s="2">
        <f t="shared" si="3"/>
        <v>67.5</v>
      </c>
      <c r="G11" s="2">
        <f t="shared" si="4"/>
        <v>0</v>
      </c>
      <c r="H11" s="2">
        <f t="shared" si="5"/>
        <v>157.5</v>
      </c>
      <c r="I11" s="2">
        <f t="shared" si="6"/>
        <v>1702.5</v>
      </c>
    </row>
    <row r="12" spans="1:12" x14ac:dyDescent="0.25">
      <c r="A12" s="1">
        <v>44105</v>
      </c>
      <c r="B12" s="2">
        <f t="shared" si="7"/>
        <v>4500</v>
      </c>
      <c r="C12" s="2">
        <f t="shared" si="0"/>
        <v>500</v>
      </c>
      <c r="D12" s="2">
        <f t="shared" si="1"/>
        <v>5000</v>
      </c>
      <c r="E12" s="2">
        <f t="shared" si="2"/>
        <v>100</v>
      </c>
      <c r="F12" s="2">
        <f t="shared" si="3"/>
        <v>75</v>
      </c>
      <c r="G12" s="2">
        <f t="shared" si="4"/>
        <v>0</v>
      </c>
      <c r="H12" s="2">
        <f t="shared" si="5"/>
        <v>175</v>
      </c>
      <c r="I12" s="2">
        <f t="shared" si="6"/>
        <v>1877.5</v>
      </c>
    </row>
    <row r="13" spans="1:12" x14ac:dyDescent="0.25">
      <c r="A13" s="1">
        <v>44136</v>
      </c>
      <c r="B13" s="2">
        <f t="shared" si="7"/>
        <v>4500</v>
      </c>
      <c r="C13" s="2">
        <f t="shared" si="0"/>
        <v>0</v>
      </c>
      <c r="D13" s="2">
        <f t="shared" si="1"/>
        <v>4500</v>
      </c>
      <c r="E13" s="2">
        <f t="shared" si="2"/>
        <v>90</v>
      </c>
      <c r="F13" s="2">
        <f t="shared" si="3"/>
        <v>67.5</v>
      </c>
      <c r="G13" s="2">
        <f t="shared" si="4"/>
        <v>0</v>
      </c>
      <c r="H13" s="2">
        <f t="shared" si="5"/>
        <v>157.5</v>
      </c>
      <c r="I13" s="2">
        <f t="shared" si="6"/>
        <v>2035</v>
      </c>
    </row>
    <row r="14" spans="1:12" x14ac:dyDescent="0.25">
      <c r="A14" s="1">
        <v>44166</v>
      </c>
      <c r="B14" s="2">
        <f t="shared" si="7"/>
        <v>4500</v>
      </c>
      <c r="C14" s="2">
        <f t="shared" si="0"/>
        <v>0</v>
      </c>
      <c r="D14" s="2">
        <f t="shared" si="1"/>
        <v>4500</v>
      </c>
      <c r="E14" s="2">
        <f t="shared" si="2"/>
        <v>90</v>
      </c>
      <c r="F14" s="2">
        <f t="shared" si="3"/>
        <v>67.5</v>
      </c>
      <c r="G14" s="2">
        <f t="shared" si="4"/>
        <v>240</v>
      </c>
      <c r="H14" s="2">
        <f t="shared" si="5"/>
        <v>157.5</v>
      </c>
      <c r="I14" s="2">
        <f t="shared" si="6"/>
        <v>2432.5</v>
      </c>
    </row>
    <row r="15" spans="1:12" x14ac:dyDescent="0.25">
      <c r="A15" s="1">
        <v>44197</v>
      </c>
      <c r="B15" s="2">
        <f t="shared" si="7"/>
        <v>4613</v>
      </c>
      <c r="C15" s="2">
        <f t="shared" si="0"/>
        <v>500</v>
      </c>
      <c r="D15" s="2">
        <f t="shared" si="1"/>
        <v>5113</v>
      </c>
      <c r="E15" s="2">
        <f t="shared" si="2"/>
        <v>102.26</v>
      </c>
      <c r="F15" s="2">
        <f t="shared" si="3"/>
        <v>76.7</v>
      </c>
      <c r="G15" s="2">
        <f t="shared" si="4"/>
        <v>0</v>
      </c>
      <c r="H15" s="2">
        <f t="shared" si="5"/>
        <v>178.96</v>
      </c>
      <c r="I15" s="2">
        <f t="shared" si="6"/>
        <v>2611.46</v>
      </c>
    </row>
    <row r="16" spans="1:12" x14ac:dyDescent="0.25">
      <c r="A16" s="1">
        <v>44228</v>
      </c>
      <c r="B16" s="2">
        <f t="shared" si="7"/>
        <v>4613</v>
      </c>
      <c r="C16" s="2">
        <f t="shared" si="0"/>
        <v>0</v>
      </c>
      <c r="D16" s="2">
        <f t="shared" si="1"/>
        <v>4613</v>
      </c>
      <c r="E16" s="2">
        <f t="shared" si="2"/>
        <v>92.26</v>
      </c>
      <c r="F16" s="2">
        <f t="shared" si="3"/>
        <v>69.2</v>
      </c>
      <c r="G16" s="2">
        <f t="shared" si="4"/>
        <v>0</v>
      </c>
      <c r="H16" s="2">
        <f t="shared" si="5"/>
        <v>161.46</v>
      </c>
      <c r="I16" s="2">
        <f t="shared" si="6"/>
        <v>2772.92</v>
      </c>
    </row>
    <row r="17" spans="1:9" x14ac:dyDescent="0.25">
      <c r="A17" s="1">
        <v>44256</v>
      </c>
      <c r="B17" s="2">
        <f t="shared" si="7"/>
        <v>4613</v>
      </c>
      <c r="C17" s="2">
        <f t="shared" si="0"/>
        <v>0</v>
      </c>
      <c r="D17" s="2">
        <f t="shared" si="1"/>
        <v>4613</v>
      </c>
      <c r="E17" s="2">
        <f t="shared" si="2"/>
        <v>92.26</v>
      </c>
      <c r="F17" s="2">
        <f t="shared" si="3"/>
        <v>69.2</v>
      </c>
      <c r="G17" s="2">
        <f t="shared" si="4"/>
        <v>0</v>
      </c>
      <c r="H17" s="2">
        <f t="shared" si="5"/>
        <v>161.46</v>
      </c>
      <c r="I17" s="2">
        <f t="shared" si="6"/>
        <v>2934.38</v>
      </c>
    </row>
    <row r="18" spans="1:9" x14ac:dyDescent="0.25">
      <c r="A18" s="1">
        <v>44287</v>
      </c>
      <c r="B18" s="2">
        <f t="shared" si="7"/>
        <v>4613</v>
      </c>
      <c r="C18" s="2">
        <f t="shared" si="0"/>
        <v>500</v>
      </c>
      <c r="D18" s="2">
        <f t="shared" si="1"/>
        <v>5113</v>
      </c>
      <c r="E18" s="2">
        <f t="shared" si="2"/>
        <v>102.26</v>
      </c>
      <c r="F18" s="2">
        <f t="shared" si="3"/>
        <v>76.7</v>
      </c>
      <c r="G18" s="2">
        <f t="shared" si="4"/>
        <v>0</v>
      </c>
      <c r="H18" s="2">
        <f t="shared" si="5"/>
        <v>178.96</v>
      </c>
      <c r="I18" s="2">
        <f t="shared" si="6"/>
        <v>3113.34</v>
      </c>
    </row>
    <row r="19" spans="1:9" x14ac:dyDescent="0.25">
      <c r="A19" s="1">
        <v>44317</v>
      </c>
      <c r="B19" s="2">
        <f t="shared" si="7"/>
        <v>4613</v>
      </c>
      <c r="C19" s="2">
        <f t="shared" si="0"/>
        <v>0</v>
      </c>
      <c r="D19" s="2">
        <f t="shared" si="1"/>
        <v>4613</v>
      </c>
      <c r="E19" s="2">
        <f t="shared" si="2"/>
        <v>92.26</v>
      </c>
      <c r="F19" s="2">
        <f t="shared" si="3"/>
        <v>69.2</v>
      </c>
      <c r="G19" s="2">
        <f t="shared" si="4"/>
        <v>0</v>
      </c>
      <c r="H19" s="2">
        <f t="shared" si="5"/>
        <v>161.46</v>
      </c>
      <c r="I19" s="2">
        <f t="shared" si="6"/>
        <v>3274.8</v>
      </c>
    </row>
    <row r="20" spans="1:9" x14ac:dyDescent="0.25">
      <c r="A20" s="1">
        <v>44348</v>
      </c>
      <c r="B20" s="2">
        <f t="shared" si="7"/>
        <v>4613</v>
      </c>
      <c r="C20" s="2">
        <f t="shared" si="0"/>
        <v>0</v>
      </c>
      <c r="D20" s="2">
        <f t="shared" si="1"/>
        <v>4613</v>
      </c>
      <c r="E20" s="2">
        <f t="shared" si="2"/>
        <v>92.26</v>
      </c>
      <c r="F20" s="2">
        <f t="shared" si="3"/>
        <v>69.2</v>
      </c>
      <c r="G20" s="2">
        <f t="shared" si="4"/>
        <v>0</v>
      </c>
      <c r="H20" s="2">
        <f t="shared" si="5"/>
        <v>161.46</v>
      </c>
      <c r="I20" s="2">
        <f t="shared" si="6"/>
        <v>3436.26</v>
      </c>
    </row>
    <row r="21" spans="1:9" x14ac:dyDescent="0.25">
      <c r="A21" s="1">
        <v>44378</v>
      </c>
      <c r="B21" s="2">
        <f t="shared" si="7"/>
        <v>4613</v>
      </c>
      <c r="C21" s="2">
        <f t="shared" si="0"/>
        <v>500</v>
      </c>
      <c r="D21" s="2">
        <f t="shared" si="1"/>
        <v>5113</v>
      </c>
      <c r="E21" s="2">
        <f t="shared" si="2"/>
        <v>102.26</v>
      </c>
      <c r="F21" s="2">
        <f t="shared" si="3"/>
        <v>76.7</v>
      </c>
      <c r="G21" s="2">
        <f t="shared" si="4"/>
        <v>0</v>
      </c>
      <c r="H21" s="2">
        <f t="shared" si="5"/>
        <v>178.96</v>
      </c>
      <c r="I21" s="2">
        <f t="shared" si="6"/>
        <v>3615.2200000000003</v>
      </c>
    </row>
    <row r="22" spans="1:9" x14ac:dyDescent="0.25">
      <c r="A22" s="1">
        <v>44409</v>
      </c>
      <c r="B22" s="2">
        <f t="shared" si="7"/>
        <v>4613</v>
      </c>
      <c r="C22" s="2">
        <f t="shared" si="0"/>
        <v>0</v>
      </c>
      <c r="D22" s="2">
        <f t="shared" si="1"/>
        <v>4613</v>
      </c>
      <c r="E22" s="2">
        <f t="shared" si="2"/>
        <v>92.26</v>
      </c>
      <c r="F22" s="2">
        <f t="shared" si="3"/>
        <v>69.2</v>
      </c>
      <c r="G22" s="2">
        <f t="shared" si="4"/>
        <v>0</v>
      </c>
      <c r="H22" s="2">
        <f t="shared" si="5"/>
        <v>161.46</v>
      </c>
      <c r="I22" s="2">
        <f t="shared" si="6"/>
        <v>3776.6800000000003</v>
      </c>
    </row>
    <row r="23" spans="1:9" x14ac:dyDescent="0.25">
      <c r="A23" s="1">
        <v>44440</v>
      </c>
      <c r="B23" s="2">
        <f t="shared" si="7"/>
        <v>4613</v>
      </c>
      <c r="C23" s="2">
        <f t="shared" si="0"/>
        <v>0</v>
      </c>
      <c r="D23" s="2">
        <f t="shared" si="1"/>
        <v>4613</v>
      </c>
      <c r="E23" s="2">
        <f t="shared" si="2"/>
        <v>92.26</v>
      </c>
      <c r="F23" s="2">
        <f t="shared" si="3"/>
        <v>69.2</v>
      </c>
      <c r="G23" s="2">
        <f t="shared" si="4"/>
        <v>0</v>
      </c>
      <c r="H23" s="2">
        <f t="shared" si="5"/>
        <v>161.46</v>
      </c>
      <c r="I23" s="2">
        <f t="shared" si="6"/>
        <v>3938.1400000000003</v>
      </c>
    </row>
    <row r="24" spans="1:9" x14ac:dyDescent="0.25">
      <c r="A24" s="1">
        <v>44470</v>
      </c>
      <c r="B24" s="2">
        <f t="shared" si="7"/>
        <v>4613</v>
      </c>
      <c r="C24" s="2">
        <f t="shared" si="0"/>
        <v>500</v>
      </c>
      <c r="D24" s="2">
        <f t="shared" si="1"/>
        <v>5113</v>
      </c>
      <c r="E24" s="2">
        <f t="shared" si="2"/>
        <v>102.26</v>
      </c>
      <c r="F24" s="2">
        <f t="shared" si="3"/>
        <v>76.7</v>
      </c>
      <c r="G24" s="2">
        <f t="shared" si="4"/>
        <v>0</v>
      </c>
      <c r="H24" s="2">
        <f t="shared" si="5"/>
        <v>178.96</v>
      </c>
      <c r="I24" s="2">
        <f t="shared" si="6"/>
        <v>4117.1000000000004</v>
      </c>
    </row>
    <row r="25" spans="1:9" x14ac:dyDescent="0.25">
      <c r="A25" s="1">
        <v>44501</v>
      </c>
      <c r="B25" s="2">
        <f t="shared" si="7"/>
        <v>4613</v>
      </c>
      <c r="C25" s="2">
        <f t="shared" si="0"/>
        <v>0</v>
      </c>
      <c r="D25" s="2">
        <f t="shared" si="1"/>
        <v>4613</v>
      </c>
      <c r="E25" s="2">
        <f t="shared" si="2"/>
        <v>92.26</v>
      </c>
      <c r="F25" s="2">
        <f t="shared" si="3"/>
        <v>69.2</v>
      </c>
      <c r="G25" s="2">
        <f t="shared" si="4"/>
        <v>0</v>
      </c>
      <c r="H25" s="2">
        <f t="shared" si="5"/>
        <v>161.46</v>
      </c>
      <c r="I25" s="2">
        <f t="shared" si="6"/>
        <v>4278.5600000000004</v>
      </c>
    </row>
    <row r="26" spans="1:9" x14ac:dyDescent="0.25">
      <c r="A26" s="1">
        <v>44531</v>
      </c>
      <c r="B26" s="2">
        <f t="shared" si="7"/>
        <v>4613</v>
      </c>
      <c r="C26" s="2">
        <f t="shared" si="0"/>
        <v>0</v>
      </c>
      <c r="D26" s="2">
        <f t="shared" si="1"/>
        <v>4613</v>
      </c>
      <c r="E26" s="2">
        <f t="shared" si="2"/>
        <v>92.26</v>
      </c>
      <c r="F26" s="2">
        <f t="shared" si="3"/>
        <v>69.2</v>
      </c>
      <c r="G26" s="2">
        <f t="shared" si="4"/>
        <v>240</v>
      </c>
      <c r="H26" s="2">
        <f t="shared" si="5"/>
        <v>161.46</v>
      </c>
      <c r="I26" s="2">
        <f t="shared" si="6"/>
        <v>4680.0200000000004</v>
      </c>
    </row>
    <row r="27" spans="1:9" x14ac:dyDescent="0.25">
      <c r="A27" s="1">
        <v>44562</v>
      </c>
      <c r="B27" s="2">
        <f t="shared" si="7"/>
        <v>4729</v>
      </c>
      <c r="C27" s="2">
        <f t="shared" si="0"/>
        <v>500</v>
      </c>
      <c r="D27" s="2">
        <f t="shared" si="1"/>
        <v>5229</v>
      </c>
      <c r="E27" s="2">
        <f t="shared" si="2"/>
        <v>104.58</v>
      </c>
      <c r="F27" s="2">
        <f t="shared" si="3"/>
        <v>78.44</v>
      </c>
      <c r="G27" s="2">
        <f t="shared" si="4"/>
        <v>0</v>
      </c>
      <c r="H27" s="2">
        <f t="shared" si="5"/>
        <v>183.01999999999998</v>
      </c>
      <c r="I27" s="2">
        <f t="shared" si="6"/>
        <v>4863.04</v>
      </c>
    </row>
    <row r="28" spans="1:9" x14ac:dyDescent="0.25">
      <c r="A28" s="1">
        <v>44593</v>
      </c>
      <c r="B28" s="2">
        <f t="shared" si="7"/>
        <v>4729</v>
      </c>
      <c r="C28" s="2">
        <f t="shared" si="0"/>
        <v>0</v>
      </c>
      <c r="D28" s="2">
        <f t="shared" si="1"/>
        <v>4729</v>
      </c>
      <c r="E28" s="2">
        <f t="shared" si="2"/>
        <v>94.58</v>
      </c>
      <c r="F28" s="2">
        <f t="shared" si="3"/>
        <v>70.94</v>
      </c>
      <c r="G28" s="2">
        <f t="shared" si="4"/>
        <v>0</v>
      </c>
      <c r="H28" s="2">
        <f t="shared" si="5"/>
        <v>165.51999999999998</v>
      </c>
      <c r="I28" s="2">
        <f t="shared" si="6"/>
        <v>5028.5599999999995</v>
      </c>
    </row>
    <row r="29" spans="1:9" x14ac:dyDescent="0.25">
      <c r="A29" s="1">
        <v>44621</v>
      </c>
      <c r="B29" s="2">
        <f t="shared" si="7"/>
        <v>4729</v>
      </c>
      <c r="C29" s="2">
        <f t="shared" si="0"/>
        <v>0</v>
      </c>
      <c r="D29" s="2">
        <f t="shared" si="1"/>
        <v>4729</v>
      </c>
      <c r="E29" s="2">
        <f t="shared" si="2"/>
        <v>94.58</v>
      </c>
      <c r="F29" s="2">
        <f t="shared" si="3"/>
        <v>70.94</v>
      </c>
      <c r="G29" s="2">
        <f t="shared" si="4"/>
        <v>0</v>
      </c>
      <c r="H29" s="2">
        <f t="shared" si="5"/>
        <v>165.51999999999998</v>
      </c>
      <c r="I29" s="2">
        <f t="shared" si="6"/>
        <v>5194.079999999999</v>
      </c>
    </row>
    <row r="30" spans="1:9" x14ac:dyDescent="0.25">
      <c r="A30" s="1">
        <v>44652</v>
      </c>
      <c r="B30" s="2">
        <f t="shared" si="7"/>
        <v>4729</v>
      </c>
      <c r="C30" s="2">
        <f t="shared" si="0"/>
        <v>500</v>
      </c>
      <c r="D30" s="2">
        <f t="shared" si="1"/>
        <v>5229</v>
      </c>
      <c r="E30" s="2">
        <f t="shared" si="2"/>
        <v>104.58</v>
      </c>
      <c r="F30" s="2">
        <f t="shared" si="3"/>
        <v>78.44</v>
      </c>
      <c r="G30" s="2">
        <f t="shared" si="4"/>
        <v>0</v>
      </c>
      <c r="H30" s="2">
        <f t="shared" si="5"/>
        <v>183.01999999999998</v>
      </c>
      <c r="I30" s="2">
        <f t="shared" si="6"/>
        <v>5377.0999999999985</v>
      </c>
    </row>
    <row r="31" spans="1:9" x14ac:dyDescent="0.25">
      <c r="A31" s="1">
        <v>44682</v>
      </c>
      <c r="B31" s="2">
        <f t="shared" si="7"/>
        <v>4729</v>
      </c>
      <c r="C31" s="2">
        <f t="shared" si="0"/>
        <v>0</v>
      </c>
      <c r="D31" s="2">
        <f t="shared" si="1"/>
        <v>4729</v>
      </c>
      <c r="E31" s="2">
        <f t="shared" si="2"/>
        <v>94.58</v>
      </c>
      <c r="F31" s="2">
        <f t="shared" si="3"/>
        <v>70.94</v>
      </c>
      <c r="G31" s="2">
        <f t="shared" si="4"/>
        <v>0</v>
      </c>
      <c r="H31" s="2">
        <f t="shared" si="5"/>
        <v>165.51999999999998</v>
      </c>
      <c r="I31" s="2">
        <f t="shared" si="6"/>
        <v>5542.6199999999981</v>
      </c>
    </row>
    <row r="32" spans="1:9" x14ac:dyDescent="0.25">
      <c r="A32" s="1">
        <v>44713</v>
      </c>
      <c r="B32" s="2">
        <f t="shared" si="7"/>
        <v>4729</v>
      </c>
      <c r="C32" s="2">
        <f t="shared" si="0"/>
        <v>0</v>
      </c>
      <c r="D32" s="2">
        <f t="shared" si="1"/>
        <v>4729</v>
      </c>
      <c r="E32" s="2">
        <f t="shared" si="2"/>
        <v>94.58</v>
      </c>
      <c r="F32" s="2">
        <f t="shared" si="3"/>
        <v>70.94</v>
      </c>
      <c r="G32" s="2">
        <f t="shared" si="4"/>
        <v>0</v>
      </c>
      <c r="H32" s="2">
        <f t="shared" si="5"/>
        <v>165.51999999999998</v>
      </c>
      <c r="I32" s="2">
        <f t="shared" si="6"/>
        <v>5708.1399999999976</v>
      </c>
    </row>
    <row r="33" spans="1:9" x14ac:dyDescent="0.25">
      <c r="A33" s="1">
        <v>44743</v>
      </c>
      <c r="B33" s="2">
        <f t="shared" si="7"/>
        <v>4729</v>
      </c>
      <c r="C33" s="2">
        <f t="shared" si="0"/>
        <v>500</v>
      </c>
      <c r="D33" s="2">
        <f t="shared" si="1"/>
        <v>5229</v>
      </c>
      <c r="E33" s="2">
        <f t="shared" si="2"/>
        <v>104.58</v>
      </c>
      <c r="F33" s="2">
        <f t="shared" si="3"/>
        <v>78.44</v>
      </c>
      <c r="G33" s="2">
        <f t="shared" si="4"/>
        <v>0</v>
      </c>
      <c r="H33" s="2">
        <f t="shared" si="5"/>
        <v>183.01999999999998</v>
      </c>
      <c r="I33" s="2">
        <f t="shared" si="6"/>
        <v>5891.1599999999971</v>
      </c>
    </row>
    <row r="34" spans="1:9" x14ac:dyDescent="0.25">
      <c r="A34" s="1">
        <v>44774</v>
      </c>
      <c r="B34" s="2">
        <f t="shared" si="7"/>
        <v>4729</v>
      </c>
      <c r="C34" s="2">
        <f t="shared" si="0"/>
        <v>0</v>
      </c>
      <c r="D34" s="2">
        <f t="shared" si="1"/>
        <v>4729</v>
      </c>
      <c r="E34" s="2">
        <f t="shared" si="2"/>
        <v>94.58</v>
      </c>
      <c r="F34" s="2">
        <f t="shared" si="3"/>
        <v>70.94</v>
      </c>
      <c r="G34" s="2">
        <f t="shared" si="4"/>
        <v>0</v>
      </c>
      <c r="H34" s="2">
        <f t="shared" si="5"/>
        <v>165.51999999999998</v>
      </c>
      <c r="I34" s="2">
        <f t="shared" si="6"/>
        <v>6056.6799999999967</v>
      </c>
    </row>
    <row r="35" spans="1:9" x14ac:dyDescent="0.25">
      <c r="A35" s="1">
        <v>44805</v>
      </c>
      <c r="B35" s="2">
        <f t="shared" si="7"/>
        <v>4729</v>
      </c>
      <c r="C35" s="2">
        <f t="shared" si="0"/>
        <v>0</v>
      </c>
      <c r="D35" s="2">
        <f t="shared" si="1"/>
        <v>4729</v>
      </c>
      <c r="E35" s="2">
        <f t="shared" si="2"/>
        <v>94.58</v>
      </c>
      <c r="F35" s="2">
        <f t="shared" si="3"/>
        <v>70.94</v>
      </c>
      <c r="G35" s="2">
        <f t="shared" si="4"/>
        <v>0</v>
      </c>
      <c r="H35" s="2">
        <f t="shared" si="5"/>
        <v>165.51999999999998</v>
      </c>
      <c r="I35" s="2">
        <f t="shared" si="6"/>
        <v>6222.1999999999962</v>
      </c>
    </row>
    <row r="36" spans="1:9" x14ac:dyDescent="0.25">
      <c r="A36" s="1">
        <v>44835</v>
      </c>
      <c r="B36" s="2">
        <f t="shared" si="7"/>
        <v>4729</v>
      </c>
      <c r="C36" s="2">
        <f t="shared" si="0"/>
        <v>500</v>
      </c>
      <c r="D36" s="2">
        <f t="shared" si="1"/>
        <v>5229</v>
      </c>
      <c r="E36" s="2">
        <f t="shared" si="2"/>
        <v>104.58</v>
      </c>
      <c r="F36" s="2">
        <f t="shared" si="3"/>
        <v>78.44</v>
      </c>
      <c r="G36" s="2">
        <f t="shared" si="4"/>
        <v>0</v>
      </c>
      <c r="H36" s="2">
        <f t="shared" si="5"/>
        <v>183.01999999999998</v>
      </c>
      <c r="I36" s="2">
        <f t="shared" si="6"/>
        <v>6405.2199999999957</v>
      </c>
    </row>
    <row r="37" spans="1:9" x14ac:dyDescent="0.25">
      <c r="A37" s="1">
        <v>44866</v>
      </c>
      <c r="B37" s="2">
        <f t="shared" si="7"/>
        <v>4729</v>
      </c>
      <c r="C37" s="2">
        <f t="shared" si="0"/>
        <v>0</v>
      </c>
      <c r="D37" s="2">
        <f t="shared" si="1"/>
        <v>4729</v>
      </c>
      <c r="E37" s="2">
        <f t="shared" si="2"/>
        <v>94.58</v>
      </c>
      <c r="F37" s="2">
        <f t="shared" si="3"/>
        <v>70.94</v>
      </c>
      <c r="G37" s="2">
        <f t="shared" si="4"/>
        <v>0</v>
      </c>
      <c r="H37" s="2">
        <f t="shared" si="5"/>
        <v>165.51999999999998</v>
      </c>
      <c r="I37" s="2">
        <f t="shared" si="6"/>
        <v>6570.7399999999952</v>
      </c>
    </row>
    <row r="38" spans="1:9" x14ac:dyDescent="0.25">
      <c r="A38" s="1">
        <v>44896</v>
      </c>
      <c r="B38" s="2">
        <f t="shared" si="7"/>
        <v>4729</v>
      </c>
      <c r="C38" s="2">
        <f t="shared" si="0"/>
        <v>0</v>
      </c>
      <c r="D38" s="2">
        <f t="shared" si="1"/>
        <v>4729</v>
      </c>
      <c r="E38" s="2">
        <f t="shared" si="2"/>
        <v>94.58</v>
      </c>
      <c r="F38" s="2">
        <f t="shared" si="3"/>
        <v>70.94</v>
      </c>
      <c r="G38" s="2">
        <f t="shared" si="4"/>
        <v>240</v>
      </c>
      <c r="H38" s="2">
        <f t="shared" si="5"/>
        <v>165.51999999999998</v>
      </c>
      <c r="I38" s="2">
        <f t="shared" si="6"/>
        <v>6976.2599999999948</v>
      </c>
    </row>
    <row r="39" spans="1:9" x14ac:dyDescent="0.25">
      <c r="A39" s="1">
        <v>44927</v>
      </c>
      <c r="B39" s="2">
        <f t="shared" si="7"/>
        <v>4848</v>
      </c>
      <c r="C39" s="2">
        <f t="shared" si="0"/>
        <v>500</v>
      </c>
      <c r="D39" s="2">
        <f t="shared" si="1"/>
        <v>5348</v>
      </c>
      <c r="E39" s="2">
        <f t="shared" si="2"/>
        <v>106.96</v>
      </c>
      <c r="F39" s="2">
        <f t="shared" si="3"/>
        <v>80.22</v>
      </c>
      <c r="G39" s="2">
        <f t="shared" si="4"/>
        <v>0</v>
      </c>
      <c r="H39" s="2">
        <f t="shared" si="5"/>
        <v>187.18</v>
      </c>
      <c r="I39" s="2">
        <f t="shared" si="6"/>
        <v>7163.4399999999951</v>
      </c>
    </row>
    <row r="40" spans="1:9" x14ac:dyDescent="0.25">
      <c r="A40" s="1">
        <v>44958</v>
      </c>
      <c r="B40" s="2">
        <f t="shared" si="7"/>
        <v>4848</v>
      </c>
      <c r="C40" s="2">
        <f t="shared" si="0"/>
        <v>0</v>
      </c>
      <c r="D40" s="2">
        <f t="shared" si="1"/>
        <v>4848</v>
      </c>
      <c r="E40" s="2">
        <f t="shared" si="2"/>
        <v>96.96</v>
      </c>
      <c r="F40" s="2">
        <f t="shared" si="3"/>
        <v>72.72</v>
      </c>
      <c r="G40" s="2">
        <f t="shared" si="4"/>
        <v>0</v>
      </c>
      <c r="H40" s="2">
        <f t="shared" si="5"/>
        <v>169.68</v>
      </c>
      <c r="I40" s="2">
        <f t="shared" si="6"/>
        <v>7333.1199999999953</v>
      </c>
    </row>
    <row r="41" spans="1:9" x14ac:dyDescent="0.25">
      <c r="A41" s="1">
        <v>44986</v>
      </c>
      <c r="B41" s="2">
        <f t="shared" si="7"/>
        <v>4848</v>
      </c>
      <c r="C41" s="2">
        <f t="shared" si="0"/>
        <v>0</v>
      </c>
      <c r="D41" s="2">
        <f t="shared" si="1"/>
        <v>4848</v>
      </c>
      <c r="E41" s="2">
        <f t="shared" si="2"/>
        <v>96.96</v>
      </c>
      <c r="F41" s="2">
        <f t="shared" si="3"/>
        <v>72.72</v>
      </c>
      <c r="G41" s="2">
        <f t="shared" si="4"/>
        <v>0</v>
      </c>
      <c r="H41" s="2">
        <f t="shared" si="5"/>
        <v>169.68</v>
      </c>
      <c r="I41" s="2">
        <f t="shared" si="6"/>
        <v>7502.7999999999956</v>
      </c>
    </row>
    <row r="42" spans="1:9" x14ac:dyDescent="0.25">
      <c r="A42" s="1">
        <v>45017</v>
      </c>
      <c r="B42" s="2">
        <f t="shared" si="7"/>
        <v>4848</v>
      </c>
      <c r="C42" s="2">
        <f t="shared" si="0"/>
        <v>500</v>
      </c>
      <c r="D42" s="2">
        <f t="shared" si="1"/>
        <v>5348</v>
      </c>
      <c r="E42" s="2">
        <f t="shared" si="2"/>
        <v>106.96</v>
      </c>
      <c r="F42" s="2">
        <f t="shared" si="3"/>
        <v>80.22</v>
      </c>
      <c r="G42" s="2">
        <f t="shared" si="4"/>
        <v>0</v>
      </c>
      <c r="H42" s="2">
        <f t="shared" si="5"/>
        <v>187.18</v>
      </c>
      <c r="I42" s="2">
        <f t="shared" si="6"/>
        <v>7689.9799999999959</v>
      </c>
    </row>
    <row r="43" spans="1:9" x14ac:dyDescent="0.25">
      <c r="A43" s="1">
        <v>45047</v>
      </c>
      <c r="B43" s="2">
        <f t="shared" si="7"/>
        <v>4848</v>
      </c>
      <c r="C43" s="2">
        <f t="shared" si="0"/>
        <v>0</v>
      </c>
      <c r="D43" s="2">
        <f t="shared" si="1"/>
        <v>4848</v>
      </c>
      <c r="E43" s="2">
        <f t="shared" si="2"/>
        <v>96.96</v>
      </c>
      <c r="F43" s="2">
        <f t="shared" si="3"/>
        <v>72.72</v>
      </c>
      <c r="G43" s="2">
        <f t="shared" si="4"/>
        <v>0</v>
      </c>
      <c r="H43" s="2">
        <f t="shared" si="5"/>
        <v>169.68</v>
      </c>
      <c r="I43" s="2">
        <f t="shared" si="6"/>
        <v>7859.6599999999962</v>
      </c>
    </row>
    <row r="44" spans="1:9" x14ac:dyDescent="0.25">
      <c r="A44" s="1">
        <v>45078</v>
      </c>
      <c r="B44" s="2">
        <f t="shared" si="7"/>
        <v>4848</v>
      </c>
      <c r="C44" s="2">
        <f t="shared" si="0"/>
        <v>0</v>
      </c>
      <c r="D44" s="2">
        <f t="shared" si="1"/>
        <v>4848</v>
      </c>
      <c r="E44" s="2">
        <f t="shared" si="2"/>
        <v>96.96</v>
      </c>
      <c r="F44" s="2">
        <f t="shared" si="3"/>
        <v>72.72</v>
      </c>
      <c r="G44" s="2">
        <f t="shared" si="4"/>
        <v>0</v>
      </c>
      <c r="H44" s="2">
        <f t="shared" si="5"/>
        <v>169.68</v>
      </c>
      <c r="I44" s="2">
        <f t="shared" si="6"/>
        <v>8029.3399999999965</v>
      </c>
    </row>
    <row r="45" spans="1:9" x14ac:dyDescent="0.25">
      <c r="A45" s="1">
        <v>45108</v>
      </c>
      <c r="B45" s="2">
        <f t="shared" si="7"/>
        <v>4848</v>
      </c>
      <c r="C45" s="2">
        <f t="shared" si="0"/>
        <v>500</v>
      </c>
      <c r="D45" s="2">
        <f t="shared" si="1"/>
        <v>5348</v>
      </c>
      <c r="E45" s="2">
        <f t="shared" si="2"/>
        <v>106.96</v>
      </c>
      <c r="F45" s="2">
        <f t="shared" si="3"/>
        <v>80.22</v>
      </c>
      <c r="G45" s="2">
        <f t="shared" si="4"/>
        <v>0</v>
      </c>
      <c r="H45" s="2">
        <f t="shared" si="5"/>
        <v>187.18</v>
      </c>
      <c r="I45" s="2">
        <f t="shared" si="6"/>
        <v>8216.5199999999968</v>
      </c>
    </row>
    <row r="46" spans="1:9" x14ac:dyDescent="0.25">
      <c r="A46" s="1">
        <v>45139</v>
      </c>
      <c r="B46" s="2">
        <f t="shared" si="7"/>
        <v>4848</v>
      </c>
      <c r="C46" s="2">
        <f t="shared" si="0"/>
        <v>0</v>
      </c>
      <c r="D46" s="2">
        <f t="shared" si="1"/>
        <v>4848</v>
      </c>
      <c r="E46" s="2">
        <f t="shared" si="2"/>
        <v>96.96</v>
      </c>
      <c r="F46" s="2">
        <f t="shared" si="3"/>
        <v>72.72</v>
      </c>
      <c r="G46" s="2">
        <f t="shared" si="4"/>
        <v>0</v>
      </c>
      <c r="H46" s="2">
        <f t="shared" si="5"/>
        <v>169.68</v>
      </c>
      <c r="I46" s="2">
        <f t="shared" si="6"/>
        <v>8386.1999999999953</v>
      </c>
    </row>
    <row r="47" spans="1:9" x14ac:dyDescent="0.25">
      <c r="A47" s="1">
        <v>45170</v>
      </c>
      <c r="B47" s="2">
        <f t="shared" si="7"/>
        <v>4848</v>
      </c>
      <c r="C47" s="2">
        <f t="shared" si="0"/>
        <v>0</v>
      </c>
      <c r="D47" s="2">
        <f t="shared" si="1"/>
        <v>4848</v>
      </c>
      <c r="E47" s="2">
        <f t="shared" si="2"/>
        <v>96.96</v>
      </c>
      <c r="F47" s="2">
        <f t="shared" si="3"/>
        <v>72.72</v>
      </c>
      <c r="G47" s="2">
        <f t="shared" si="4"/>
        <v>0</v>
      </c>
      <c r="H47" s="2">
        <f t="shared" si="5"/>
        <v>169.68</v>
      </c>
      <c r="I47" s="2">
        <f t="shared" si="6"/>
        <v>8555.8799999999937</v>
      </c>
    </row>
    <row r="48" spans="1:9" x14ac:dyDescent="0.25">
      <c r="A48" s="1">
        <v>45200</v>
      </c>
      <c r="B48" s="2">
        <f t="shared" si="7"/>
        <v>4848</v>
      </c>
      <c r="C48" s="2">
        <f t="shared" si="0"/>
        <v>500</v>
      </c>
      <c r="D48" s="2">
        <f t="shared" si="1"/>
        <v>5348</v>
      </c>
      <c r="E48" s="2">
        <f t="shared" si="2"/>
        <v>106.96</v>
      </c>
      <c r="F48" s="2">
        <f t="shared" si="3"/>
        <v>80.22</v>
      </c>
      <c r="G48" s="2">
        <f t="shared" si="4"/>
        <v>0</v>
      </c>
      <c r="H48" s="2">
        <f t="shared" si="5"/>
        <v>187.18</v>
      </c>
      <c r="I48" s="2">
        <f t="shared" si="6"/>
        <v>8743.0599999999922</v>
      </c>
    </row>
    <row r="49" spans="1:9" x14ac:dyDescent="0.25">
      <c r="A49" s="1">
        <v>45231</v>
      </c>
      <c r="B49" s="2">
        <f t="shared" si="7"/>
        <v>4848</v>
      </c>
      <c r="C49" s="2">
        <f t="shared" si="0"/>
        <v>0</v>
      </c>
      <c r="D49" s="2">
        <f t="shared" si="1"/>
        <v>4848</v>
      </c>
      <c r="E49" s="2">
        <f t="shared" si="2"/>
        <v>96.96</v>
      </c>
      <c r="F49" s="2">
        <f t="shared" si="3"/>
        <v>72.72</v>
      </c>
      <c r="G49" s="2">
        <f t="shared" si="4"/>
        <v>0</v>
      </c>
      <c r="H49" s="2">
        <f t="shared" si="5"/>
        <v>169.68</v>
      </c>
      <c r="I49" s="2">
        <f t="shared" si="6"/>
        <v>8912.7399999999907</v>
      </c>
    </row>
    <row r="50" spans="1:9" x14ac:dyDescent="0.25">
      <c r="A50" s="1">
        <v>45261</v>
      </c>
      <c r="B50" s="2">
        <f t="shared" si="7"/>
        <v>4848</v>
      </c>
      <c r="C50" s="2">
        <f t="shared" si="0"/>
        <v>0</v>
      </c>
      <c r="D50" s="2">
        <f t="shared" si="1"/>
        <v>4848</v>
      </c>
      <c r="E50" s="2">
        <f t="shared" si="2"/>
        <v>96.96</v>
      </c>
      <c r="F50" s="2">
        <f t="shared" si="3"/>
        <v>72.72</v>
      </c>
      <c r="G50" s="2">
        <f t="shared" si="4"/>
        <v>240</v>
      </c>
      <c r="H50" s="2">
        <f t="shared" si="5"/>
        <v>169.68</v>
      </c>
      <c r="I50" s="2">
        <f t="shared" si="6"/>
        <v>9322.4199999999892</v>
      </c>
    </row>
    <row r="51" spans="1:9" x14ac:dyDescent="0.25">
      <c r="A51" s="1">
        <v>45292</v>
      </c>
      <c r="B51" s="2">
        <f t="shared" si="7"/>
        <v>5470</v>
      </c>
      <c r="C51" s="2">
        <f t="shared" si="0"/>
        <v>500</v>
      </c>
      <c r="D51" s="2">
        <f t="shared" si="1"/>
        <v>5970</v>
      </c>
      <c r="E51" s="2">
        <f t="shared" si="2"/>
        <v>119.4</v>
      </c>
      <c r="F51" s="2">
        <f t="shared" si="3"/>
        <v>89.55</v>
      </c>
      <c r="G51" s="2">
        <f t="shared" si="4"/>
        <v>0</v>
      </c>
      <c r="H51" s="2">
        <f t="shared" si="5"/>
        <v>208.95</v>
      </c>
      <c r="I51" s="2">
        <f t="shared" si="6"/>
        <v>9531.3699999999881</v>
      </c>
    </row>
    <row r="52" spans="1:9" x14ac:dyDescent="0.25">
      <c r="A52" s="1">
        <v>45323</v>
      </c>
      <c r="B52" s="2">
        <f t="shared" si="7"/>
        <v>5470</v>
      </c>
      <c r="C52" s="2">
        <f t="shared" si="0"/>
        <v>0</v>
      </c>
      <c r="D52" s="2">
        <f t="shared" si="1"/>
        <v>5470</v>
      </c>
      <c r="E52" s="2">
        <f t="shared" si="2"/>
        <v>109.4</v>
      </c>
      <c r="F52" s="2">
        <f t="shared" si="3"/>
        <v>82.05</v>
      </c>
      <c r="G52" s="2">
        <f t="shared" si="4"/>
        <v>0</v>
      </c>
      <c r="H52" s="2">
        <f t="shared" si="5"/>
        <v>191.45</v>
      </c>
      <c r="I52" s="2">
        <f t="shared" si="6"/>
        <v>9722.819999999987</v>
      </c>
    </row>
    <row r="53" spans="1:9" x14ac:dyDescent="0.25">
      <c r="A53" s="1">
        <v>45352</v>
      </c>
      <c r="B53" s="2">
        <f t="shared" si="7"/>
        <v>5470</v>
      </c>
      <c r="C53" s="2">
        <f t="shared" si="0"/>
        <v>0</v>
      </c>
      <c r="D53" s="2">
        <f t="shared" si="1"/>
        <v>5470</v>
      </c>
      <c r="E53" s="2">
        <f t="shared" si="2"/>
        <v>109.4</v>
      </c>
      <c r="F53" s="2">
        <f t="shared" si="3"/>
        <v>82.05</v>
      </c>
      <c r="G53" s="2">
        <f t="shared" si="4"/>
        <v>0</v>
      </c>
      <c r="H53" s="2">
        <f t="shared" si="5"/>
        <v>191.45</v>
      </c>
      <c r="I53" s="2">
        <f t="shared" si="6"/>
        <v>9914.2699999999859</v>
      </c>
    </row>
    <row r="54" spans="1:9" x14ac:dyDescent="0.25">
      <c r="A54" s="1">
        <v>45383</v>
      </c>
      <c r="B54" s="2">
        <f t="shared" si="7"/>
        <v>5470</v>
      </c>
      <c r="C54" s="2">
        <f t="shared" si="0"/>
        <v>500</v>
      </c>
      <c r="D54" s="2">
        <f t="shared" si="1"/>
        <v>5970</v>
      </c>
      <c r="E54" s="2">
        <f t="shared" si="2"/>
        <v>119.4</v>
      </c>
      <c r="F54" s="2">
        <f t="shared" si="3"/>
        <v>89.55</v>
      </c>
      <c r="G54" s="2">
        <f t="shared" si="4"/>
        <v>0</v>
      </c>
      <c r="H54" s="2">
        <f t="shared" si="5"/>
        <v>208.95</v>
      </c>
      <c r="I54" s="2">
        <f t="shared" si="6"/>
        <v>10123.219999999985</v>
      </c>
    </row>
    <row r="55" spans="1:9" x14ac:dyDescent="0.25">
      <c r="A55" s="1">
        <v>45413</v>
      </c>
      <c r="B55" s="2">
        <f t="shared" si="7"/>
        <v>5470</v>
      </c>
      <c r="C55" s="2">
        <f t="shared" si="0"/>
        <v>0</v>
      </c>
      <c r="D55" s="2">
        <f t="shared" si="1"/>
        <v>5470</v>
      </c>
      <c r="E55" s="2">
        <f t="shared" si="2"/>
        <v>109.4</v>
      </c>
      <c r="F55" s="2">
        <f t="shared" si="3"/>
        <v>82.05</v>
      </c>
      <c r="G55" s="2">
        <f t="shared" si="4"/>
        <v>0</v>
      </c>
      <c r="H55" s="2">
        <f t="shared" si="5"/>
        <v>191.45</v>
      </c>
      <c r="I55" s="2">
        <f t="shared" si="6"/>
        <v>10314.669999999984</v>
      </c>
    </row>
    <row r="56" spans="1:9" x14ac:dyDescent="0.25">
      <c r="A56" s="1">
        <v>45444</v>
      </c>
      <c r="B56" s="2">
        <f t="shared" si="7"/>
        <v>5470</v>
      </c>
      <c r="C56" s="2">
        <f t="shared" si="0"/>
        <v>0</v>
      </c>
      <c r="D56" s="2">
        <f t="shared" si="1"/>
        <v>5470</v>
      </c>
      <c r="E56" s="2">
        <f t="shared" si="2"/>
        <v>109.4</v>
      </c>
      <c r="F56" s="2">
        <f t="shared" si="3"/>
        <v>82.05</v>
      </c>
      <c r="G56" s="2">
        <f t="shared" si="4"/>
        <v>0</v>
      </c>
      <c r="H56" s="2">
        <f t="shared" si="5"/>
        <v>191.45</v>
      </c>
      <c r="I56" s="2">
        <f t="shared" si="6"/>
        <v>10506.119999999983</v>
      </c>
    </row>
    <row r="57" spans="1:9" x14ac:dyDescent="0.25">
      <c r="A57" s="1">
        <v>45474</v>
      </c>
      <c r="B57" s="2">
        <f t="shared" si="7"/>
        <v>5470</v>
      </c>
      <c r="C57" s="2">
        <f t="shared" si="0"/>
        <v>500</v>
      </c>
      <c r="D57" s="2">
        <f t="shared" si="1"/>
        <v>5970</v>
      </c>
      <c r="E57" s="2">
        <f t="shared" si="2"/>
        <v>119.4</v>
      </c>
      <c r="F57" s="2">
        <f t="shared" si="3"/>
        <v>89.55</v>
      </c>
      <c r="G57" s="2">
        <f t="shared" si="4"/>
        <v>0</v>
      </c>
      <c r="H57" s="2">
        <f t="shared" si="5"/>
        <v>208.95</v>
      </c>
      <c r="I57" s="2">
        <f t="shared" si="6"/>
        <v>10715.069999999982</v>
      </c>
    </row>
    <row r="58" spans="1:9" x14ac:dyDescent="0.25">
      <c r="A58" s="1">
        <v>45505</v>
      </c>
      <c r="B58" s="2">
        <f t="shared" si="7"/>
        <v>5470</v>
      </c>
      <c r="C58" s="2">
        <f t="shared" si="0"/>
        <v>0</v>
      </c>
      <c r="D58" s="2">
        <f t="shared" si="1"/>
        <v>5470</v>
      </c>
      <c r="E58" s="2">
        <f t="shared" si="2"/>
        <v>109.4</v>
      </c>
      <c r="F58" s="2">
        <f t="shared" si="3"/>
        <v>82.05</v>
      </c>
      <c r="G58" s="2">
        <f t="shared" si="4"/>
        <v>0</v>
      </c>
      <c r="H58" s="2">
        <f t="shared" si="5"/>
        <v>191.45</v>
      </c>
      <c r="I58" s="2">
        <f t="shared" si="6"/>
        <v>10906.51999999998</v>
      </c>
    </row>
    <row r="59" spans="1:9" x14ac:dyDescent="0.25">
      <c r="A59" s="1">
        <v>45536</v>
      </c>
      <c r="B59" s="2">
        <f t="shared" si="7"/>
        <v>5470</v>
      </c>
      <c r="C59" s="2">
        <f t="shared" si="0"/>
        <v>0</v>
      </c>
      <c r="D59" s="2">
        <f t="shared" si="1"/>
        <v>5470</v>
      </c>
      <c r="E59" s="2">
        <f t="shared" si="2"/>
        <v>109.4</v>
      </c>
      <c r="F59" s="2">
        <f t="shared" si="3"/>
        <v>82.05</v>
      </c>
      <c r="G59" s="2">
        <f t="shared" si="4"/>
        <v>0</v>
      </c>
      <c r="H59" s="2">
        <f t="shared" si="5"/>
        <v>191.45</v>
      </c>
      <c r="I59" s="2">
        <f t="shared" si="6"/>
        <v>11097.969999999979</v>
      </c>
    </row>
    <row r="60" spans="1:9" x14ac:dyDescent="0.25">
      <c r="A60" s="1">
        <v>45566</v>
      </c>
      <c r="B60" s="2">
        <f t="shared" si="7"/>
        <v>5470</v>
      </c>
      <c r="C60" s="2">
        <f t="shared" si="0"/>
        <v>500</v>
      </c>
      <c r="D60" s="2">
        <f t="shared" si="1"/>
        <v>5970</v>
      </c>
      <c r="E60" s="2">
        <f t="shared" si="2"/>
        <v>119.4</v>
      </c>
      <c r="F60" s="2">
        <f t="shared" si="3"/>
        <v>89.55</v>
      </c>
      <c r="G60" s="2">
        <f t="shared" si="4"/>
        <v>0</v>
      </c>
      <c r="H60" s="2">
        <f t="shared" si="5"/>
        <v>208.95</v>
      </c>
      <c r="I60" s="2">
        <f t="shared" si="6"/>
        <v>11306.919999999978</v>
      </c>
    </row>
    <row r="61" spans="1:9" x14ac:dyDescent="0.25">
      <c r="A61" s="1">
        <v>45597</v>
      </c>
      <c r="B61" s="2">
        <f t="shared" si="7"/>
        <v>5470</v>
      </c>
      <c r="C61" s="2">
        <f t="shared" si="0"/>
        <v>0</v>
      </c>
      <c r="D61" s="2">
        <f t="shared" si="1"/>
        <v>5470</v>
      </c>
      <c r="E61" s="2">
        <f t="shared" si="2"/>
        <v>109.4</v>
      </c>
      <c r="F61" s="2">
        <f t="shared" si="3"/>
        <v>82.05</v>
      </c>
      <c r="G61" s="2">
        <f t="shared" si="4"/>
        <v>0</v>
      </c>
      <c r="H61" s="2">
        <f t="shared" si="5"/>
        <v>191.45</v>
      </c>
      <c r="I61" s="2">
        <f t="shared" si="6"/>
        <v>11498.369999999977</v>
      </c>
    </row>
    <row r="62" spans="1:9" x14ac:dyDescent="0.25">
      <c r="A62" s="1">
        <v>45627</v>
      </c>
      <c r="B62" s="2">
        <f t="shared" si="7"/>
        <v>5470</v>
      </c>
      <c r="C62" s="2">
        <f t="shared" si="0"/>
        <v>0</v>
      </c>
      <c r="D62" s="2">
        <f t="shared" si="1"/>
        <v>5470</v>
      </c>
      <c r="E62" s="2">
        <f t="shared" si="2"/>
        <v>109.4</v>
      </c>
      <c r="F62" s="2">
        <f t="shared" si="3"/>
        <v>82.05</v>
      </c>
      <c r="G62" s="2">
        <f t="shared" si="4"/>
        <v>240</v>
      </c>
      <c r="H62" s="2">
        <f t="shared" si="5"/>
        <v>191.45</v>
      </c>
      <c r="I62" s="2">
        <f t="shared" si="6"/>
        <v>11929.819999999976</v>
      </c>
    </row>
    <row r="63" spans="1:9" x14ac:dyDescent="0.25">
      <c r="A63" s="1">
        <v>45658</v>
      </c>
      <c r="B63" s="2">
        <f t="shared" si="7"/>
        <v>5607</v>
      </c>
      <c r="C63" s="2">
        <f t="shared" si="0"/>
        <v>500</v>
      </c>
      <c r="D63" s="2">
        <f t="shared" si="1"/>
        <v>6107</v>
      </c>
      <c r="E63" s="2">
        <f t="shared" si="2"/>
        <v>122.14</v>
      </c>
      <c r="F63" s="2">
        <f t="shared" si="3"/>
        <v>91.61</v>
      </c>
      <c r="G63" s="2">
        <f t="shared" si="4"/>
        <v>0</v>
      </c>
      <c r="H63" s="2">
        <f t="shared" si="5"/>
        <v>213.75</v>
      </c>
      <c r="I63" s="2">
        <f t="shared" si="6"/>
        <v>12143.569999999976</v>
      </c>
    </row>
    <row r="64" spans="1:9" x14ac:dyDescent="0.25">
      <c r="A64" s="1">
        <v>45689</v>
      </c>
      <c r="B64" s="2">
        <f t="shared" si="7"/>
        <v>5607</v>
      </c>
      <c r="C64" s="2">
        <f t="shared" si="0"/>
        <v>0</v>
      </c>
      <c r="D64" s="2">
        <f t="shared" si="1"/>
        <v>5607</v>
      </c>
      <c r="E64" s="2">
        <f t="shared" si="2"/>
        <v>112.14</v>
      </c>
      <c r="F64" s="2">
        <f t="shared" si="3"/>
        <v>84.11</v>
      </c>
      <c r="G64" s="2">
        <f t="shared" si="4"/>
        <v>0</v>
      </c>
      <c r="H64" s="2">
        <f t="shared" si="5"/>
        <v>196.25</v>
      </c>
      <c r="I64" s="2">
        <f t="shared" si="6"/>
        <v>12339.819999999976</v>
      </c>
    </row>
    <row r="65" spans="1:9" x14ac:dyDescent="0.25">
      <c r="A65" s="1">
        <v>45717</v>
      </c>
      <c r="B65" s="2">
        <f t="shared" si="7"/>
        <v>5607</v>
      </c>
      <c r="C65" s="2">
        <f t="shared" si="0"/>
        <v>0</v>
      </c>
      <c r="D65" s="2">
        <f t="shared" si="1"/>
        <v>5607</v>
      </c>
      <c r="E65" s="2">
        <f t="shared" si="2"/>
        <v>112.14</v>
      </c>
      <c r="F65" s="2">
        <f t="shared" si="3"/>
        <v>84.11</v>
      </c>
      <c r="G65" s="2">
        <f t="shared" si="4"/>
        <v>0</v>
      </c>
      <c r="H65" s="2">
        <f t="shared" si="5"/>
        <v>196.25</v>
      </c>
      <c r="I65" s="2">
        <f t="shared" si="6"/>
        <v>12536.069999999976</v>
      </c>
    </row>
    <row r="66" spans="1:9" x14ac:dyDescent="0.25">
      <c r="A66" s="1">
        <v>45748</v>
      </c>
      <c r="B66" s="2">
        <f t="shared" si="7"/>
        <v>5607</v>
      </c>
      <c r="C66" s="2">
        <f t="shared" si="0"/>
        <v>500</v>
      </c>
      <c r="D66" s="2">
        <f t="shared" si="1"/>
        <v>6107</v>
      </c>
      <c r="E66" s="2">
        <f t="shared" si="2"/>
        <v>122.14</v>
      </c>
      <c r="F66" s="2">
        <f t="shared" si="3"/>
        <v>91.61</v>
      </c>
      <c r="G66" s="2">
        <f t="shared" si="4"/>
        <v>0</v>
      </c>
      <c r="H66" s="2">
        <f t="shared" si="5"/>
        <v>213.75</v>
      </c>
      <c r="I66" s="2">
        <f t="shared" si="6"/>
        <v>12749.819999999976</v>
      </c>
    </row>
    <row r="67" spans="1:9" x14ac:dyDescent="0.25">
      <c r="A67" s="1">
        <v>45778</v>
      </c>
      <c r="B67" s="2">
        <f t="shared" si="7"/>
        <v>5607</v>
      </c>
      <c r="C67" s="2">
        <f t="shared" si="0"/>
        <v>0</v>
      </c>
      <c r="D67" s="2">
        <f t="shared" si="1"/>
        <v>5607</v>
      </c>
      <c r="E67" s="2">
        <f t="shared" si="2"/>
        <v>112.14</v>
      </c>
      <c r="F67" s="2">
        <f t="shared" si="3"/>
        <v>84.11</v>
      </c>
      <c r="G67" s="2">
        <f t="shared" si="4"/>
        <v>0</v>
      </c>
      <c r="H67" s="2">
        <f t="shared" si="5"/>
        <v>196.25</v>
      </c>
      <c r="I67" s="2">
        <f t="shared" si="6"/>
        <v>12946.069999999976</v>
      </c>
    </row>
    <row r="68" spans="1:9" x14ac:dyDescent="0.25">
      <c r="A68" s="1">
        <v>45809</v>
      </c>
      <c r="B68" s="2">
        <f t="shared" si="7"/>
        <v>5607</v>
      </c>
      <c r="C68" s="2">
        <f t="shared" ref="C68:C131" si="8">IF(AND(OR(MONTH(A68)=1,MONTH(A68)=4,MONTH(A68)=7,MONTH(A68)=10),DATE(2020,1,1)&lt;&gt;A68),500,0)</f>
        <v>0</v>
      </c>
      <c r="D68" s="2">
        <f t="shared" ref="D68:D131" si="9">B68+C68</f>
        <v>5607</v>
      </c>
      <c r="E68" s="2">
        <f t="shared" ref="E68:E131" si="10">IF(B68&gt;8000,ROUND(D68*(0.02+0.02),2),ROUND(D68*(0.02),2))</f>
        <v>112.14</v>
      </c>
      <c r="F68" s="2">
        <f t="shared" ref="F68:F131" si="11">IF(B68&gt;8000,ROUND(D68*0.04,2),ROUND(D68*0.015,2))</f>
        <v>84.11</v>
      </c>
      <c r="G68" s="2">
        <f t="shared" ref="G68:G131" si="12">IF(MONTH(A68)=12,240,0)</f>
        <v>0</v>
      </c>
      <c r="H68" s="2">
        <f t="shared" ref="H68:H131" si="13">E68+F68</f>
        <v>196.25</v>
      </c>
      <c r="I68" s="2">
        <f t="shared" ref="I68:I131" si="14">I67+E68+F68+G68</f>
        <v>13142.319999999976</v>
      </c>
    </row>
    <row r="69" spans="1:9" x14ac:dyDescent="0.25">
      <c r="A69" s="1">
        <v>45839</v>
      </c>
      <c r="B69" s="2">
        <f t="shared" ref="B69:B132" si="15">IF(YEAR($A69) &gt; YEAR($A68),IF(AND(MOD(YEAR(A69),4)=0,YEAR(A69)&lt;&gt;2020),ROUNDUP($B68*1.025,0)+500,ROUNDUP($B68*1.025,0)),$B68)</f>
        <v>5607</v>
      </c>
      <c r="C69" s="2">
        <f t="shared" si="8"/>
        <v>500</v>
      </c>
      <c r="D69" s="2">
        <f t="shared" si="9"/>
        <v>6107</v>
      </c>
      <c r="E69" s="2">
        <f t="shared" si="10"/>
        <v>122.14</v>
      </c>
      <c r="F69" s="2">
        <f t="shared" si="11"/>
        <v>91.61</v>
      </c>
      <c r="G69" s="2">
        <f t="shared" si="12"/>
        <v>0</v>
      </c>
      <c r="H69" s="2">
        <f t="shared" si="13"/>
        <v>213.75</v>
      </c>
      <c r="I69" s="2">
        <f t="shared" si="14"/>
        <v>13356.069999999976</v>
      </c>
    </row>
    <row r="70" spans="1:9" x14ac:dyDescent="0.25">
      <c r="A70" s="1">
        <v>45870</v>
      </c>
      <c r="B70" s="2">
        <f t="shared" si="15"/>
        <v>5607</v>
      </c>
      <c r="C70" s="2">
        <f t="shared" si="8"/>
        <v>0</v>
      </c>
      <c r="D70" s="2">
        <f t="shared" si="9"/>
        <v>5607</v>
      </c>
      <c r="E70" s="2">
        <f t="shared" si="10"/>
        <v>112.14</v>
      </c>
      <c r="F70" s="2">
        <f t="shared" si="11"/>
        <v>84.11</v>
      </c>
      <c r="G70" s="2">
        <f t="shared" si="12"/>
        <v>0</v>
      </c>
      <c r="H70" s="2">
        <f t="shared" si="13"/>
        <v>196.25</v>
      </c>
      <c r="I70" s="2">
        <f t="shared" si="14"/>
        <v>13552.319999999976</v>
      </c>
    </row>
    <row r="71" spans="1:9" x14ac:dyDescent="0.25">
      <c r="A71" s="1">
        <v>45901</v>
      </c>
      <c r="B71" s="2">
        <f t="shared" si="15"/>
        <v>5607</v>
      </c>
      <c r="C71" s="2">
        <f t="shared" si="8"/>
        <v>0</v>
      </c>
      <c r="D71" s="2">
        <f t="shared" si="9"/>
        <v>5607</v>
      </c>
      <c r="E71" s="2">
        <f t="shared" si="10"/>
        <v>112.14</v>
      </c>
      <c r="F71" s="2">
        <f t="shared" si="11"/>
        <v>84.11</v>
      </c>
      <c r="G71" s="2">
        <f t="shared" si="12"/>
        <v>0</v>
      </c>
      <c r="H71" s="2">
        <f t="shared" si="13"/>
        <v>196.25</v>
      </c>
      <c r="I71" s="2">
        <f t="shared" si="14"/>
        <v>13748.569999999976</v>
      </c>
    </row>
    <row r="72" spans="1:9" x14ac:dyDescent="0.25">
      <c r="A72" s="1">
        <v>45931</v>
      </c>
      <c r="B72" s="2">
        <f t="shared" si="15"/>
        <v>5607</v>
      </c>
      <c r="C72" s="2">
        <f t="shared" si="8"/>
        <v>500</v>
      </c>
      <c r="D72" s="2">
        <f t="shared" si="9"/>
        <v>6107</v>
      </c>
      <c r="E72" s="2">
        <f t="shared" si="10"/>
        <v>122.14</v>
      </c>
      <c r="F72" s="2">
        <f t="shared" si="11"/>
        <v>91.61</v>
      </c>
      <c r="G72" s="2">
        <f t="shared" si="12"/>
        <v>0</v>
      </c>
      <c r="H72" s="2">
        <f t="shared" si="13"/>
        <v>213.75</v>
      </c>
      <c r="I72" s="2">
        <f t="shared" si="14"/>
        <v>13962.319999999976</v>
      </c>
    </row>
    <row r="73" spans="1:9" x14ac:dyDescent="0.25">
      <c r="A73" s="1">
        <v>45962</v>
      </c>
      <c r="B73" s="2">
        <f t="shared" si="15"/>
        <v>5607</v>
      </c>
      <c r="C73" s="2">
        <f t="shared" si="8"/>
        <v>0</v>
      </c>
      <c r="D73" s="2">
        <f t="shared" si="9"/>
        <v>5607</v>
      </c>
      <c r="E73" s="2">
        <f t="shared" si="10"/>
        <v>112.14</v>
      </c>
      <c r="F73" s="2">
        <f t="shared" si="11"/>
        <v>84.11</v>
      </c>
      <c r="G73" s="2">
        <f t="shared" si="12"/>
        <v>0</v>
      </c>
      <c r="H73" s="2">
        <f t="shared" si="13"/>
        <v>196.25</v>
      </c>
      <c r="I73" s="2">
        <f t="shared" si="14"/>
        <v>14158.569999999976</v>
      </c>
    </row>
    <row r="74" spans="1:9" x14ac:dyDescent="0.25">
      <c r="A74" s="1">
        <v>45992</v>
      </c>
      <c r="B74" s="2">
        <f t="shared" si="15"/>
        <v>5607</v>
      </c>
      <c r="C74" s="2">
        <f t="shared" si="8"/>
        <v>0</v>
      </c>
      <c r="D74" s="2">
        <f t="shared" si="9"/>
        <v>5607</v>
      </c>
      <c r="E74" s="2">
        <f t="shared" si="10"/>
        <v>112.14</v>
      </c>
      <c r="F74" s="2">
        <f t="shared" si="11"/>
        <v>84.11</v>
      </c>
      <c r="G74" s="2">
        <f t="shared" si="12"/>
        <v>240</v>
      </c>
      <c r="H74" s="2">
        <f t="shared" si="13"/>
        <v>196.25</v>
      </c>
      <c r="I74" s="2">
        <f t="shared" si="14"/>
        <v>14594.819999999976</v>
      </c>
    </row>
    <row r="75" spans="1:9" x14ac:dyDescent="0.25">
      <c r="A75" s="1">
        <v>46023</v>
      </c>
      <c r="B75" s="2">
        <f t="shared" si="15"/>
        <v>5748</v>
      </c>
      <c r="C75" s="2">
        <f t="shared" si="8"/>
        <v>500</v>
      </c>
      <c r="D75" s="2">
        <f t="shared" si="9"/>
        <v>6248</v>
      </c>
      <c r="E75" s="2">
        <f t="shared" si="10"/>
        <v>124.96</v>
      </c>
      <c r="F75" s="2">
        <f t="shared" si="11"/>
        <v>93.72</v>
      </c>
      <c r="G75" s="2">
        <f t="shared" si="12"/>
        <v>0</v>
      </c>
      <c r="H75" s="2">
        <f t="shared" si="13"/>
        <v>218.68</v>
      </c>
      <c r="I75" s="2">
        <f t="shared" si="14"/>
        <v>14813.499999999975</v>
      </c>
    </row>
    <row r="76" spans="1:9" x14ac:dyDescent="0.25">
      <c r="A76" s="1">
        <v>46054</v>
      </c>
      <c r="B76" s="2">
        <f t="shared" si="15"/>
        <v>5748</v>
      </c>
      <c r="C76" s="2">
        <f t="shared" si="8"/>
        <v>0</v>
      </c>
      <c r="D76" s="2">
        <f t="shared" si="9"/>
        <v>5748</v>
      </c>
      <c r="E76" s="2">
        <f t="shared" si="10"/>
        <v>114.96</v>
      </c>
      <c r="F76" s="2">
        <f t="shared" si="11"/>
        <v>86.22</v>
      </c>
      <c r="G76" s="2">
        <f t="shared" si="12"/>
        <v>0</v>
      </c>
      <c r="H76" s="2">
        <f t="shared" si="13"/>
        <v>201.18</v>
      </c>
      <c r="I76" s="2">
        <f t="shared" si="14"/>
        <v>15014.679999999973</v>
      </c>
    </row>
    <row r="77" spans="1:9" x14ac:dyDescent="0.25">
      <c r="A77" s="1">
        <v>46082</v>
      </c>
      <c r="B77" s="2">
        <f t="shared" si="15"/>
        <v>5748</v>
      </c>
      <c r="C77" s="2">
        <f t="shared" si="8"/>
        <v>0</v>
      </c>
      <c r="D77" s="2">
        <f t="shared" si="9"/>
        <v>5748</v>
      </c>
      <c r="E77" s="2">
        <f t="shared" si="10"/>
        <v>114.96</v>
      </c>
      <c r="F77" s="2">
        <f t="shared" si="11"/>
        <v>86.22</v>
      </c>
      <c r="G77" s="2">
        <f t="shared" si="12"/>
        <v>0</v>
      </c>
      <c r="H77" s="2">
        <f t="shared" si="13"/>
        <v>201.18</v>
      </c>
      <c r="I77" s="2">
        <f t="shared" si="14"/>
        <v>15215.859999999971</v>
      </c>
    </row>
    <row r="78" spans="1:9" x14ac:dyDescent="0.25">
      <c r="A78" s="1">
        <v>46113</v>
      </c>
      <c r="B78" s="2">
        <f t="shared" si="15"/>
        <v>5748</v>
      </c>
      <c r="C78" s="2">
        <f t="shared" si="8"/>
        <v>500</v>
      </c>
      <c r="D78" s="2">
        <f t="shared" si="9"/>
        <v>6248</v>
      </c>
      <c r="E78" s="2">
        <f t="shared" si="10"/>
        <v>124.96</v>
      </c>
      <c r="F78" s="2">
        <f t="shared" si="11"/>
        <v>93.72</v>
      </c>
      <c r="G78" s="2">
        <f t="shared" si="12"/>
        <v>0</v>
      </c>
      <c r="H78" s="2">
        <f t="shared" si="13"/>
        <v>218.68</v>
      </c>
      <c r="I78" s="2">
        <f t="shared" si="14"/>
        <v>15434.53999999997</v>
      </c>
    </row>
    <row r="79" spans="1:9" x14ac:dyDescent="0.25">
      <c r="A79" s="1">
        <v>46143</v>
      </c>
      <c r="B79" s="2">
        <f t="shared" si="15"/>
        <v>5748</v>
      </c>
      <c r="C79" s="2">
        <f t="shared" si="8"/>
        <v>0</v>
      </c>
      <c r="D79" s="2">
        <f t="shared" si="9"/>
        <v>5748</v>
      </c>
      <c r="E79" s="2">
        <f t="shared" si="10"/>
        <v>114.96</v>
      </c>
      <c r="F79" s="2">
        <f t="shared" si="11"/>
        <v>86.22</v>
      </c>
      <c r="G79" s="2">
        <f t="shared" si="12"/>
        <v>0</v>
      </c>
      <c r="H79" s="2">
        <f t="shared" si="13"/>
        <v>201.18</v>
      </c>
      <c r="I79" s="2">
        <f t="shared" si="14"/>
        <v>15635.719999999968</v>
      </c>
    </row>
    <row r="80" spans="1:9" x14ac:dyDescent="0.25">
      <c r="A80" s="1">
        <v>46174</v>
      </c>
      <c r="B80" s="2">
        <f t="shared" si="15"/>
        <v>5748</v>
      </c>
      <c r="C80" s="2">
        <f t="shared" si="8"/>
        <v>0</v>
      </c>
      <c r="D80" s="2">
        <f t="shared" si="9"/>
        <v>5748</v>
      </c>
      <c r="E80" s="2">
        <f t="shared" si="10"/>
        <v>114.96</v>
      </c>
      <c r="F80" s="2">
        <f t="shared" si="11"/>
        <v>86.22</v>
      </c>
      <c r="G80" s="2">
        <f t="shared" si="12"/>
        <v>0</v>
      </c>
      <c r="H80" s="2">
        <f t="shared" si="13"/>
        <v>201.18</v>
      </c>
      <c r="I80" s="2">
        <f t="shared" si="14"/>
        <v>15836.899999999967</v>
      </c>
    </row>
    <row r="81" spans="1:9" x14ac:dyDescent="0.25">
      <c r="A81" s="1">
        <v>46204</v>
      </c>
      <c r="B81" s="2">
        <f t="shared" si="15"/>
        <v>5748</v>
      </c>
      <c r="C81" s="2">
        <f t="shared" si="8"/>
        <v>500</v>
      </c>
      <c r="D81" s="2">
        <f t="shared" si="9"/>
        <v>6248</v>
      </c>
      <c r="E81" s="2">
        <f t="shared" si="10"/>
        <v>124.96</v>
      </c>
      <c r="F81" s="2">
        <f t="shared" si="11"/>
        <v>93.72</v>
      </c>
      <c r="G81" s="2">
        <f t="shared" si="12"/>
        <v>0</v>
      </c>
      <c r="H81" s="2">
        <f t="shared" si="13"/>
        <v>218.68</v>
      </c>
      <c r="I81" s="2">
        <f t="shared" si="14"/>
        <v>16055.579999999965</v>
      </c>
    </row>
    <row r="82" spans="1:9" x14ac:dyDescent="0.25">
      <c r="A82" s="1">
        <v>46235</v>
      </c>
      <c r="B82" s="2">
        <f t="shared" si="15"/>
        <v>5748</v>
      </c>
      <c r="C82" s="2">
        <f t="shared" si="8"/>
        <v>0</v>
      </c>
      <c r="D82" s="2">
        <f t="shared" si="9"/>
        <v>5748</v>
      </c>
      <c r="E82" s="2">
        <f t="shared" si="10"/>
        <v>114.96</v>
      </c>
      <c r="F82" s="2">
        <f t="shared" si="11"/>
        <v>86.22</v>
      </c>
      <c r="G82" s="2">
        <f t="shared" si="12"/>
        <v>0</v>
      </c>
      <c r="H82" s="2">
        <f t="shared" si="13"/>
        <v>201.18</v>
      </c>
      <c r="I82" s="2">
        <f t="shared" si="14"/>
        <v>16256.759999999964</v>
      </c>
    </row>
    <row r="83" spans="1:9" x14ac:dyDescent="0.25">
      <c r="A83" s="1">
        <v>46266</v>
      </c>
      <c r="B83" s="2">
        <f t="shared" si="15"/>
        <v>5748</v>
      </c>
      <c r="C83" s="2">
        <f t="shared" si="8"/>
        <v>0</v>
      </c>
      <c r="D83" s="2">
        <f t="shared" si="9"/>
        <v>5748</v>
      </c>
      <c r="E83" s="2">
        <f t="shared" si="10"/>
        <v>114.96</v>
      </c>
      <c r="F83" s="2">
        <f t="shared" si="11"/>
        <v>86.22</v>
      </c>
      <c r="G83" s="2">
        <f t="shared" si="12"/>
        <v>0</v>
      </c>
      <c r="H83" s="2">
        <f t="shared" si="13"/>
        <v>201.18</v>
      </c>
      <c r="I83" s="2">
        <f t="shared" si="14"/>
        <v>16457.939999999962</v>
      </c>
    </row>
    <row r="84" spans="1:9" x14ac:dyDescent="0.25">
      <c r="A84" s="1">
        <v>46296</v>
      </c>
      <c r="B84" s="2">
        <f t="shared" si="15"/>
        <v>5748</v>
      </c>
      <c r="C84" s="2">
        <f t="shared" si="8"/>
        <v>500</v>
      </c>
      <c r="D84" s="2">
        <f t="shared" si="9"/>
        <v>6248</v>
      </c>
      <c r="E84" s="2">
        <f t="shared" si="10"/>
        <v>124.96</v>
      </c>
      <c r="F84" s="2">
        <f t="shared" si="11"/>
        <v>93.72</v>
      </c>
      <c r="G84" s="2">
        <f t="shared" si="12"/>
        <v>0</v>
      </c>
      <c r="H84" s="2">
        <f t="shared" si="13"/>
        <v>218.68</v>
      </c>
      <c r="I84" s="2">
        <f t="shared" si="14"/>
        <v>16676.619999999963</v>
      </c>
    </row>
    <row r="85" spans="1:9" x14ac:dyDescent="0.25">
      <c r="A85" s="1">
        <v>46327</v>
      </c>
      <c r="B85" s="2">
        <f t="shared" si="15"/>
        <v>5748</v>
      </c>
      <c r="C85" s="2">
        <f t="shared" si="8"/>
        <v>0</v>
      </c>
      <c r="D85" s="2">
        <f t="shared" si="9"/>
        <v>5748</v>
      </c>
      <c r="E85" s="2">
        <f t="shared" si="10"/>
        <v>114.96</v>
      </c>
      <c r="F85" s="2">
        <f t="shared" si="11"/>
        <v>86.22</v>
      </c>
      <c r="G85" s="2">
        <f t="shared" si="12"/>
        <v>0</v>
      </c>
      <c r="H85" s="2">
        <f t="shared" si="13"/>
        <v>201.18</v>
      </c>
      <c r="I85" s="2">
        <f t="shared" si="14"/>
        <v>16877.799999999963</v>
      </c>
    </row>
    <row r="86" spans="1:9" x14ac:dyDescent="0.25">
      <c r="A86" s="1">
        <v>46357</v>
      </c>
      <c r="B86" s="2">
        <f t="shared" si="15"/>
        <v>5748</v>
      </c>
      <c r="C86" s="2">
        <f t="shared" si="8"/>
        <v>0</v>
      </c>
      <c r="D86" s="2">
        <f t="shared" si="9"/>
        <v>5748</v>
      </c>
      <c r="E86" s="2">
        <f t="shared" si="10"/>
        <v>114.96</v>
      </c>
      <c r="F86" s="2">
        <f t="shared" si="11"/>
        <v>86.22</v>
      </c>
      <c r="G86" s="2">
        <f t="shared" si="12"/>
        <v>240</v>
      </c>
      <c r="H86" s="2">
        <f t="shared" si="13"/>
        <v>201.18</v>
      </c>
      <c r="I86" s="2">
        <f t="shared" si="14"/>
        <v>17318.979999999963</v>
      </c>
    </row>
    <row r="87" spans="1:9" x14ac:dyDescent="0.25">
      <c r="A87" s="1">
        <v>46388</v>
      </c>
      <c r="B87" s="2">
        <f t="shared" si="15"/>
        <v>5892</v>
      </c>
      <c r="C87" s="2">
        <f t="shared" si="8"/>
        <v>500</v>
      </c>
      <c r="D87" s="2">
        <f t="shared" si="9"/>
        <v>6392</v>
      </c>
      <c r="E87" s="2">
        <f t="shared" si="10"/>
        <v>127.84</v>
      </c>
      <c r="F87" s="2">
        <f t="shared" si="11"/>
        <v>95.88</v>
      </c>
      <c r="G87" s="2">
        <f t="shared" si="12"/>
        <v>0</v>
      </c>
      <c r="H87" s="2">
        <f t="shared" si="13"/>
        <v>223.72</v>
      </c>
      <c r="I87" s="2">
        <f t="shared" si="14"/>
        <v>17542.699999999964</v>
      </c>
    </row>
    <row r="88" spans="1:9" x14ac:dyDescent="0.25">
      <c r="A88" s="1">
        <v>46419</v>
      </c>
      <c r="B88" s="2">
        <f t="shared" si="15"/>
        <v>5892</v>
      </c>
      <c r="C88" s="2">
        <f t="shared" si="8"/>
        <v>0</v>
      </c>
      <c r="D88" s="2">
        <f t="shared" si="9"/>
        <v>5892</v>
      </c>
      <c r="E88" s="2">
        <f t="shared" si="10"/>
        <v>117.84</v>
      </c>
      <c r="F88" s="2">
        <f t="shared" si="11"/>
        <v>88.38</v>
      </c>
      <c r="G88" s="2">
        <f t="shared" si="12"/>
        <v>0</v>
      </c>
      <c r="H88" s="2">
        <f t="shared" si="13"/>
        <v>206.22</v>
      </c>
      <c r="I88" s="2">
        <f t="shared" si="14"/>
        <v>17748.919999999966</v>
      </c>
    </row>
    <row r="89" spans="1:9" x14ac:dyDescent="0.25">
      <c r="A89" s="1">
        <v>46447</v>
      </c>
      <c r="B89" s="2">
        <f t="shared" si="15"/>
        <v>5892</v>
      </c>
      <c r="C89" s="2">
        <f t="shared" si="8"/>
        <v>0</v>
      </c>
      <c r="D89" s="2">
        <f t="shared" si="9"/>
        <v>5892</v>
      </c>
      <c r="E89" s="2">
        <f t="shared" si="10"/>
        <v>117.84</v>
      </c>
      <c r="F89" s="2">
        <f t="shared" si="11"/>
        <v>88.38</v>
      </c>
      <c r="G89" s="2">
        <f t="shared" si="12"/>
        <v>0</v>
      </c>
      <c r="H89" s="2">
        <f t="shared" si="13"/>
        <v>206.22</v>
      </c>
      <c r="I89" s="2">
        <f t="shared" si="14"/>
        <v>17955.139999999967</v>
      </c>
    </row>
    <row r="90" spans="1:9" x14ac:dyDescent="0.25">
      <c r="A90" s="1">
        <v>46478</v>
      </c>
      <c r="B90" s="2">
        <f t="shared" si="15"/>
        <v>5892</v>
      </c>
      <c r="C90" s="2">
        <f t="shared" si="8"/>
        <v>500</v>
      </c>
      <c r="D90" s="2">
        <f t="shared" si="9"/>
        <v>6392</v>
      </c>
      <c r="E90" s="2">
        <f t="shared" si="10"/>
        <v>127.84</v>
      </c>
      <c r="F90" s="2">
        <f t="shared" si="11"/>
        <v>95.88</v>
      </c>
      <c r="G90" s="2">
        <f t="shared" si="12"/>
        <v>0</v>
      </c>
      <c r="H90" s="2">
        <f t="shared" si="13"/>
        <v>223.72</v>
      </c>
      <c r="I90" s="2">
        <f t="shared" si="14"/>
        <v>18178.859999999968</v>
      </c>
    </row>
    <row r="91" spans="1:9" x14ac:dyDescent="0.25">
      <c r="A91" s="1">
        <v>46508</v>
      </c>
      <c r="B91" s="2">
        <f t="shared" si="15"/>
        <v>5892</v>
      </c>
      <c r="C91" s="2">
        <f t="shared" si="8"/>
        <v>0</v>
      </c>
      <c r="D91" s="2">
        <f t="shared" si="9"/>
        <v>5892</v>
      </c>
      <c r="E91" s="2">
        <f t="shared" si="10"/>
        <v>117.84</v>
      </c>
      <c r="F91" s="2">
        <f t="shared" si="11"/>
        <v>88.38</v>
      </c>
      <c r="G91" s="2">
        <f t="shared" si="12"/>
        <v>0</v>
      </c>
      <c r="H91" s="2">
        <f t="shared" si="13"/>
        <v>206.22</v>
      </c>
      <c r="I91" s="2">
        <f t="shared" si="14"/>
        <v>18385.079999999969</v>
      </c>
    </row>
    <row r="92" spans="1:9" x14ac:dyDescent="0.25">
      <c r="A92" s="1">
        <v>46539</v>
      </c>
      <c r="B92" s="2">
        <f t="shared" si="15"/>
        <v>5892</v>
      </c>
      <c r="C92" s="2">
        <f t="shared" si="8"/>
        <v>0</v>
      </c>
      <c r="D92" s="2">
        <f t="shared" si="9"/>
        <v>5892</v>
      </c>
      <c r="E92" s="2">
        <f t="shared" si="10"/>
        <v>117.84</v>
      </c>
      <c r="F92" s="2">
        <f t="shared" si="11"/>
        <v>88.38</v>
      </c>
      <c r="G92" s="2">
        <f t="shared" si="12"/>
        <v>0</v>
      </c>
      <c r="H92" s="2">
        <f t="shared" si="13"/>
        <v>206.22</v>
      </c>
      <c r="I92" s="2">
        <f t="shared" si="14"/>
        <v>18591.29999999997</v>
      </c>
    </row>
    <row r="93" spans="1:9" x14ac:dyDescent="0.25">
      <c r="A93" s="1">
        <v>46569</v>
      </c>
      <c r="B93" s="2">
        <f t="shared" si="15"/>
        <v>5892</v>
      </c>
      <c r="C93" s="2">
        <f t="shared" si="8"/>
        <v>500</v>
      </c>
      <c r="D93" s="2">
        <f t="shared" si="9"/>
        <v>6392</v>
      </c>
      <c r="E93" s="2">
        <f t="shared" si="10"/>
        <v>127.84</v>
      </c>
      <c r="F93" s="2">
        <f t="shared" si="11"/>
        <v>95.88</v>
      </c>
      <c r="G93" s="2">
        <f t="shared" si="12"/>
        <v>0</v>
      </c>
      <c r="H93" s="2">
        <f t="shared" si="13"/>
        <v>223.72</v>
      </c>
      <c r="I93" s="2">
        <f t="shared" si="14"/>
        <v>18815.019999999971</v>
      </c>
    </row>
    <row r="94" spans="1:9" x14ac:dyDescent="0.25">
      <c r="A94" s="1">
        <v>46600</v>
      </c>
      <c r="B94" s="2">
        <f t="shared" si="15"/>
        <v>5892</v>
      </c>
      <c r="C94" s="2">
        <f t="shared" si="8"/>
        <v>0</v>
      </c>
      <c r="D94" s="2">
        <f t="shared" si="9"/>
        <v>5892</v>
      </c>
      <c r="E94" s="2">
        <f t="shared" si="10"/>
        <v>117.84</v>
      </c>
      <c r="F94" s="2">
        <f t="shared" si="11"/>
        <v>88.38</v>
      </c>
      <c r="G94" s="2">
        <f t="shared" si="12"/>
        <v>0</v>
      </c>
      <c r="H94" s="2">
        <f t="shared" si="13"/>
        <v>206.22</v>
      </c>
      <c r="I94" s="2">
        <f t="shared" si="14"/>
        <v>19021.239999999972</v>
      </c>
    </row>
    <row r="95" spans="1:9" x14ac:dyDescent="0.25">
      <c r="A95" s="1">
        <v>46631</v>
      </c>
      <c r="B95" s="2">
        <f t="shared" si="15"/>
        <v>5892</v>
      </c>
      <c r="C95" s="2">
        <f t="shared" si="8"/>
        <v>0</v>
      </c>
      <c r="D95" s="2">
        <f t="shared" si="9"/>
        <v>5892</v>
      </c>
      <c r="E95" s="2">
        <f t="shared" si="10"/>
        <v>117.84</v>
      </c>
      <c r="F95" s="2">
        <f t="shared" si="11"/>
        <v>88.38</v>
      </c>
      <c r="G95" s="2">
        <f t="shared" si="12"/>
        <v>0</v>
      </c>
      <c r="H95" s="2">
        <f t="shared" si="13"/>
        <v>206.22</v>
      </c>
      <c r="I95" s="2">
        <f t="shared" si="14"/>
        <v>19227.459999999974</v>
      </c>
    </row>
    <row r="96" spans="1:9" x14ac:dyDescent="0.25">
      <c r="A96" s="1">
        <v>46661</v>
      </c>
      <c r="B96" s="2">
        <f t="shared" si="15"/>
        <v>5892</v>
      </c>
      <c r="C96" s="2">
        <f t="shared" si="8"/>
        <v>500</v>
      </c>
      <c r="D96" s="2">
        <f t="shared" si="9"/>
        <v>6392</v>
      </c>
      <c r="E96" s="2">
        <f t="shared" si="10"/>
        <v>127.84</v>
      </c>
      <c r="F96" s="2">
        <f t="shared" si="11"/>
        <v>95.88</v>
      </c>
      <c r="G96" s="2">
        <f t="shared" si="12"/>
        <v>0</v>
      </c>
      <c r="H96" s="2">
        <f t="shared" si="13"/>
        <v>223.72</v>
      </c>
      <c r="I96" s="2">
        <f t="shared" si="14"/>
        <v>19451.179999999975</v>
      </c>
    </row>
    <row r="97" spans="1:9" x14ac:dyDescent="0.25">
      <c r="A97" s="1">
        <v>46692</v>
      </c>
      <c r="B97" s="2">
        <f t="shared" si="15"/>
        <v>5892</v>
      </c>
      <c r="C97" s="2">
        <f t="shared" si="8"/>
        <v>0</v>
      </c>
      <c r="D97" s="2">
        <f t="shared" si="9"/>
        <v>5892</v>
      </c>
      <c r="E97" s="2">
        <f t="shared" si="10"/>
        <v>117.84</v>
      </c>
      <c r="F97" s="2">
        <f t="shared" si="11"/>
        <v>88.38</v>
      </c>
      <c r="G97" s="2">
        <f t="shared" si="12"/>
        <v>0</v>
      </c>
      <c r="H97" s="2">
        <f t="shared" si="13"/>
        <v>206.22</v>
      </c>
      <c r="I97" s="2">
        <f t="shared" si="14"/>
        <v>19657.399999999976</v>
      </c>
    </row>
    <row r="98" spans="1:9" x14ac:dyDescent="0.25">
      <c r="A98" s="1">
        <v>46722</v>
      </c>
      <c r="B98" s="2">
        <f t="shared" si="15"/>
        <v>5892</v>
      </c>
      <c r="C98" s="2">
        <f t="shared" si="8"/>
        <v>0</v>
      </c>
      <c r="D98" s="2">
        <f t="shared" si="9"/>
        <v>5892</v>
      </c>
      <c r="E98" s="2">
        <f t="shared" si="10"/>
        <v>117.84</v>
      </c>
      <c r="F98" s="2">
        <f t="shared" si="11"/>
        <v>88.38</v>
      </c>
      <c r="G98" s="2">
        <f t="shared" si="12"/>
        <v>240</v>
      </c>
      <c r="H98" s="2">
        <f t="shared" si="13"/>
        <v>206.22</v>
      </c>
      <c r="I98" s="2">
        <f t="shared" si="14"/>
        <v>20103.619999999977</v>
      </c>
    </row>
    <row r="99" spans="1:9" x14ac:dyDescent="0.25">
      <c r="A99" s="1">
        <v>46753</v>
      </c>
      <c r="B99" s="2">
        <f t="shared" si="15"/>
        <v>6540</v>
      </c>
      <c r="C99" s="2">
        <f t="shared" si="8"/>
        <v>500</v>
      </c>
      <c r="D99" s="2">
        <f t="shared" si="9"/>
        <v>7040</v>
      </c>
      <c r="E99" s="2">
        <f t="shared" si="10"/>
        <v>140.80000000000001</v>
      </c>
      <c r="F99" s="2">
        <f t="shared" si="11"/>
        <v>105.6</v>
      </c>
      <c r="G99" s="2">
        <f t="shared" si="12"/>
        <v>0</v>
      </c>
      <c r="H99" s="2">
        <f t="shared" si="13"/>
        <v>246.4</v>
      </c>
      <c r="I99" s="2">
        <f t="shared" si="14"/>
        <v>20350.019999999975</v>
      </c>
    </row>
    <row r="100" spans="1:9" x14ac:dyDescent="0.25">
      <c r="A100" s="1">
        <v>46784</v>
      </c>
      <c r="B100" s="2">
        <f t="shared" si="15"/>
        <v>6540</v>
      </c>
      <c r="C100" s="2">
        <f t="shared" si="8"/>
        <v>0</v>
      </c>
      <c r="D100" s="2">
        <f t="shared" si="9"/>
        <v>6540</v>
      </c>
      <c r="E100" s="2">
        <f t="shared" si="10"/>
        <v>130.80000000000001</v>
      </c>
      <c r="F100" s="2">
        <f t="shared" si="11"/>
        <v>98.1</v>
      </c>
      <c r="G100" s="2">
        <f t="shared" si="12"/>
        <v>0</v>
      </c>
      <c r="H100" s="2">
        <f t="shared" si="13"/>
        <v>228.9</v>
      </c>
      <c r="I100" s="2">
        <f t="shared" si="14"/>
        <v>20578.919999999973</v>
      </c>
    </row>
    <row r="101" spans="1:9" x14ac:dyDescent="0.25">
      <c r="A101" s="1">
        <v>46813</v>
      </c>
      <c r="B101" s="2">
        <f t="shared" si="15"/>
        <v>6540</v>
      </c>
      <c r="C101" s="2">
        <f t="shared" si="8"/>
        <v>0</v>
      </c>
      <c r="D101" s="2">
        <f t="shared" si="9"/>
        <v>6540</v>
      </c>
      <c r="E101" s="2">
        <f t="shared" si="10"/>
        <v>130.80000000000001</v>
      </c>
      <c r="F101" s="2">
        <f t="shared" si="11"/>
        <v>98.1</v>
      </c>
      <c r="G101" s="2">
        <f t="shared" si="12"/>
        <v>0</v>
      </c>
      <c r="H101" s="2">
        <f t="shared" si="13"/>
        <v>228.9</v>
      </c>
      <c r="I101" s="2">
        <f t="shared" si="14"/>
        <v>20807.819999999971</v>
      </c>
    </row>
    <row r="102" spans="1:9" x14ac:dyDescent="0.25">
      <c r="A102" s="1">
        <v>46844</v>
      </c>
      <c r="B102" s="2">
        <f t="shared" si="15"/>
        <v>6540</v>
      </c>
      <c r="C102" s="2">
        <f t="shared" si="8"/>
        <v>500</v>
      </c>
      <c r="D102" s="2">
        <f t="shared" si="9"/>
        <v>7040</v>
      </c>
      <c r="E102" s="2">
        <f t="shared" si="10"/>
        <v>140.80000000000001</v>
      </c>
      <c r="F102" s="2">
        <f t="shared" si="11"/>
        <v>105.6</v>
      </c>
      <c r="G102" s="2">
        <f t="shared" si="12"/>
        <v>0</v>
      </c>
      <c r="H102" s="2">
        <f t="shared" si="13"/>
        <v>246.4</v>
      </c>
      <c r="I102" s="2">
        <f t="shared" si="14"/>
        <v>21054.219999999968</v>
      </c>
    </row>
    <row r="103" spans="1:9" x14ac:dyDescent="0.25">
      <c r="A103" s="1">
        <v>46874</v>
      </c>
      <c r="B103" s="2">
        <f t="shared" si="15"/>
        <v>6540</v>
      </c>
      <c r="C103" s="2">
        <f t="shared" si="8"/>
        <v>0</v>
      </c>
      <c r="D103" s="2">
        <f t="shared" si="9"/>
        <v>6540</v>
      </c>
      <c r="E103" s="2">
        <f t="shared" si="10"/>
        <v>130.80000000000001</v>
      </c>
      <c r="F103" s="2">
        <f t="shared" si="11"/>
        <v>98.1</v>
      </c>
      <c r="G103" s="2">
        <f t="shared" si="12"/>
        <v>0</v>
      </c>
      <c r="H103" s="2">
        <f t="shared" si="13"/>
        <v>228.9</v>
      </c>
      <c r="I103" s="2">
        <f t="shared" si="14"/>
        <v>21283.119999999966</v>
      </c>
    </row>
    <row r="104" spans="1:9" x14ac:dyDescent="0.25">
      <c r="A104" s="1">
        <v>46905</v>
      </c>
      <c r="B104" s="2">
        <f t="shared" si="15"/>
        <v>6540</v>
      </c>
      <c r="C104" s="2">
        <f t="shared" si="8"/>
        <v>0</v>
      </c>
      <c r="D104" s="2">
        <f t="shared" si="9"/>
        <v>6540</v>
      </c>
      <c r="E104" s="2">
        <f t="shared" si="10"/>
        <v>130.80000000000001</v>
      </c>
      <c r="F104" s="2">
        <f t="shared" si="11"/>
        <v>98.1</v>
      </c>
      <c r="G104" s="2">
        <f t="shared" si="12"/>
        <v>0</v>
      </c>
      <c r="H104" s="2">
        <f t="shared" si="13"/>
        <v>228.9</v>
      </c>
      <c r="I104" s="2">
        <f t="shared" si="14"/>
        <v>21512.019999999964</v>
      </c>
    </row>
    <row r="105" spans="1:9" x14ac:dyDescent="0.25">
      <c r="A105" s="1">
        <v>46935</v>
      </c>
      <c r="B105" s="2">
        <f t="shared" si="15"/>
        <v>6540</v>
      </c>
      <c r="C105" s="2">
        <f t="shared" si="8"/>
        <v>500</v>
      </c>
      <c r="D105" s="2">
        <f t="shared" si="9"/>
        <v>7040</v>
      </c>
      <c r="E105" s="2">
        <f t="shared" si="10"/>
        <v>140.80000000000001</v>
      </c>
      <c r="F105" s="2">
        <f t="shared" si="11"/>
        <v>105.6</v>
      </c>
      <c r="G105" s="2">
        <f t="shared" si="12"/>
        <v>0</v>
      </c>
      <c r="H105" s="2">
        <f t="shared" si="13"/>
        <v>246.4</v>
      </c>
      <c r="I105" s="2">
        <f t="shared" si="14"/>
        <v>21758.419999999962</v>
      </c>
    </row>
    <row r="106" spans="1:9" x14ac:dyDescent="0.25">
      <c r="A106" s="1">
        <v>46966</v>
      </c>
      <c r="B106" s="2">
        <f t="shared" si="15"/>
        <v>6540</v>
      </c>
      <c r="C106" s="2">
        <f t="shared" si="8"/>
        <v>0</v>
      </c>
      <c r="D106" s="2">
        <f t="shared" si="9"/>
        <v>6540</v>
      </c>
      <c r="E106" s="2">
        <f t="shared" si="10"/>
        <v>130.80000000000001</v>
      </c>
      <c r="F106" s="2">
        <f t="shared" si="11"/>
        <v>98.1</v>
      </c>
      <c r="G106" s="2">
        <f t="shared" si="12"/>
        <v>0</v>
      </c>
      <c r="H106" s="2">
        <f t="shared" si="13"/>
        <v>228.9</v>
      </c>
      <c r="I106" s="2">
        <f t="shared" si="14"/>
        <v>21987.31999999996</v>
      </c>
    </row>
    <row r="107" spans="1:9" x14ac:dyDescent="0.25">
      <c r="A107" s="1">
        <v>46997</v>
      </c>
      <c r="B107" s="2">
        <f t="shared" si="15"/>
        <v>6540</v>
      </c>
      <c r="C107" s="2">
        <f t="shared" si="8"/>
        <v>0</v>
      </c>
      <c r="D107" s="2">
        <f t="shared" si="9"/>
        <v>6540</v>
      </c>
      <c r="E107" s="2">
        <f t="shared" si="10"/>
        <v>130.80000000000001</v>
      </c>
      <c r="F107" s="2">
        <f t="shared" si="11"/>
        <v>98.1</v>
      </c>
      <c r="G107" s="2">
        <f t="shared" si="12"/>
        <v>0</v>
      </c>
      <c r="H107" s="2">
        <f t="shared" si="13"/>
        <v>228.9</v>
      </c>
      <c r="I107" s="2">
        <f t="shared" si="14"/>
        <v>22216.219999999958</v>
      </c>
    </row>
    <row r="108" spans="1:9" x14ac:dyDescent="0.25">
      <c r="A108" s="1">
        <v>47027</v>
      </c>
      <c r="B108" s="2">
        <f t="shared" si="15"/>
        <v>6540</v>
      </c>
      <c r="C108" s="2">
        <f t="shared" si="8"/>
        <v>500</v>
      </c>
      <c r="D108" s="2">
        <f t="shared" si="9"/>
        <v>7040</v>
      </c>
      <c r="E108" s="2">
        <f t="shared" si="10"/>
        <v>140.80000000000001</v>
      </c>
      <c r="F108" s="2">
        <f t="shared" si="11"/>
        <v>105.6</v>
      </c>
      <c r="G108" s="2">
        <f t="shared" si="12"/>
        <v>0</v>
      </c>
      <c r="H108" s="2">
        <f t="shared" si="13"/>
        <v>246.4</v>
      </c>
      <c r="I108" s="2">
        <f t="shared" si="14"/>
        <v>22462.619999999955</v>
      </c>
    </row>
    <row r="109" spans="1:9" x14ac:dyDescent="0.25">
      <c r="A109" s="1">
        <v>47058</v>
      </c>
      <c r="B109" s="2">
        <f t="shared" si="15"/>
        <v>6540</v>
      </c>
      <c r="C109" s="2">
        <f t="shared" si="8"/>
        <v>0</v>
      </c>
      <c r="D109" s="2">
        <f t="shared" si="9"/>
        <v>6540</v>
      </c>
      <c r="E109" s="2">
        <f t="shared" si="10"/>
        <v>130.80000000000001</v>
      </c>
      <c r="F109" s="2">
        <f t="shared" si="11"/>
        <v>98.1</v>
      </c>
      <c r="G109" s="2">
        <f t="shared" si="12"/>
        <v>0</v>
      </c>
      <c r="H109" s="2">
        <f t="shared" si="13"/>
        <v>228.9</v>
      </c>
      <c r="I109" s="2">
        <f t="shared" si="14"/>
        <v>22691.519999999953</v>
      </c>
    </row>
    <row r="110" spans="1:9" x14ac:dyDescent="0.25">
      <c r="A110" s="1">
        <v>47088</v>
      </c>
      <c r="B110" s="2">
        <f t="shared" si="15"/>
        <v>6540</v>
      </c>
      <c r="C110" s="2">
        <f t="shared" si="8"/>
        <v>0</v>
      </c>
      <c r="D110" s="2">
        <f t="shared" si="9"/>
        <v>6540</v>
      </c>
      <c r="E110" s="2">
        <f t="shared" si="10"/>
        <v>130.80000000000001</v>
      </c>
      <c r="F110" s="2">
        <f t="shared" si="11"/>
        <v>98.1</v>
      </c>
      <c r="G110" s="2">
        <f t="shared" si="12"/>
        <v>240</v>
      </c>
      <c r="H110" s="2">
        <f t="shared" si="13"/>
        <v>228.9</v>
      </c>
      <c r="I110" s="2">
        <f t="shared" si="14"/>
        <v>23160.419999999951</v>
      </c>
    </row>
    <row r="111" spans="1:9" x14ac:dyDescent="0.25">
      <c r="A111" s="1">
        <v>47119</v>
      </c>
      <c r="B111" s="2">
        <f t="shared" si="15"/>
        <v>6704</v>
      </c>
      <c r="C111" s="2">
        <f t="shared" si="8"/>
        <v>500</v>
      </c>
      <c r="D111" s="2">
        <f t="shared" si="9"/>
        <v>7204</v>
      </c>
      <c r="E111" s="2">
        <f t="shared" si="10"/>
        <v>144.08000000000001</v>
      </c>
      <c r="F111" s="2">
        <f t="shared" si="11"/>
        <v>108.06</v>
      </c>
      <c r="G111" s="2">
        <f t="shared" si="12"/>
        <v>0</v>
      </c>
      <c r="H111" s="2">
        <f t="shared" si="13"/>
        <v>252.14000000000001</v>
      </c>
      <c r="I111" s="2">
        <f t="shared" si="14"/>
        <v>23412.559999999954</v>
      </c>
    </row>
    <row r="112" spans="1:9" x14ac:dyDescent="0.25">
      <c r="A112" s="1">
        <v>47150</v>
      </c>
      <c r="B112" s="2">
        <f t="shared" si="15"/>
        <v>6704</v>
      </c>
      <c r="C112" s="2">
        <f t="shared" si="8"/>
        <v>0</v>
      </c>
      <c r="D112" s="2">
        <f t="shared" si="9"/>
        <v>6704</v>
      </c>
      <c r="E112" s="2">
        <f t="shared" si="10"/>
        <v>134.08000000000001</v>
      </c>
      <c r="F112" s="2">
        <f t="shared" si="11"/>
        <v>100.56</v>
      </c>
      <c r="G112" s="2">
        <f t="shared" si="12"/>
        <v>0</v>
      </c>
      <c r="H112" s="2">
        <f t="shared" si="13"/>
        <v>234.64000000000001</v>
      </c>
      <c r="I112" s="2">
        <f t="shared" si="14"/>
        <v>23647.199999999957</v>
      </c>
    </row>
    <row r="113" spans="1:9" x14ac:dyDescent="0.25">
      <c r="A113" s="1">
        <v>47178</v>
      </c>
      <c r="B113" s="2">
        <f t="shared" si="15"/>
        <v>6704</v>
      </c>
      <c r="C113" s="2">
        <f t="shared" si="8"/>
        <v>0</v>
      </c>
      <c r="D113" s="2">
        <f t="shared" si="9"/>
        <v>6704</v>
      </c>
      <c r="E113" s="2">
        <f t="shared" si="10"/>
        <v>134.08000000000001</v>
      </c>
      <c r="F113" s="2">
        <f t="shared" si="11"/>
        <v>100.56</v>
      </c>
      <c r="G113" s="2">
        <f t="shared" si="12"/>
        <v>0</v>
      </c>
      <c r="H113" s="2">
        <f t="shared" si="13"/>
        <v>234.64000000000001</v>
      </c>
      <c r="I113" s="2">
        <f t="shared" si="14"/>
        <v>23881.83999999996</v>
      </c>
    </row>
    <row r="114" spans="1:9" x14ac:dyDescent="0.25">
      <c r="A114" s="1">
        <v>47209</v>
      </c>
      <c r="B114" s="2">
        <f t="shared" si="15"/>
        <v>6704</v>
      </c>
      <c r="C114" s="2">
        <f t="shared" si="8"/>
        <v>500</v>
      </c>
      <c r="D114" s="2">
        <f t="shared" si="9"/>
        <v>7204</v>
      </c>
      <c r="E114" s="2">
        <f t="shared" si="10"/>
        <v>144.08000000000001</v>
      </c>
      <c r="F114" s="2">
        <f t="shared" si="11"/>
        <v>108.06</v>
      </c>
      <c r="G114" s="2">
        <f t="shared" si="12"/>
        <v>0</v>
      </c>
      <c r="H114" s="2">
        <f t="shared" si="13"/>
        <v>252.14000000000001</v>
      </c>
      <c r="I114" s="2">
        <f t="shared" si="14"/>
        <v>24133.979999999963</v>
      </c>
    </row>
    <row r="115" spans="1:9" x14ac:dyDescent="0.25">
      <c r="A115" s="1">
        <v>47239</v>
      </c>
      <c r="B115" s="2">
        <f t="shared" si="15"/>
        <v>6704</v>
      </c>
      <c r="C115" s="2">
        <f t="shared" si="8"/>
        <v>0</v>
      </c>
      <c r="D115" s="2">
        <f t="shared" si="9"/>
        <v>6704</v>
      </c>
      <c r="E115" s="2">
        <f t="shared" si="10"/>
        <v>134.08000000000001</v>
      </c>
      <c r="F115" s="2">
        <f t="shared" si="11"/>
        <v>100.56</v>
      </c>
      <c r="G115" s="2">
        <f t="shared" si="12"/>
        <v>0</v>
      </c>
      <c r="H115" s="2">
        <f t="shared" si="13"/>
        <v>234.64000000000001</v>
      </c>
      <c r="I115" s="2">
        <f t="shared" si="14"/>
        <v>24368.619999999966</v>
      </c>
    </row>
    <row r="116" spans="1:9" x14ac:dyDescent="0.25">
      <c r="A116" s="1">
        <v>47270</v>
      </c>
      <c r="B116" s="2">
        <f t="shared" si="15"/>
        <v>6704</v>
      </c>
      <c r="C116" s="2">
        <f t="shared" si="8"/>
        <v>0</v>
      </c>
      <c r="D116" s="2">
        <f t="shared" si="9"/>
        <v>6704</v>
      </c>
      <c r="E116" s="2">
        <f t="shared" si="10"/>
        <v>134.08000000000001</v>
      </c>
      <c r="F116" s="2">
        <f t="shared" si="11"/>
        <v>100.56</v>
      </c>
      <c r="G116" s="2">
        <f t="shared" si="12"/>
        <v>0</v>
      </c>
      <c r="H116" s="2">
        <f t="shared" si="13"/>
        <v>234.64000000000001</v>
      </c>
      <c r="I116" s="2">
        <f t="shared" si="14"/>
        <v>24603.259999999969</v>
      </c>
    </row>
    <row r="117" spans="1:9" x14ac:dyDescent="0.25">
      <c r="A117" s="1">
        <v>47300</v>
      </c>
      <c r="B117" s="2">
        <f t="shared" si="15"/>
        <v>6704</v>
      </c>
      <c r="C117" s="2">
        <f t="shared" si="8"/>
        <v>500</v>
      </c>
      <c r="D117" s="2">
        <f t="shared" si="9"/>
        <v>7204</v>
      </c>
      <c r="E117" s="2">
        <f t="shared" si="10"/>
        <v>144.08000000000001</v>
      </c>
      <c r="F117" s="2">
        <f t="shared" si="11"/>
        <v>108.06</v>
      </c>
      <c r="G117" s="2">
        <f t="shared" si="12"/>
        <v>0</v>
      </c>
      <c r="H117" s="2">
        <f t="shared" si="13"/>
        <v>252.14000000000001</v>
      </c>
      <c r="I117" s="2">
        <f t="shared" si="14"/>
        <v>24855.399999999972</v>
      </c>
    </row>
    <row r="118" spans="1:9" x14ac:dyDescent="0.25">
      <c r="A118" s="1">
        <v>47331</v>
      </c>
      <c r="B118" s="2">
        <f t="shared" si="15"/>
        <v>6704</v>
      </c>
      <c r="C118" s="2">
        <f t="shared" si="8"/>
        <v>0</v>
      </c>
      <c r="D118" s="2">
        <f t="shared" si="9"/>
        <v>6704</v>
      </c>
      <c r="E118" s="2">
        <f t="shared" si="10"/>
        <v>134.08000000000001</v>
      </c>
      <c r="F118" s="2">
        <f t="shared" si="11"/>
        <v>100.56</v>
      </c>
      <c r="G118" s="2">
        <f t="shared" si="12"/>
        <v>0</v>
      </c>
      <c r="H118" s="2">
        <f t="shared" si="13"/>
        <v>234.64000000000001</v>
      </c>
      <c r="I118" s="2">
        <f t="shared" si="14"/>
        <v>25090.039999999975</v>
      </c>
    </row>
    <row r="119" spans="1:9" x14ac:dyDescent="0.25">
      <c r="A119" s="1">
        <v>47362</v>
      </c>
      <c r="B119" s="2">
        <f t="shared" si="15"/>
        <v>6704</v>
      </c>
      <c r="C119" s="2">
        <f t="shared" si="8"/>
        <v>0</v>
      </c>
      <c r="D119" s="2">
        <f t="shared" si="9"/>
        <v>6704</v>
      </c>
      <c r="E119" s="2">
        <f t="shared" si="10"/>
        <v>134.08000000000001</v>
      </c>
      <c r="F119" s="2">
        <f t="shared" si="11"/>
        <v>100.56</v>
      </c>
      <c r="G119" s="2">
        <f t="shared" si="12"/>
        <v>0</v>
      </c>
      <c r="H119" s="2">
        <f t="shared" si="13"/>
        <v>234.64000000000001</v>
      </c>
      <c r="I119" s="2">
        <f t="shared" si="14"/>
        <v>25324.679999999978</v>
      </c>
    </row>
    <row r="120" spans="1:9" x14ac:dyDescent="0.25">
      <c r="A120" s="1">
        <v>47392</v>
      </c>
      <c r="B120" s="2">
        <f t="shared" si="15"/>
        <v>6704</v>
      </c>
      <c r="C120" s="2">
        <f t="shared" si="8"/>
        <v>500</v>
      </c>
      <c r="D120" s="2">
        <f t="shared" si="9"/>
        <v>7204</v>
      </c>
      <c r="E120" s="2">
        <f t="shared" si="10"/>
        <v>144.08000000000001</v>
      </c>
      <c r="F120" s="2">
        <f t="shared" si="11"/>
        <v>108.06</v>
      </c>
      <c r="G120" s="2">
        <f t="shared" si="12"/>
        <v>0</v>
      </c>
      <c r="H120" s="2">
        <f t="shared" si="13"/>
        <v>252.14000000000001</v>
      </c>
      <c r="I120" s="2">
        <f t="shared" si="14"/>
        <v>25576.819999999982</v>
      </c>
    </row>
    <row r="121" spans="1:9" x14ac:dyDescent="0.25">
      <c r="A121" s="1">
        <v>47423</v>
      </c>
      <c r="B121" s="2">
        <f t="shared" si="15"/>
        <v>6704</v>
      </c>
      <c r="C121" s="2">
        <f t="shared" si="8"/>
        <v>0</v>
      </c>
      <c r="D121" s="2">
        <f t="shared" si="9"/>
        <v>6704</v>
      </c>
      <c r="E121" s="2">
        <f t="shared" si="10"/>
        <v>134.08000000000001</v>
      </c>
      <c r="F121" s="2">
        <f t="shared" si="11"/>
        <v>100.56</v>
      </c>
      <c r="G121" s="2">
        <f t="shared" si="12"/>
        <v>0</v>
      </c>
      <c r="H121" s="2">
        <f t="shared" si="13"/>
        <v>234.64000000000001</v>
      </c>
      <c r="I121" s="2">
        <f t="shared" si="14"/>
        <v>25811.459999999985</v>
      </c>
    </row>
    <row r="122" spans="1:9" x14ac:dyDescent="0.25">
      <c r="A122" s="1">
        <v>47453</v>
      </c>
      <c r="B122" s="2">
        <f t="shared" si="15"/>
        <v>6704</v>
      </c>
      <c r="C122" s="2">
        <f t="shared" si="8"/>
        <v>0</v>
      </c>
      <c r="D122" s="2">
        <f t="shared" si="9"/>
        <v>6704</v>
      </c>
      <c r="E122" s="2">
        <f t="shared" si="10"/>
        <v>134.08000000000001</v>
      </c>
      <c r="F122" s="2">
        <f t="shared" si="11"/>
        <v>100.56</v>
      </c>
      <c r="G122" s="2">
        <f t="shared" si="12"/>
        <v>240</v>
      </c>
      <c r="H122" s="2">
        <f t="shared" si="13"/>
        <v>234.64000000000001</v>
      </c>
      <c r="I122" s="2">
        <f t="shared" si="14"/>
        <v>26286.099999999988</v>
      </c>
    </row>
    <row r="123" spans="1:9" x14ac:dyDescent="0.25">
      <c r="A123" s="1">
        <v>47484</v>
      </c>
      <c r="B123" s="2">
        <f t="shared" si="15"/>
        <v>6872</v>
      </c>
      <c r="C123" s="2">
        <f t="shared" si="8"/>
        <v>500</v>
      </c>
      <c r="D123" s="2">
        <f t="shared" si="9"/>
        <v>7372</v>
      </c>
      <c r="E123" s="2">
        <f t="shared" si="10"/>
        <v>147.44</v>
      </c>
      <c r="F123" s="2">
        <f t="shared" si="11"/>
        <v>110.58</v>
      </c>
      <c r="G123" s="2">
        <f t="shared" si="12"/>
        <v>0</v>
      </c>
      <c r="H123" s="2">
        <f t="shared" si="13"/>
        <v>258.02</v>
      </c>
      <c r="I123" s="2">
        <f t="shared" si="14"/>
        <v>26544.119999999988</v>
      </c>
    </row>
    <row r="124" spans="1:9" x14ac:dyDescent="0.25">
      <c r="A124" s="1">
        <v>47515</v>
      </c>
      <c r="B124" s="2">
        <f t="shared" si="15"/>
        <v>6872</v>
      </c>
      <c r="C124" s="2">
        <f t="shared" si="8"/>
        <v>0</v>
      </c>
      <c r="D124" s="2">
        <f t="shared" si="9"/>
        <v>6872</v>
      </c>
      <c r="E124" s="2">
        <f t="shared" si="10"/>
        <v>137.44</v>
      </c>
      <c r="F124" s="2">
        <f t="shared" si="11"/>
        <v>103.08</v>
      </c>
      <c r="G124" s="2">
        <f t="shared" si="12"/>
        <v>0</v>
      </c>
      <c r="H124" s="2">
        <f t="shared" si="13"/>
        <v>240.51999999999998</v>
      </c>
      <c r="I124" s="2">
        <f t="shared" si="14"/>
        <v>26784.639999999989</v>
      </c>
    </row>
    <row r="125" spans="1:9" x14ac:dyDescent="0.25">
      <c r="A125" s="1">
        <v>47543</v>
      </c>
      <c r="B125" s="2">
        <f t="shared" si="15"/>
        <v>6872</v>
      </c>
      <c r="C125" s="2">
        <f t="shared" si="8"/>
        <v>0</v>
      </c>
      <c r="D125" s="2">
        <f t="shared" si="9"/>
        <v>6872</v>
      </c>
      <c r="E125" s="2">
        <f t="shared" si="10"/>
        <v>137.44</v>
      </c>
      <c r="F125" s="2">
        <f t="shared" si="11"/>
        <v>103.08</v>
      </c>
      <c r="G125" s="2">
        <f t="shared" si="12"/>
        <v>0</v>
      </c>
      <c r="H125" s="2">
        <f t="shared" si="13"/>
        <v>240.51999999999998</v>
      </c>
      <c r="I125" s="2">
        <f t="shared" si="14"/>
        <v>27025.159999999989</v>
      </c>
    </row>
    <row r="126" spans="1:9" x14ac:dyDescent="0.25">
      <c r="A126" s="1">
        <v>47574</v>
      </c>
      <c r="B126" s="2">
        <f t="shared" si="15"/>
        <v>6872</v>
      </c>
      <c r="C126" s="2">
        <f t="shared" si="8"/>
        <v>500</v>
      </c>
      <c r="D126" s="2">
        <f t="shared" si="9"/>
        <v>7372</v>
      </c>
      <c r="E126" s="2">
        <f t="shared" si="10"/>
        <v>147.44</v>
      </c>
      <c r="F126" s="2">
        <f t="shared" si="11"/>
        <v>110.58</v>
      </c>
      <c r="G126" s="2">
        <f t="shared" si="12"/>
        <v>0</v>
      </c>
      <c r="H126" s="2">
        <f t="shared" si="13"/>
        <v>258.02</v>
      </c>
      <c r="I126" s="2">
        <f t="shared" si="14"/>
        <v>27283.179999999989</v>
      </c>
    </row>
    <row r="127" spans="1:9" x14ac:dyDescent="0.25">
      <c r="A127" s="1">
        <v>47604</v>
      </c>
      <c r="B127" s="2">
        <f t="shared" si="15"/>
        <v>6872</v>
      </c>
      <c r="C127" s="2">
        <f t="shared" si="8"/>
        <v>0</v>
      </c>
      <c r="D127" s="2">
        <f t="shared" si="9"/>
        <v>6872</v>
      </c>
      <c r="E127" s="2">
        <f t="shared" si="10"/>
        <v>137.44</v>
      </c>
      <c r="F127" s="2">
        <f t="shared" si="11"/>
        <v>103.08</v>
      </c>
      <c r="G127" s="2">
        <f t="shared" si="12"/>
        <v>0</v>
      </c>
      <c r="H127" s="2">
        <f t="shared" si="13"/>
        <v>240.51999999999998</v>
      </c>
      <c r="I127" s="2">
        <f t="shared" si="14"/>
        <v>27523.69999999999</v>
      </c>
    </row>
    <row r="128" spans="1:9" x14ac:dyDescent="0.25">
      <c r="A128" s="1">
        <v>47635</v>
      </c>
      <c r="B128" s="2">
        <f t="shared" si="15"/>
        <v>6872</v>
      </c>
      <c r="C128" s="2">
        <f t="shared" si="8"/>
        <v>0</v>
      </c>
      <c r="D128" s="2">
        <f t="shared" si="9"/>
        <v>6872</v>
      </c>
      <c r="E128" s="2">
        <f t="shared" si="10"/>
        <v>137.44</v>
      </c>
      <c r="F128" s="2">
        <f t="shared" si="11"/>
        <v>103.08</v>
      </c>
      <c r="G128" s="2">
        <f t="shared" si="12"/>
        <v>0</v>
      </c>
      <c r="H128" s="2">
        <f t="shared" si="13"/>
        <v>240.51999999999998</v>
      </c>
      <c r="I128" s="2">
        <f t="shared" si="14"/>
        <v>27764.21999999999</v>
      </c>
    </row>
    <row r="129" spans="1:9" x14ac:dyDescent="0.25">
      <c r="A129" s="1">
        <v>47665</v>
      </c>
      <c r="B129" s="2">
        <f t="shared" si="15"/>
        <v>6872</v>
      </c>
      <c r="C129" s="2">
        <f t="shared" si="8"/>
        <v>500</v>
      </c>
      <c r="D129" s="2">
        <f t="shared" si="9"/>
        <v>7372</v>
      </c>
      <c r="E129" s="2">
        <f t="shared" si="10"/>
        <v>147.44</v>
      </c>
      <c r="F129" s="2">
        <f t="shared" si="11"/>
        <v>110.58</v>
      </c>
      <c r="G129" s="2">
        <f t="shared" si="12"/>
        <v>0</v>
      </c>
      <c r="H129" s="2">
        <f t="shared" si="13"/>
        <v>258.02</v>
      </c>
      <c r="I129" s="2">
        <f t="shared" si="14"/>
        <v>28022.239999999991</v>
      </c>
    </row>
    <row r="130" spans="1:9" x14ac:dyDescent="0.25">
      <c r="A130" s="1">
        <v>47696</v>
      </c>
      <c r="B130" s="2">
        <f t="shared" si="15"/>
        <v>6872</v>
      </c>
      <c r="C130" s="2">
        <f t="shared" si="8"/>
        <v>0</v>
      </c>
      <c r="D130" s="2">
        <f t="shared" si="9"/>
        <v>6872</v>
      </c>
      <c r="E130" s="2">
        <f t="shared" si="10"/>
        <v>137.44</v>
      </c>
      <c r="F130" s="2">
        <f t="shared" si="11"/>
        <v>103.08</v>
      </c>
      <c r="G130" s="2">
        <f t="shared" si="12"/>
        <v>0</v>
      </c>
      <c r="H130" s="2">
        <f t="shared" si="13"/>
        <v>240.51999999999998</v>
      </c>
      <c r="I130" s="2">
        <f t="shared" si="14"/>
        <v>28262.759999999991</v>
      </c>
    </row>
    <row r="131" spans="1:9" x14ac:dyDescent="0.25">
      <c r="A131" s="1">
        <v>47727</v>
      </c>
      <c r="B131" s="2">
        <f t="shared" si="15"/>
        <v>6872</v>
      </c>
      <c r="C131" s="2">
        <f t="shared" si="8"/>
        <v>0</v>
      </c>
      <c r="D131" s="2">
        <f t="shared" si="9"/>
        <v>6872</v>
      </c>
      <c r="E131" s="2">
        <f t="shared" si="10"/>
        <v>137.44</v>
      </c>
      <c r="F131" s="2">
        <f t="shared" si="11"/>
        <v>103.08</v>
      </c>
      <c r="G131" s="2">
        <f t="shared" si="12"/>
        <v>0</v>
      </c>
      <c r="H131" s="2">
        <f t="shared" si="13"/>
        <v>240.51999999999998</v>
      </c>
      <c r="I131" s="2">
        <f t="shared" si="14"/>
        <v>28503.279999999992</v>
      </c>
    </row>
    <row r="132" spans="1:9" x14ac:dyDescent="0.25">
      <c r="A132" s="1">
        <v>47757</v>
      </c>
      <c r="B132" s="2">
        <f t="shared" si="15"/>
        <v>6872</v>
      </c>
      <c r="C132" s="2">
        <f t="shared" ref="C132:C195" si="16">IF(AND(OR(MONTH(A132)=1,MONTH(A132)=4,MONTH(A132)=7,MONTH(A132)=10),DATE(2020,1,1)&lt;&gt;A132),500,0)</f>
        <v>500</v>
      </c>
      <c r="D132" s="2">
        <f t="shared" ref="D132:D195" si="17">B132+C132</f>
        <v>7372</v>
      </c>
      <c r="E132" s="2">
        <f t="shared" ref="E132:E195" si="18">IF(B132&gt;8000,ROUND(D132*(0.02+0.02),2),ROUND(D132*(0.02),2))</f>
        <v>147.44</v>
      </c>
      <c r="F132" s="2">
        <f t="shared" ref="F132:F195" si="19">IF(B132&gt;8000,ROUND(D132*0.04,2),ROUND(D132*0.015,2))</f>
        <v>110.58</v>
      </c>
      <c r="G132" s="2">
        <f t="shared" ref="G132:G195" si="20">IF(MONTH(A132)=12,240,0)</f>
        <v>0</v>
      </c>
      <c r="H132" s="2">
        <f t="shared" ref="H132:H195" si="21">E132+F132</f>
        <v>258.02</v>
      </c>
      <c r="I132" s="2">
        <f t="shared" ref="I132:I195" si="22">I131+E132+F132+G132</f>
        <v>28761.299999999992</v>
      </c>
    </row>
    <row r="133" spans="1:9" x14ac:dyDescent="0.25">
      <c r="A133" s="1">
        <v>47788</v>
      </c>
      <c r="B133" s="2">
        <f t="shared" ref="B133:B196" si="23">IF(YEAR($A133) &gt; YEAR($A132),IF(AND(MOD(YEAR(A133),4)=0,YEAR(A133)&lt;&gt;2020),ROUNDUP($B132*1.025,0)+500,ROUNDUP($B132*1.025,0)),$B132)</f>
        <v>6872</v>
      </c>
      <c r="C133" s="2">
        <f t="shared" si="16"/>
        <v>0</v>
      </c>
      <c r="D133" s="2">
        <f t="shared" si="17"/>
        <v>6872</v>
      </c>
      <c r="E133" s="2">
        <f t="shared" si="18"/>
        <v>137.44</v>
      </c>
      <c r="F133" s="2">
        <f t="shared" si="19"/>
        <v>103.08</v>
      </c>
      <c r="G133" s="2">
        <f t="shared" si="20"/>
        <v>0</v>
      </c>
      <c r="H133" s="2">
        <f t="shared" si="21"/>
        <v>240.51999999999998</v>
      </c>
      <c r="I133" s="2">
        <f t="shared" si="22"/>
        <v>29001.819999999992</v>
      </c>
    </row>
    <row r="134" spans="1:9" x14ac:dyDescent="0.25">
      <c r="A134" s="1">
        <v>47818</v>
      </c>
      <c r="B134" s="2">
        <f t="shared" si="23"/>
        <v>6872</v>
      </c>
      <c r="C134" s="2">
        <f t="shared" si="16"/>
        <v>0</v>
      </c>
      <c r="D134" s="2">
        <f t="shared" si="17"/>
        <v>6872</v>
      </c>
      <c r="E134" s="2">
        <f t="shared" si="18"/>
        <v>137.44</v>
      </c>
      <c r="F134" s="2">
        <f t="shared" si="19"/>
        <v>103.08</v>
      </c>
      <c r="G134" s="2">
        <f t="shared" si="20"/>
        <v>240</v>
      </c>
      <c r="H134" s="2">
        <f t="shared" si="21"/>
        <v>240.51999999999998</v>
      </c>
      <c r="I134" s="2">
        <f t="shared" si="22"/>
        <v>29482.339999999993</v>
      </c>
    </row>
    <row r="135" spans="1:9" x14ac:dyDescent="0.25">
      <c r="A135" s="1">
        <v>47849</v>
      </c>
      <c r="B135" s="2">
        <f t="shared" si="23"/>
        <v>7044</v>
      </c>
      <c r="C135" s="2">
        <f t="shared" si="16"/>
        <v>500</v>
      </c>
      <c r="D135" s="2">
        <f t="shared" si="17"/>
        <v>7544</v>
      </c>
      <c r="E135" s="2">
        <f t="shared" si="18"/>
        <v>150.88</v>
      </c>
      <c r="F135" s="2">
        <f t="shared" si="19"/>
        <v>113.16</v>
      </c>
      <c r="G135" s="2">
        <f t="shared" si="20"/>
        <v>0</v>
      </c>
      <c r="H135" s="2">
        <f t="shared" si="21"/>
        <v>264.03999999999996</v>
      </c>
      <c r="I135" s="2">
        <f t="shared" si="22"/>
        <v>29746.379999999994</v>
      </c>
    </row>
    <row r="136" spans="1:9" x14ac:dyDescent="0.25">
      <c r="A136" s="1">
        <v>47880</v>
      </c>
      <c r="B136" s="2">
        <f t="shared" si="23"/>
        <v>7044</v>
      </c>
      <c r="C136" s="2">
        <f t="shared" si="16"/>
        <v>0</v>
      </c>
      <c r="D136" s="2">
        <f t="shared" si="17"/>
        <v>7044</v>
      </c>
      <c r="E136" s="2">
        <f t="shared" si="18"/>
        <v>140.88</v>
      </c>
      <c r="F136" s="2">
        <f t="shared" si="19"/>
        <v>105.66</v>
      </c>
      <c r="G136" s="2">
        <f t="shared" si="20"/>
        <v>0</v>
      </c>
      <c r="H136" s="2">
        <f t="shared" si="21"/>
        <v>246.54</v>
      </c>
      <c r="I136" s="2">
        <f t="shared" si="22"/>
        <v>29992.919999999995</v>
      </c>
    </row>
    <row r="137" spans="1:9" x14ac:dyDescent="0.25">
      <c r="A137" s="1">
        <v>47908</v>
      </c>
      <c r="B137" s="2">
        <f t="shared" si="23"/>
        <v>7044</v>
      </c>
      <c r="C137" s="2">
        <f t="shared" si="16"/>
        <v>0</v>
      </c>
      <c r="D137" s="2">
        <f t="shared" si="17"/>
        <v>7044</v>
      </c>
      <c r="E137" s="2">
        <f t="shared" si="18"/>
        <v>140.88</v>
      </c>
      <c r="F137" s="2">
        <f t="shared" si="19"/>
        <v>105.66</v>
      </c>
      <c r="G137" s="2">
        <f t="shared" si="20"/>
        <v>0</v>
      </c>
      <c r="H137" s="2">
        <f t="shared" si="21"/>
        <v>246.54</v>
      </c>
      <c r="I137" s="2">
        <f t="shared" si="22"/>
        <v>30239.459999999995</v>
      </c>
    </row>
    <row r="138" spans="1:9" x14ac:dyDescent="0.25">
      <c r="A138" s="1">
        <v>47939</v>
      </c>
      <c r="B138" s="2">
        <f t="shared" si="23"/>
        <v>7044</v>
      </c>
      <c r="C138" s="2">
        <f t="shared" si="16"/>
        <v>500</v>
      </c>
      <c r="D138" s="2">
        <f t="shared" si="17"/>
        <v>7544</v>
      </c>
      <c r="E138" s="2">
        <f t="shared" si="18"/>
        <v>150.88</v>
      </c>
      <c r="F138" s="2">
        <f t="shared" si="19"/>
        <v>113.16</v>
      </c>
      <c r="G138" s="2">
        <f t="shared" si="20"/>
        <v>0</v>
      </c>
      <c r="H138" s="2">
        <f t="shared" si="21"/>
        <v>264.03999999999996</v>
      </c>
      <c r="I138" s="2">
        <f t="shared" si="22"/>
        <v>30503.499999999996</v>
      </c>
    </row>
    <row r="139" spans="1:9" x14ac:dyDescent="0.25">
      <c r="A139" s="1">
        <v>47969</v>
      </c>
      <c r="B139" s="2">
        <f t="shared" si="23"/>
        <v>7044</v>
      </c>
      <c r="C139" s="2">
        <f t="shared" si="16"/>
        <v>0</v>
      </c>
      <c r="D139" s="2">
        <f t="shared" si="17"/>
        <v>7044</v>
      </c>
      <c r="E139" s="2">
        <f t="shared" si="18"/>
        <v>140.88</v>
      </c>
      <c r="F139" s="2">
        <f t="shared" si="19"/>
        <v>105.66</v>
      </c>
      <c r="G139" s="2">
        <f t="shared" si="20"/>
        <v>0</v>
      </c>
      <c r="H139" s="2">
        <f t="shared" si="21"/>
        <v>246.54</v>
      </c>
      <c r="I139" s="2">
        <f t="shared" si="22"/>
        <v>30750.039999999997</v>
      </c>
    </row>
    <row r="140" spans="1:9" x14ac:dyDescent="0.25">
      <c r="A140" s="1">
        <v>48000</v>
      </c>
      <c r="B140" s="2">
        <f t="shared" si="23"/>
        <v>7044</v>
      </c>
      <c r="C140" s="2">
        <f t="shared" si="16"/>
        <v>0</v>
      </c>
      <c r="D140" s="2">
        <f t="shared" si="17"/>
        <v>7044</v>
      </c>
      <c r="E140" s="2">
        <f t="shared" si="18"/>
        <v>140.88</v>
      </c>
      <c r="F140" s="2">
        <f t="shared" si="19"/>
        <v>105.66</v>
      </c>
      <c r="G140" s="2">
        <f t="shared" si="20"/>
        <v>0</v>
      </c>
      <c r="H140" s="2">
        <f t="shared" si="21"/>
        <v>246.54</v>
      </c>
      <c r="I140" s="2">
        <f t="shared" si="22"/>
        <v>30996.579999999998</v>
      </c>
    </row>
    <row r="141" spans="1:9" x14ac:dyDescent="0.25">
      <c r="A141" s="1">
        <v>48030</v>
      </c>
      <c r="B141" s="2">
        <f t="shared" si="23"/>
        <v>7044</v>
      </c>
      <c r="C141" s="2">
        <f t="shared" si="16"/>
        <v>500</v>
      </c>
      <c r="D141" s="2">
        <f t="shared" si="17"/>
        <v>7544</v>
      </c>
      <c r="E141" s="2">
        <f t="shared" si="18"/>
        <v>150.88</v>
      </c>
      <c r="F141" s="2">
        <f t="shared" si="19"/>
        <v>113.16</v>
      </c>
      <c r="G141" s="2">
        <f t="shared" si="20"/>
        <v>0</v>
      </c>
      <c r="H141" s="2">
        <f t="shared" si="21"/>
        <v>264.03999999999996</v>
      </c>
      <c r="I141" s="2">
        <f t="shared" si="22"/>
        <v>31260.62</v>
      </c>
    </row>
    <row r="142" spans="1:9" x14ac:dyDescent="0.25">
      <c r="A142" s="1">
        <v>48061</v>
      </c>
      <c r="B142" s="2">
        <f t="shared" si="23"/>
        <v>7044</v>
      </c>
      <c r="C142" s="2">
        <f t="shared" si="16"/>
        <v>0</v>
      </c>
      <c r="D142" s="2">
        <f t="shared" si="17"/>
        <v>7044</v>
      </c>
      <c r="E142" s="2">
        <f t="shared" si="18"/>
        <v>140.88</v>
      </c>
      <c r="F142" s="2">
        <f t="shared" si="19"/>
        <v>105.66</v>
      </c>
      <c r="G142" s="2">
        <f t="shared" si="20"/>
        <v>0</v>
      </c>
      <c r="H142" s="2">
        <f t="shared" si="21"/>
        <v>246.54</v>
      </c>
      <c r="I142" s="2">
        <f t="shared" si="22"/>
        <v>31507.16</v>
      </c>
    </row>
    <row r="143" spans="1:9" x14ac:dyDescent="0.25">
      <c r="A143" s="1">
        <v>48092</v>
      </c>
      <c r="B143" s="2">
        <f t="shared" si="23"/>
        <v>7044</v>
      </c>
      <c r="C143" s="2">
        <f t="shared" si="16"/>
        <v>0</v>
      </c>
      <c r="D143" s="2">
        <f t="shared" si="17"/>
        <v>7044</v>
      </c>
      <c r="E143" s="2">
        <f t="shared" si="18"/>
        <v>140.88</v>
      </c>
      <c r="F143" s="2">
        <f t="shared" si="19"/>
        <v>105.66</v>
      </c>
      <c r="G143" s="2">
        <f t="shared" si="20"/>
        <v>0</v>
      </c>
      <c r="H143" s="2">
        <f t="shared" si="21"/>
        <v>246.54</v>
      </c>
      <c r="I143" s="2">
        <f t="shared" si="22"/>
        <v>31753.7</v>
      </c>
    </row>
    <row r="144" spans="1:9" x14ac:dyDescent="0.25">
      <c r="A144" s="1">
        <v>48122</v>
      </c>
      <c r="B144" s="2">
        <f t="shared" si="23"/>
        <v>7044</v>
      </c>
      <c r="C144" s="2">
        <f t="shared" si="16"/>
        <v>500</v>
      </c>
      <c r="D144" s="2">
        <f t="shared" si="17"/>
        <v>7544</v>
      </c>
      <c r="E144" s="2">
        <f t="shared" si="18"/>
        <v>150.88</v>
      </c>
      <c r="F144" s="2">
        <f t="shared" si="19"/>
        <v>113.16</v>
      </c>
      <c r="G144" s="2">
        <f t="shared" si="20"/>
        <v>0</v>
      </c>
      <c r="H144" s="2">
        <f t="shared" si="21"/>
        <v>264.03999999999996</v>
      </c>
      <c r="I144" s="2">
        <f t="shared" si="22"/>
        <v>32017.74</v>
      </c>
    </row>
    <row r="145" spans="1:9" x14ac:dyDescent="0.25">
      <c r="A145" s="1">
        <v>48153</v>
      </c>
      <c r="B145" s="2">
        <f t="shared" si="23"/>
        <v>7044</v>
      </c>
      <c r="C145" s="2">
        <f t="shared" si="16"/>
        <v>0</v>
      </c>
      <c r="D145" s="2">
        <f t="shared" si="17"/>
        <v>7044</v>
      </c>
      <c r="E145" s="2">
        <f t="shared" si="18"/>
        <v>140.88</v>
      </c>
      <c r="F145" s="2">
        <f t="shared" si="19"/>
        <v>105.66</v>
      </c>
      <c r="G145" s="2">
        <f t="shared" si="20"/>
        <v>0</v>
      </c>
      <c r="H145" s="2">
        <f t="shared" si="21"/>
        <v>246.54</v>
      </c>
      <c r="I145" s="2">
        <f t="shared" si="22"/>
        <v>32264.280000000002</v>
      </c>
    </row>
    <row r="146" spans="1:9" x14ac:dyDescent="0.25">
      <c r="A146" s="1">
        <v>48183</v>
      </c>
      <c r="B146" s="2">
        <f t="shared" si="23"/>
        <v>7044</v>
      </c>
      <c r="C146" s="2">
        <f t="shared" si="16"/>
        <v>0</v>
      </c>
      <c r="D146" s="2">
        <f t="shared" si="17"/>
        <v>7044</v>
      </c>
      <c r="E146" s="2">
        <f t="shared" si="18"/>
        <v>140.88</v>
      </c>
      <c r="F146" s="2">
        <f t="shared" si="19"/>
        <v>105.66</v>
      </c>
      <c r="G146" s="2">
        <f t="shared" si="20"/>
        <v>240</v>
      </c>
      <c r="H146" s="2">
        <f t="shared" si="21"/>
        <v>246.54</v>
      </c>
      <c r="I146" s="2">
        <f t="shared" si="22"/>
        <v>32750.820000000003</v>
      </c>
    </row>
    <row r="147" spans="1:9" x14ac:dyDescent="0.25">
      <c r="A147" s="1">
        <v>48214</v>
      </c>
      <c r="B147" s="2">
        <f t="shared" si="23"/>
        <v>7721</v>
      </c>
      <c r="C147" s="2">
        <f t="shared" si="16"/>
        <v>500</v>
      </c>
      <c r="D147" s="2">
        <f t="shared" si="17"/>
        <v>8221</v>
      </c>
      <c r="E147" s="2">
        <f t="shared" si="18"/>
        <v>164.42</v>
      </c>
      <c r="F147" s="2">
        <f t="shared" si="19"/>
        <v>123.32</v>
      </c>
      <c r="G147" s="2">
        <f t="shared" si="20"/>
        <v>0</v>
      </c>
      <c r="H147" s="2">
        <f t="shared" si="21"/>
        <v>287.74</v>
      </c>
      <c r="I147" s="2">
        <f t="shared" si="22"/>
        <v>33038.560000000005</v>
      </c>
    </row>
    <row r="148" spans="1:9" x14ac:dyDescent="0.25">
      <c r="A148" s="1">
        <v>48245</v>
      </c>
      <c r="B148" s="2">
        <f t="shared" si="23"/>
        <v>7721</v>
      </c>
      <c r="C148" s="2">
        <f t="shared" si="16"/>
        <v>0</v>
      </c>
      <c r="D148" s="2">
        <f t="shared" si="17"/>
        <v>7721</v>
      </c>
      <c r="E148" s="2">
        <f t="shared" si="18"/>
        <v>154.41999999999999</v>
      </c>
      <c r="F148" s="2">
        <f t="shared" si="19"/>
        <v>115.82</v>
      </c>
      <c r="G148" s="2">
        <f t="shared" si="20"/>
        <v>0</v>
      </c>
      <c r="H148" s="2">
        <f t="shared" si="21"/>
        <v>270.24</v>
      </c>
      <c r="I148" s="2">
        <f t="shared" si="22"/>
        <v>33308.800000000003</v>
      </c>
    </row>
    <row r="149" spans="1:9" x14ac:dyDescent="0.25">
      <c r="A149" s="1">
        <v>48274</v>
      </c>
      <c r="B149" s="2">
        <f t="shared" si="23"/>
        <v>7721</v>
      </c>
      <c r="C149" s="2">
        <f t="shared" si="16"/>
        <v>0</v>
      </c>
      <c r="D149" s="2">
        <f t="shared" si="17"/>
        <v>7721</v>
      </c>
      <c r="E149" s="2">
        <f t="shared" si="18"/>
        <v>154.41999999999999</v>
      </c>
      <c r="F149" s="2">
        <f t="shared" si="19"/>
        <v>115.82</v>
      </c>
      <c r="G149" s="2">
        <f t="shared" si="20"/>
        <v>0</v>
      </c>
      <c r="H149" s="2">
        <f t="shared" si="21"/>
        <v>270.24</v>
      </c>
      <c r="I149" s="2">
        <f t="shared" si="22"/>
        <v>33579.040000000001</v>
      </c>
    </row>
    <row r="150" spans="1:9" x14ac:dyDescent="0.25">
      <c r="A150" s="1">
        <v>48305</v>
      </c>
      <c r="B150" s="2">
        <f t="shared" si="23"/>
        <v>7721</v>
      </c>
      <c r="C150" s="2">
        <f t="shared" si="16"/>
        <v>500</v>
      </c>
      <c r="D150" s="2">
        <f t="shared" si="17"/>
        <v>8221</v>
      </c>
      <c r="E150" s="2">
        <f t="shared" si="18"/>
        <v>164.42</v>
      </c>
      <c r="F150" s="2">
        <f t="shared" si="19"/>
        <v>123.32</v>
      </c>
      <c r="G150" s="2">
        <f t="shared" si="20"/>
        <v>0</v>
      </c>
      <c r="H150" s="2">
        <f t="shared" si="21"/>
        <v>287.74</v>
      </c>
      <c r="I150" s="2">
        <f t="shared" si="22"/>
        <v>33866.78</v>
      </c>
    </row>
    <row r="151" spans="1:9" x14ac:dyDescent="0.25">
      <c r="A151" s="1">
        <v>48335</v>
      </c>
      <c r="B151" s="2">
        <f t="shared" si="23"/>
        <v>7721</v>
      </c>
      <c r="C151" s="2">
        <f t="shared" si="16"/>
        <v>0</v>
      </c>
      <c r="D151" s="2">
        <f t="shared" si="17"/>
        <v>7721</v>
      </c>
      <c r="E151" s="2">
        <f t="shared" si="18"/>
        <v>154.41999999999999</v>
      </c>
      <c r="F151" s="2">
        <f t="shared" si="19"/>
        <v>115.82</v>
      </c>
      <c r="G151" s="2">
        <f t="shared" si="20"/>
        <v>0</v>
      </c>
      <c r="H151" s="2">
        <f t="shared" si="21"/>
        <v>270.24</v>
      </c>
      <c r="I151" s="2">
        <f t="shared" si="22"/>
        <v>34137.019999999997</v>
      </c>
    </row>
    <row r="152" spans="1:9" x14ac:dyDescent="0.25">
      <c r="A152" s="1">
        <v>48366</v>
      </c>
      <c r="B152" s="2">
        <f t="shared" si="23"/>
        <v>7721</v>
      </c>
      <c r="C152" s="2">
        <f t="shared" si="16"/>
        <v>0</v>
      </c>
      <c r="D152" s="2">
        <f t="shared" si="17"/>
        <v>7721</v>
      </c>
      <c r="E152" s="2">
        <f t="shared" si="18"/>
        <v>154.41999999999999</v>
      </c>
      <c r="F152" s="2">
        <f t="shared" si="19"/>
        <v>115.82</v>
      </c>
      <c r="G152" s="2">
        <f t="shared" si="20"/>
        <v>0</v>
      </c>
      <c r="H152" s="2">
        <f t="shared" si="21"/>
        <v>270.24</v>
      </c>
      <c r="I152" s="2">
        <f t="shared" si="22"/>
        <v>34407.259999999995</v>
      </c>
    </row>
    <row r="153" spans="1:9" x14ac:dyDescent="0.25">
      <c r="A153" s="1">
        <v>48396</v>
      </c>
      <c r="B153" s="2">
        <f t="shared" si="23"/>
        <v>7721</v>
      </c>
      <c r="C153" s="2">
        <f t="shared" si="16"/>
        <v>500</v>
      </c>
      <c r="D153" s="2">
        <f t="shared" si="17"/>
        <v>8221</v>
      </c>
      <c r="E153" s="2">
        <f t="shared" si="18"/>
        <v>164.42</v>
      </c>
      <c r="F153" s="2">
        <f t="shared" si="19"/>
        <v>123.32</v>
      </c>
      <c r="G153" s="2">
        <f t="shared" si="20"/>
        <v>0</v>
      </c>
      <c r="H153" s="2">
        <f t="shared" si="21"/>
        <v>287.74</v>
      </c>
      <c r="I153" s="2">
        <f t="shared" si="22"/>
        <v>34694.999999999993</v>
      </c>
    </row>
    <row r="154" spans="1:9" x14ac:dyDescent="0.25">
      <c r="A154" s="1">
        <v>48427</v>
      </c>
      <c r="B154" s="2">
        <f t="shared" si="23"/>
        <v>7721</v>
      </c>
      <c r="C154" s="2">
        <f t="shared" si="16"/>
        <v>0</v>
      </c>
      <c r="D154" s="2">
        <f t="shared" si="17"/>
        <v>7721</v>
      </c>
      <c r="E154" s="2">
        <f t="shared" si="18"/>
        <v>154.41999999999999</v>
      </c>
      <c r="F154" s="2">
        <f t="shared" si="19"/>
        <v>115.82</v>
      </c>
      <c r="G154" s="2">
        <f t="shared" si="20"/>
        <v>0</v>
      </c>
      <c r="H154" s="2">
        <f t="shared" si="21"/>
        <v>270.24</v>
      </c>
      <c r="I154" s="2">
        <f t="shared" si="22"/>
        <v>34965.239999999991</v>
      </c>
    </row>
    <row r="155" spans="1:9" x14ac:dyDescent="0.25">
      <c r="A155" s="1">
        <v>48458</v>
      </c>
      <c r="B155" s="2">
        <f t="shared" si="23"/>
        <v>7721</v>
      </c>
      <c r="C155" s="2">
        <f t="shared" si="16"/>
        <v>0</v>
      </c>
      <c r="D155" s="2">
        <f t="shared" si="17"/>
        <v>7721</v>
      </c>
      <c r="E155" s="2">
        <f t="shared" si="18"/>
        <v>154.41999999999999</v>
      </c>
      <c r="F155" s="2">
        <f t="shared" si="19"/>
        <v>115.82</v>
      </c>
      <c r="G155" s="2">
        <f t="shared" si="20"/>
        <v>0</v>
      </c>
      <c r="H155" s="2">
        <f t="shared" si="21"/>
        <v>270.24</v>
      </c>
      <c r="I155" s="2">
        <f t="shared" si="22"/>
        <v>35235.479999999989</v>
      </c>
    </row>
    <row r="156" spans="1:9" x14ac:dyDescent="0.25">
      <c r="A156" s="1">
        <v>48488</v>
      </c>
      <c r="B156" s="2">
        <f t="shared" si="23"/>
        <v>7721</v>
      </c>
      <c r="C156" s="2">
        <f t="shared" si="16"/>
        <v>500</v>
      </c>
      <c r="D156" s="2">
        <f t="shared" si="17"/>
        <v>8221</v>
      </c>
      <c r="E156" s="2">
        <f t="shared" si="18"/>
        <v>164.42</v>
      </c>
      <c r="F156" s="2">
        <f t="shared" si="19"/>
        <v>123.32</v>
      </c>
      <c r="G156" s="2">
        <f t="shared" si="20"/>
        <v>0</v>
      </c>
      <c r="H156" s="2">
        <f t="shared" si="21"/>
        <v>287.74</v>
      </c>
      <c r="I156" s="2">
        <f t="shared" si="22"/>
        <v>35523.219999999987</v>
      </c>
    </row>
    <row r="157" spans="1:9" x14ac:dyDescent="0.25">
      <c r="A157" s="1">
        <v>48519</v>
      </c>
      <c r="B157" s="2">
        <f t="shared" si="23"/>
        <v>7721</v>
      </c>
      <c r="C157" s="2">
        <f t="shared" si="16"/>
        <v>0</v>
      </c>
      <c r="D157" s="2">
        <f t="shared" si="17"/>
        <v>7721</v>
      </c>
      <c r="E157" s="2">
        <f t="shared" si="18"/>
        <v>154.41999999999999</v>
      </c>
      <c r="F157" s="2">
        <f t="shared" si="19"/>
        <v>115.82</v>
      </c>
      <c r="G157" s="2">
        <f t="shared" si="20"/>
        <v>0</v>
      </c>
      <c r="H157" s="2">
        <f t="shared" si="21"/>
        <v>270.24</v>
      </c>
      <c r="I157" s="2">
        <f t="shared" si="22"/>
        <v>35793.459999999985</v>
      </c>
    </row>
    <row r="158" spans="1:9" x14ac:dyDescent="0.25">
      <c r="A158" s="1">
        <v>48549</v>
      </c>
      <c r="B158" s="2">
        <f t="shared" si="23"/>
        <v>7721</v>
      </c>
      <c r="C158" s="2">
        <f t="shared" si="16"/>
        <v>0</v>
      </c>
      <c r="D158" s="2">
        <f t="shared" si="17"/>
        <v>7721</v>
      </c>
      <c r="E158" s="2">
        <f t="shared" si="18"/>
        <v>154.41999999999999</v>
      </c>
      <c r="F158" s="2">
        <f t="shared" si="19"/>
        <v>115.82</v>
      </c>
      <c r="G158" s="2">
        <f t="shared" si="20"/>
        <v>240</v>
      </c>
      <c r="H158" s="2">
        <f t="shared" si="21"/>
        <v>270.24</v>
      </c>
      <c r="I158" s="2">
        <f t="shared" si="22"/>
        <v>36303.699999999983</v>
      </c>
    </row>
    <row r="159" spans="1:9" x14ac:dyDescent="0.25">
      <c r="A159" s="1">
        <v>48580</v>
      </c>
      <c r="B159" s="2">
        <f t="shared" si="23"/>
        <v>7915</v>
      </c>
      <c r="C159" s="2">
        <f t="shared" si="16"/>
        <v>500</v>
      </c>
      <c r="D159" s="2">
        <f t="shared" si="17"/>
        <v>8415</v>
      </c>
      <c r="E159" s="2">
        <f t="shared" si="18"/>
        <v>168.3</v>
      </c>
      <c r="F159" s="2">
        <f t="shared" si="19"/>
        <v>126.23</v>
      </c>
      <c r="G159" s="2">
        <f t="shared" si="20"/>
        <v>0</v>
      </c>
      <c r="H159" s="2">
        <f t="shared" si="21"/>
        <v>294.53000000000003</v>
      </c>
      <c r="I159" s="2">
        <f t="shared" si="22"/>
        <v>36598.229999999989</v>
      </c>
    </row>
    <row r="160" spans="1:9" x14ac:dyDescent="0.25">
      <c r="A160" s="1">
        <v>48611</v>
      </c>
      <c r="B160" s="2">
        <f t="shared" si="23"/>
        <v>7915</v>
      </c>
      <c r="C160" s="2">
        <f t="shared" si="16"/>
        <v>0</v>
      </c>
      <c r="D160" s="2">
        <f t="shared" si="17"/>
        <v>7915</v>
      </c>
      <c r="E160" s="2">
        <f t="shared" si="18"/>
        <v>158.30000000000001</v>
      </c>
      <c r="F160" s="2">
        <f t="shared" si="19"/>
        <v>118.73</v>
      </c>
      <c r="G160" s="2">
        <f t="shared" si="20"/>
        <v>0</v>
      </c>
      <c r="H160" s="2">
        <f t="shared" si="21"/>
        <v>277.03000000000003</v>
      </c>
      <c r="I160" s="2">
        <f t="shared" si="22"/>
        <v>36875.259999999995</v>
      </c>
    </row>
    <row r="161" spans="1:9" x14ac:dyDescent="0.25">
      <c r="A161" s="1">
        <v>48639</v>
      </c>
      <c r="B161" s="2">
        <f t="shared" si="23"/>
        <v>7915</v>
      </c>
      <c r="C161" s="2">
        <f t="shared" si="16"/>
        <v>0</v>
      </c>
      <c r="D161" s="2">
        <f t="shared" si="17"/>
        <v>7915</v>
      </c>
      <c r="E161" s="2">
        <f t="shared" si="18"/>
        <v>158.30000000000001</v>
      </c>
      <c r="F161" s="2">
        <f t="shared" si="19"/>
        <v>118.73</v>
      </c>
      <c r="G161" s="2">
        <f t="shared" si="20"/>
        <v>0</v>
      </c>
      <c r="H161" s="2">
        <f t="shared" si="21"/>
        <v>277.03000000000003</v>
      </c>
      <c r="I161" s="2">
        <f t="shared" si="22"/>
        <v>37152.29</v>
      </c>
    </row>
    <row r="162" spans="1:9" x14ac:dyDescent="0.25">
      <c r="A162" s="1">
        <v>48670</v>
      </c>
      <c r="B162" s="2">
        <f t="shared" si="23"/>
        <v>7915</v>
      </c>
      <c r="C162" s="2">
        <f t="shared" si="16"/>
        <v>500</v>
      </c>
      <c r="D162" s="2">
        <f t="shared" si="17"/>
        <v>8415</v>
      </c>
      <c r="E162" s="2">
        <f t="shared" si="18"/>
        <v>168.3</v>
      </c>
      <c r="F162" s="2">
        <f t="shared" si="19"/>
        <v>126.23</v>
      </c>
      <c r="G162" s="2">
        <f t="shared" si="20"/>
        <v>0</v>
      </c>
      <c r="H162" s="2">
        <f t="shared" si="21"/>
        <v>294.53000000000003</v>
      </c>
      <c r="I162" s="2">
        <f t="shared" si="22"/>
        <v>37446.820000000007</v>
      </c>
    </row>
    <row r="163" spans="1:9" x14ac:dyDescent="0.25">
      <c r="A163" s="1">
        <v>48700</v>
      </c>
      <c r="B163" s="2">
        <f t="shared" si="23"/>
        <v>7915</v>
      </c>
      <c r="C163" s="2">
        <f t="shared" si="16"/>
        <v>0</v>
      </c>
      <c r="D163" s="2">
        <f t="shared" si="17"/>
        <v>7915</v>
      </c>
      <c r="E163" s="2">
        <f t="shared" si="18"/>
        <v>158.30000000000001</v>
      </c>
      <c r="F163" s="2">
        <f t="shared" si="19"/>
        <v>118.73</v>
      </c>
      <c r="G163" s="2">
        <f t="shared" si="20"/>
        <v>0</v>
      </c>
      <c r="H163" s="2">
        <f t="shared" si="21"/>
        <v>277.03000000000003</v>
      </c>
      <c r="I163" s="2">
        <f t="shared" si="22"/>
        <v>37723.850000000013</v>
      </c>
    </row>
    <row r="164" spans="1:9" x14ac:dyDescent="0.25">
      <c r="A164" s="1">
        <v>48731</v>
      </c>
      <c r="B164" s="2">
        <f t="shared" si="23"/>
        <v>7915</v>
      </c>
      <c r="C164" s="2">
        <f t="shared" si="16"/>
        <v>0</v>
      </c>
      <c r="D164" s="2">
        <f t="shared" si="17"/>
        <v>7915</v>
      </c>
      <c r="E164" s="2">
        <f t="shared" si="18"/>
        <v>158.30000000000001</v>
      </c>
      <c r="F164" s="2">
        <f t="shared" si="19"/>
        <v>118.73</v>
      </c>
      <c r="G164" s="2">
        <f t="shared" si="20"/>
        <v>0</v>
      </c>
      <c r="H164" s="2">
        <f t="shared" si="21"/>
        <v>277.03000000000003</v>
      </c>
      <c r="I164" s="2">
        <f t="shared" si="22"/>
        <v>38000.880000000019</v>
      </c>
    </row>
    <row r="165" spans="1:9" x14ac:dyDescent="0.25">
      <c r="A165" s="1">
        <v>48761</v>
      </c>
      <c r="B165" s="2">
        <f t="shared" si="23"/>
        <v>7915</v>
      </c>
      <c r="C165" s="2">
        <f t="shared" si="16"/>
        <v>500</v>
      </c>
      <c r="D165" s="2">
        <f t="shared" si="17"/>
        <v>8415</v>
      </c>
      <c r="E165" s="2">
        <f t="shared" si="18"/>
        <v>168.3</v>
      </c>
      <c r="F165" s="2">
        <f t="shared" si="19"/>
        <v>126.23</v>
      </c>
      <c r="G165" s="2">
        <f t="shared" si="20"/>
        <v>0</v>
      </c>
      <c r="H165" s="2">
        <f t="shared" si="21"/>
        <v>294.53000000000003</v>
      </c>
      <c r="I165" s="2">
        <f t="shared" si="22"/>
        <v>38295.410000000025</v>
      </c>
    </row>
    <row r="166" spans="1:9" x14ac:dyDescent="0.25">
      <c r="A166" s="1">
        <v>48792</v>
      </c>
      <c r="B166" s="2">
        <f t="shared" si="23"/>
        <v>7915</v>
      </c>
      <c r="C166" s="2">
        <f t="shared" si="16"/>
        <v>0</v>
      </c>
      <c r="D166" s="2">
        <f t="shared" si="17"/>
        <v>7915</v>
      </c>
      <c r="E166" s="2">
        <f t="shared" si="18"/>
        <v>158.30000000000001</v>
      </c>
      <c r="F166" s="2">
        <f t="shared" si="19"/>
        <v>118.73</v>
      </c>
      <c r="G166" s="2">
        <f t="shared" si="20"/>
        <v>0</v>
      </c>
      <c r="H166" s="2">
        <f t="shared" si="21"/>
        <v>277.03000000000003</v>
      </c>
      <c r="I166" s="2">
        <f t="shared" si="22"/>
        <v>38572.440000000031</v>
      </c>
    </row>
    <row r="167" spans="1:9" x14ac:dyDescent="0.25">
      <c r="A167" s="1">
        <v>48823</v>
      </c>
      <c r="B167" s="2">
        <f t="shared" si="23"/>
        <v>7915</v>
      </c>
      <c r="C167" s="2">
        <f t="shared" si="16"/>
        <v>0</v>
      </c>
      <c r="D167" s="2">
        <f t="shared" si="17"/>
        <v>7915</v>
      </c>
      <c r="E167" s="2">
        <f t="shared" si="18"/>
        <v>158.30000000000001</v>
      </c>
      <c r="F167" s="2">
        <f t="shared" si="19"/>
        <v>118.73</v>
      </c>
      <c r="G167" s="2">
        <f t="shared" si="20"/>
        <v>0</v>
      </c>
      <c r="H167" s="2">
        <f t="shared" si="21"/>
        <v>277.03000000000003</v>
      </c>
      <c r="I167" s="2">
        <f t="shared" si="22"/>
        <v>38849.470000000038</v>
      </c>
    </row>
    <row r="168" spans="1:9" x14ac:dyDescent="0.25">
      <c r="A168" s="1">
        <v>48853</v>
      </c>
      <c r="B168" s="2">
        <f t="shared" si="23"/>
        <v>7915</v>
      </c>
      <c r="C168" s="2">
        <f t="shared" si="16"/>
        <v>500</v>
      </c>
      <c r="D168" s="2">
        <f t="shared" si="17"/>
        <v>8415</v>
      </c>
      <c r="E168" s="2">
        <f t="shared" si="18"/>
        <v>168.3</v>
      </c>
      <c r="F168" s="2">
        <f t="shared" si="19"/>
        <v>126.23</v>
      </c>
      <c r="G168" s="2">
        <f t="shared" si="20"/>
        <v>0</v>
      </c>
      <c r="H168" s="2">
        <f t="shared" si="21"/>
        <v>294.53000000000003</v>
      </c>
      <c r="I168" s="2">
        <f t="shared" si="22"/>
        <v>39144.000000000044</v>
      </c>
    </row>
    <row r="169" spans="1:9" x14ac:dyDescent="0.25">
      <c r="A169" s="1">
        <v>48884</v>
      </c>
      <c r="B169" s="2">
        <f t="shared" si="23"/>
        <v>7915</v>
      </c>
      <c r="C169" s="2">
        <f t="shared" si="16"/>
        <v>0</v>
      </c>
      <c r="D169" s="2">
        <f t="shared" si="17"/>
        <v>7915</v>
      </c>
      <c r="E169" s="2">
        <f t="shared" si="18"/>
        <v>158.30000000000001</v>
      </c>
      <c r="F169" s="2">
        <f t="shared" si="19"/>
        <v>118.73</v>
      </c>
      <c r="G169" s="2">
        <f t="shared" si="20"/>
        <v>0</v>
      </c>
      <c r="H169" s="2">
        <f t="shared" si="21"/>
        <v>277.03000000000003</v>
      </c>
      <c r="I169" s="2">
        <f t="shared" si="22"/>
        <v>39421.03000000005</v>
      </c>
    </row>
    <row r="170" spans="1:9" x14ac:dyDescent="0.25">
      <c r="A170" s="1">
        <v>48914</v>
      </c>
      <c r="B170" s="2">
        <f t="shared" si="23"/>
        <v>7915</v>
      </c>
      <c r="C170" s="2">
        <f t="shared" si="16"/>
        <v>0</v>
      </c>
      <c r="D170" s="2">
        <f t="shared" si="17"/>
        <v>7915</v>
      </c>
      <c r="E170" s="2">
        <f t="shared" si="18"/>
        <v>158.30000000000001</v>
      </c>
      <c r="F170" s="2">
        <f t="shared" si="19"/>
        <v>118.73</v>
      </c>
      <c r="G170" s="2">
        <f t="shared" si="20"/>
        <v>240</v>
      </c>
      <c r="H170" s="2">
        <f t="shared" si="21"/>
        <v>277.03000000000003</v>
      </c>
      <c r="I170" s="2">
        <f t="shared" si="22"/>
        <v>39938.060000000056</v>
      </c>
    </row>
    <row r="171" spans="1:9" x14ac:dyDescent="0.25">
      <c r="A171" s="1">
        <v>48945</v>
      </c>
      <c r="B171" s="2">
        <f t="shared" si="23"/>
        <v>8113</v>
      </c>
      <c r="C171" s="2">
        <f t="shared" si="16"/>
        <v>500</v>
      </c>
      <c r="D171" s="2">
        <f t="shared" si="17"/>
        <v>8613</v>
      </c>
      <c r="E171" s="2">
        <f t="shared" si="18"/>
        <v>344.52</v>
      </c>
      <c r="F171" s="2">
        <f t="shared" si="19"/>
        <v>344.52</v>
      </c>
      <c r="G171" s="2">
        <f t="shared" si="20"/>
        <v>0</v>
      </c>
      <c r="H171" s="2">
        <f t="shared" si="21"/>
        <v>689.04</v>
      </c>
      <c r="I171" s="2">
        <f t="shared" si="22"/>
        <v>40627.100000000049</v>
      </c>
    </row>
    <row r="172" spans="1:9" x14ac:dyDescent="0.25">
      <c r="A172" s="1">
        <v>48976</v>
      </c>
      <c r="B172" s="2">
        <f t="shared" si="23"/>
        <v>8113</v>
      </c>
      <c r="C172" s="2">
        <f t="shared" si="16"/>
        <v>0</v>
      </c>
      <c r="D172" s="2">
        <f t="shared" si="17"/>
        <v>8113</v>
      </c>
      <c r="E172" s="2">
        <f t="shared" si="18"/>
        <v>324.52</v>
      </c>
      <c r="F172" s="2">
        <f t="shared" si="19"/>
        <v>324.52</v>
      </c>
      <c r="G172" s="2">
        <f t="shared" si="20"/>
        <v>0</v>
      </c>
      <c r="H172" s="2">
        <f t="shared" si="21"/>
        <v>649.04</v>
      </c>
      <c r="I172" s="2">
        <f t="shared" si="22"/>
        <v>41276.140000000043</v>
      </c>
    </row>
    <row r="173" spans="1:9" x14ac:dyDescent="0.25">
      <c r="A173" s="1">
        <v>49004</v>
      </c>
      <c r="B173" s="2">
        <f t="shared" si="23"/>
        <v>8113</v>
      </c>
      <c r="C173" s="2">
        <f t="shared" si="16"/>
        <v>0</v>
      </c>
      <c r="D173" s="2">
        <f t="shared" si="17"/>
        <v>8113</v>
      </c>
      <c r="E173" s="2">
        <f t="shared" si="18"/>
        <v>324.52</v>
      </c>
      <c r="F173" s="2">
        <f t="shared" si="19"/>
        <v>324.52</v>
      </c>
      <c r="G173" s="2">
        <f t="shared" si="20"/>
        <v>0</v>
      </c>
      <c r="H173" s="2">
        <f t="shared" si="21"/>
        <v>649.04</v>
      </c>
      <c r="I173" s="2">
        <f t="shared" si="22"/>
        <v>41925.180000000037</v>
      </c>
    </row>
    <row r="174" spans="1:9" x14ac:dyDescent="0.25">
      <c r="A174" s="1">
        <v>49035</v>
      </c>
      <c r="B174" s="2">
        <f t="shared" si="23"/>
        <v>8113</v>
      </c>
      <c r="C174" s="2">
        <f t="shared" si="16"/>
        <v>500</v>
      </c>
      <c r="D174" s="2">
        <f t="shared" si="17"/>
        <v>8613</v>
      </c>
      <c r="E174" s="2">
        <f t="shared" si="18"/>
        <v>344.52</v>
      </c>
      <c r="F174" s="2">
        <f t="shared" si="19"/>
        <v>344.52</v>
      </c>
      <c r="G174" s="2">
        <f t="shared" si="20"/>
        <v>0</v>
      </c>
      <c r="H174" s="2">
        <f t="shared" si="21"/>
        <v>689.04</v>
      </c>
      <c r="I174" s="2">
        <f t="shared" si="22"/>
        <v>42614.22000000003</v>
      </c>
    </row>
    <row r="175" spans="1:9" x14ac:dyDescent="0.25">
      <c r="A175" s="1">
        <v>49065</v>
      </c>
      <c r="B175" s="2">
        <f t="shared" si="23"/>
        <v>8113</v>
      </c>
      <c r="C175" s="2">
        <f t="shared" si="16"/>
        <v>0</v>
      </c>
      <c r="D175" s="2">
        <f t="shared" si="17"/>
        <v>8113</v>
      </c>
      <c r="E175" s="2">
        <f t="shared" si="18"/>
        <v>324.52</v>
      </c>
      <c r="F175" s="2">
        <f t="shared" si="19"/>
        <v>324.52</v>
      </c>
      <c r="G175" s="2">
        <f t="shared" si="20"/>
        <v>0</v>
      </c>
      <c r="H175" s="2">
        <f t="shared" si="21"/>
        <v>649.04</v>
      </c>
      <c r="I175" s="2">
        <f t="shared" si="22"/>
        <v>43263.260000000024</v>
      </c>
    </row>
    <row r="176" spans="1:9" x14ac:dyDescent="0.25">
      <c r="A176" s="1">
        <v>49096</v>
      </c>
      <c r="B176" s="2">
        <f t="shared" si="23"/>
        <v>8113</v>
      </c>
      <c r="C176" s="2">
        <f t="shared" si="16"/>
        <v>0</v>
      </c>
      <c r="D176" s="2">
        <f t="shared" si="17"/>
        <v>8113</v>
      </c>
      <c r="E176" s="2">
        <f t="shared" si="18"/>
        <v>324.52</v>
      </c>
      <c r="F176" s="2">
        <f t="shared" si="19"/>
        <v>324.52</v>
      </c>
      <c r="G176" s="2">
        <f t="shared" si="20"/>
        <v>0</v>
      </c>
      <c r="H176" s="2">
        <f t="shared" si="21"/>
        <v>649.04</v>
      </c>
      <c r="I176" s="2">
        <f t="shared" si="22"/>
        <v>43912.300000000017</v>
      </c>
    </row>
    <row r="177" spans="1:9" x14ac:dyDescent="0.25">
      <c r="A177" s="1">
        <v>49126</v>
      </c>
      <c r="B177" s="2">
        <f t="shared" si="23"/>
        <v>8113</v>
      </c>
      <c r="C177" s="2">
        <f t="shared" si="16"/>
        <v>500</v>
      </c>
      <c r="D177" s="2">
        <f t="shared" si="17"/>
        <v>8613</v>
      </c>
      <c r="E177" s="2">
        <f t="shared" si="18"/>
        <v>344.52</v>
      </c>
      <c r="F177" s="2">
        <f t="shared" si="19"/>
        <v>344.52</v>
      </c>
      <c r="G177" s="2">
        <f t="shared" si="20"/>
        <v>0</v>
      </c>
      <c r="H177" s="2">
        <f t="shared" si="21"/>
        <v>689.04</v>
      </c>
      <c r="I177" s="2">
        <f t="shared" si="22"/>
        <v>44601.340000000011</v>
      </c>
    </row>
    <row r="178" spans="1:9" x14ac:dyDescent="0.25">
      <c r="A178" s="1">
        <v>49157</v>
      </c>
      <c r="B178" s="2">
        <f t="shared" si="23"/>
        <v>8113</v>
      </c>
      <c r="C178" s="2">
        <f t="shared" si="16"/>
        <v>0</v>
      </c>
      <c r="D178" s="2">
        <f t="shared" si="17"/>
        <v>8113</v>
      </c>
      <c r="E178" s="2">
        <f t="shared" si="18"/>
        <v>324.52</v>
      </c>
      <c r="F178" s="2">
        <f t="shared" si="19"/>
        <v>324.52</v>
      </c>
      <c r="G178" s="2">
        <f t="shared" si="20"/>
        <v>0</v>
      </c>
      <c r="H178" s="2">
        <f t="shared" si="21"/>
        <v>649.04</v>
      </c>
      <c r="I178" s="2">
        <f t="shared" si="22"/>
        <v>45250.380000000005</v>
      </c>
    </row>
    <row r="179" spans="1:9" x14ac:dyDescent="0.25">
      <c r="A179" s="1">
        <v>49188</v>
      </c>
      <c r="B179" s="2">
        <f t="shared" si="23"/>
        <v>8113</v>
      </c>
      <c r="C179" s="2">
        <f t="shared" si="16"/>
        <v>0</v>
      </c>
      <c r="D179" s="2">
        <f t="shared" si="17"/>
        <v>8113</v>
      </c>
      <c r="E179" s="2">
        <f t="shared" si="18"/>
        <v>324.52</v>
      </c>
      <c r="F179" s="2">
        <f t="shared" si="19"/>
        <v>324.52</v>
      </c>
      <c r="G179" s="2">
        <f t="shared" si="20"/>
        <v>0</v>
      </c>
      <c r="H179" s="2">
        <f t="shared" si="21"/>
        <v>649.04</v>
      </c>
      <c r="I179" s="2">
        <f t="shared" si="22"/>
        <v>45899.42</v>
      </c>
    </row>
    <row r="180" spans="1:9" x14ac:dyDescent="0.25">
      <c r="A180" s="1">
        <v>49218</v>
      </c>
      <c r="B180" s="2">
        <f t="shared" si="23"/>
        <v>8113</v>
      </c>
      <c r="C180" s="2">
        <f t="shared" si="16"/>
        <v>500</v>
      </c>
      <c r="D180" s="2">
        <f t="shared" si="17"/>
        <v>8613</v>
      </c>
      <c r="E180" s="2">
        <f t="shared" si="18"/>
        <v>344.52</v>
      </c>
      <c r="F180" s="2">
        <f t="shared" si="19"/>
        <v>344.52</v>
      </c>
      <c r="G180" s="2">
        <f t="shared" si="20"/>
        <v>0</v>
      </c>
      <c r="H180" s="2">
        <f t="shared" si="21"/>
        <v>689.04</v>
      </c>
      <c r="I180" s="2">
        <f t="shared" si="22"/>
        <v>46588.459999999992</v>
      </c>
    </row>
    <row r="181" spans="1:9" x14ac:dyDescent="0.25">
      <c r="A181" s="1">
        <v>49249</v>
      </c>
      <c r="B181" s="2">
        <f t="shared" si="23"/>
        <v>8113</v>
      </c>
      <c r="C181" s="2">
        <f t="shared" si="16"/>
        <v>0</v>
      </c>
      <c r="D181" s="2">
        <f t="shared" si="17"/>
        <v>8113</v>
      </c>
      <c r="E181" s="2">
        <f t="shared" si="18"/>
        <v>324.52</v>
      </c>
      <c r="F181" s="2">
        <f t="shared" si="19"/>
        <v>324.52</v>
      </c>
      <c r="G181" s="2">
        <f t="shared" si="20"/>
        <v>0</v>
      </c>
      <c r="H181" s="2">
        <f t="shared" si="21"/>
        <v>649.04</v>
      </c>
      <c r="I181" s="2">
        <f t="shared" si="22"/>
        <v>47237.499999999985</v>
      </c>
    </row>
    <row r="182" spans="1:9" x14ac:dyDescent="0.25">
      <c r="A182" s="1">
        <v>49279</v>
      </c>
      <c r="B182" s="2">
        <f t="shared" si="23"/>
        <v>8113</v>
      </c>
      <c r="C182" s="2">
        <f t="shared" si="16"/>
        <v>0</v>
      </c>
      <c r="D182" s="2">
        <f t="shared" si="17"/>
        <v>8113</v>
      </c>
      <c r="E182" s="2">
        <f t="shared" si="18"/>
        <v>324.52</v>
      </c>
      <c r="F182" s="2">
        <f t="shared" si="19"/>
        <v>324.52</v>
      </c>
      <c r="G182" s="2">
        <f t="shared" si="20"/>
        <v>240</v>
      </c>
      <c r="H182" s="2">
        <f t="shared" si="21"/>
        <v>649.04</v>
      </c>
      <c r="I182" s="2">
        <f t="shared" si="22"/>
        <v>48126.539999999979</v>
      </c>
    </row>
    <row r="183" spans="1:9" x14ac:dyDescent="0.25">
      <c r="A183" s="1">
        <v>49310</v>
      </c>
      <c r="B183" s="2">
        <f t="shared" si="23"/>
        <v>8316</v>
      </c>
      <c r="C183" s="2">
        <f t="shared" si="16"/>
        <v>500</v>
      </c>
      <c r="D183" s="2">
        <f t="shared" si="17"/>
        <v>8816</v>
      </c>
      <c r="E183" s="2">
        <f t="shared" si="18"/>
        <v>352.64</v>
      </c>
      <c r="F183" s="2">
        <f t="shared" si="19"/>
        <v>352.64</v>
      </c>
      <c r="G183" s="2">
        <f t="shared" si="20"/>
        <v>0</v>
      </c>
      <c r="H183" s="2">
        <f t="shared" si="21"/>
        <v>705.28</v>
      </c>
      <c r="I183" s="2">
        <f t="shared" si="22"/>
        <v>48831.819999999978</v>
      </c>
    </row>
    <row r="184" spans="1:9" x14ac:dyDescent="0.25">
      <c r="A184" s="1">
        <v>49341</v>
      </c>
      <c r="B184" s="2">
        <f t="shared" si="23"/>
        <v>8316</v>
      </c>
      <c r="C184" s="2">
        <f t="shared" si="16"/>
        <v>0</v>
      </c>
      <c r="D184" s="2">
        <f t="shared" si="17"/>
        <v>8316</v>
      </c>
      <c r="E184" s="2">
        <f t="shared" si="18"/>
        <v>332.64</v>
      </c>
      <c r="F184" s="2">
        <f t="shared" si="19"/>
        <v>332.64</v>
      </c>
      <c r="G184" s="2">
        <f t="shared" si="20"/>
        <v>0</v>
      </c>
      <c r="H184" s="2">
        <f t="shared" si="21"/>
        <v>665.28</v>
      </c>
      <c r="I184" s="2">
        <f t="shared" si="22"/>
        <v>49497.099999999977</v>
      </c>
    </row>
    <row r="185" spans="1:9" x14ac:dyDescent="0.25">
      <c r="A185" s="1">
        <v>49369</v>
      </c>
      <c r="B185" s="2">
        <f t="shared" si="23"/>
        <v>8316</v>
      </c>
      <c r="C185" s="2">
        <f t="shared" si="16"/>
        <v>0</v>
      </c>
      <c r="D185" s="2">
        <f t="shared" si="17"/>
        <v>8316</v>
      </c>
      <c r="E185" s="2">
        <f t="shared" si="18"/>
        <v>332.64</v>
      </c>
      <c r="F185" s="2">
        <f t="shared" si="19"/>
        <v>332.64</v>
      </c>
      <c r="G185" s="2">
        <f t="shared" si="20"/>
        <v>0</v>
      </c>
      <c r="H185" s="2">
        <f t="shared" si="21"/>
        <v>665.28</v>
      </c>
      <c r="I185" s="2">
        <f t="shared" si="22"/>
        <v>50162.379999999976</v>
      </c>
    </row>
    <row r="186" spans="1:9" x14ac:dyDescent="0.25">
      <c r="A186" s="1">
        <v>49400</v>
      </c>
      <c r="B186" s="2">
        <f t="shared" si="23"/>
        <v>8316</v>
      </c>
      <c r="C186" s="2">
        <f t="shared" si="16"/>
        <v>500</v>
      </c>
      <c r="D186" s="2">
        <f t="shared" si="17"/>
        <v>8816</v>
      </c>
      <c r="E186" s="2">
        <f t="shared" si="18"/>
        <v>352.64</v>
      </c>
      <c r="F186" s="2">
        <f t="shared" si="19"/>
        <v>352.64</v>
      </c>
      <c r="G186" s="2">
        <f t="shared" si="20"/>
        <v>0</v>
      </c>
      <c r="H186" s="2">
        <f t="shared" si="21"/>
        <v>705.28</v>
      </c>
      <c r="I186" s="2">
        <f t="shared" si="22"/>
        <v>50867.659999999974</v>
      </c>
    </row>
    <row r="187" spans="1:9" x14ac:dyDescent="0.25">
      <c r="A187" s="1">
        <v>49430</v>
      </c>
      <c r="B187" s="2">
        <f t="shared" si="23"/>
        <v>8316</v>
      </c>
      <c r="C187" s="2">
        <f t="shared" si="16"/>
        <v>0</v>
      </c>
      <c r="D187" s="2">
        <f t="shared" si="17"/>
        <v>8316</v>
      </c>
      <c r="E187" s="2">
        <f t="shared" si="18"/>
        <v>332.64</v>
      </c>
      <c r="F187" s="2">
        <f t="shared" si="19"/>
        <v>332.64</v>
      </c>
      <c r="G187" s="2">
        <f t="shared" si="20"/>
        <v>0</v>
      </c>
      <c r="H187" s="2">
        <f t="shared" si="21"/>
        <v>665.28</v>
      </c>
      <c r="I187" s="2">
        <f t="shared" si="22"/>
        <v>51532.939999999973</v>
      </c>
    </row>
    <row r="188" spans="1:9" x14ac:dyDescent="0.25">
      <c r="A188" s="1">
        <v>49461</v>
      </c>
      <c r="B188" s="2">
        <f t="shared" si="23"/>
        <v>8316</v>
      </c>
      <c r="C188" s="2">
        <f t="shared" si="16"/>
        <v>0</v>
      </c>
      <c r="D188" s="2">
        <f t="shared" si="17"/>
        <v>8316</v>
      </c>
      <c r="E188" s="2">
        <f t="shared" si="18"/>
        <v>332.64</v>
      </c>
      <c r="F188" s="2">
        <f t="shared" si="19"/>
        <v>332.64</v>
      </c>
      <c r="G188" s="2">
        <f t="shared" si="20"/>
        <v>0</v>
      </c>
      <c r="H188" s="2">
        <f t="shared" si="21"/>
        <v>665.28</v>
      </c>
      <c r="I188" s="2">
        <f t="shared" si="22"/>
        <v>52198.219999999972</v>
      </c>
    </row>
    <row r="189" spans="1:9" x14ac:dyDescent="0.25">
      <c r="A189" s="1">
        <v>49491</v>
      </c>
      <c r="B189" s="2">
        <f t="shared" si="23"/>
        <v>8316</v>
      </c>
      <c r="C189" s="2">
        <f t="shared" si="16"/>
        <v>500</v>
      </c>
      <c r="D189" s="2">
        <f t="shared" si="17"/>
        <v>8816</v>
      </c>
      <c r="E189" s="2">
        <f t="shared" si="18"/>
        <v>352.64</v>
      </c>
      <c r="F189" s="2">
        <f t="shared" si="19"/>
        <v>352.64</v>
      </c>
      <c r="G189" s="2">
        <f t="shared" si="20"/>
        <v>0</v>
      </c>
      <c r="H189" s="2">
        <f t="shared" si="21"/>
        <v>705.28</v>
      </c>
      <c r="I189" s="2">
        <f t="shared" si="22"/>
        <v>52903.499999999971</v>
      </c>
    </row>
    <row r="190" spans="1:9" x14ac:dyDescent="0.25">
      <c r="A190" s="1">
        <v>49522</v>
      </c>
      <c r="B190" s="2">
        <f t="shared" si="23"/>
        <v>8316</v>
      </c>
      <c r="C190" s="2">
        <f t="shared" si="16"/>
        <v>0</v>
      </c>
      <c r="D190" s="2">
        <f t="shared" si="17"/>
        <v>8316</v>
      </c>
      <c r="E190" s="2">
        <f t="shared" si="18"/>
        <v>332.64</v>
      </c>
      <c r="F190" s="2">
        <f t="shared" si="19"/>
        <v>332.64</v>
      </c>
      <c r="G190" s="2">
        <f t="shared" si="20"/>
        <v>0</v>
      </c>
      <c r="H190" s="2">
        <f t="shared" si="21"/>
        <v>665.28</v>
      </c>
      <c r="I190" s="2">
        <f t="shared" si="22"/>
        <v>53568.77999999997</v>
      </c>
    </row>
    <row r="191" spans="1:9" x14ac:dyDescent="0.25">
      <c r="A191" s="1">
        <v>49553</v>
      </c>
      <c r="B191" s="2">
        <f t="shared" si="23"/>
        <v>8316</v>
      </c>
      <c r="C191" s="2">
        <f t="shared" si="16"/>
        <v>0</v>
      </c>
      <c r="D191" s="2">
        <f t="shared" si="17"/>
        <v>8316</v>
      </c>
      <c r="E191" s="2">
        <f t="shared" si="18"/>
        <v>332.64</v>
      </c>
      <c r="F191" s="2">
        <f t="shared" si="19"/>
        <v>332.64</v>
      </c>
      <c r="G191" s="2">
        <f t="shared" si="20"/>
        <v>0</v>
      </c>
      <c r="H191" s="2">
        <f t="shared" si="21"/>
        <v>665.28</v>
      </c>
      <c r="I191" s="2">
        <f t="shared" si="22"/>
        <v>54234.059999999969</v>
      </c>
    </row>
    <row r="192" spans="1:9" x14ac:dyDescent="0.25">
      <c r="A192" s="1">
        <v>49583</v>
      </c>
      <c r="B192" s="2">
        <f t="shared" si="23"/>
        <v>8316</v>
      </c>
      <c r="C192" s="2">
        <f t="shared" si="16"/>
        <v>500</v>
      </c>
      <c r="D192" s="2">
        <f t="shared" si="17"/>
        <v>8816</v>
      </c>
      <c r="E192" s="2">
        <f t="shared" si="18"/>
        <v>352.64</v>
      </c>
      <c r="F192" s="2">
        <f t="shared" si="19"/>
        <v>352.64</v>
      </c>
      <c r="G192" s="2">
        <f t="shared" si="20"/>
        <v>0</v>
      </c>
      <c r="H192" s="2">
        <f t="shared" si="21"/>
        <v>705.28</v>
      </c>
      <c r="I192" s="2">
        <f t="shared" si="22"/>
        <v>54939.339999999967</v>
      </c>
    </row>
    <row r="193" spans="1:9" x14ac:dyDescent="0.25">
      <c r="A193" s="1">
        <v>49614</v>
      </c>
      <c r="B193" s="2">
        <f t="shared" si="23"/>
        <v>8316</v>
      </c>
      <c r="C193" s="2">
        <f t="shared" si="16"/>
        <v>0</v>
      </c>
      <c r="D193" s="2">
        <f t="shared" si="17"/>
        <v>8316</v>
      </c>
      <c r="E193" s="2">
        <f t="shared" si="18"/>
        <v>332.64</v>
      </c>
      <c r="F193" s="2">
        <f t="shared" si="19"/>
        <v>332.64</v>
      </c>
      <c r="G193" s="2">
        <f t="shared" si="20"/>
        <v>0</v>
      </c>
      <c r="H193" s="2">
        <f t="shared" si="21"/>
        <v>665.28</v>
      </c>
      <c r="I193" s="2">
        <f t="shared" si="22"/>
        <v>55604.619999999966</v>
      </c>
    </row>
    <row r="194" spans="1:9" x14ac:dyDescent="0.25">
      <c r="A194" s="1">
        <v>49644</v>
      </c>
      <c r="B194" s="2">
        <f t="shared" si="23"/>
        <v>8316</v>
      </c>
      <c r="C194" s="2">
        <f t="shared" si="16"/>
        <v>0</v>
      </c>
      <c r="D194" s="2">
        <f t="shared" si="17"/>
        <v>8316</v>
      </c>
      <c r="E194" s="2">
        <f t="shared" si="18"/>
        <v>332.64</v>
      </c>
      <c r="F194" s="2">
        <f t="shared" si="19"/>
        <v>332.64</v>
      </c>
      <c r="G194" s="2">
        <f t="shared" si="20"/>
        <v>240</v>
      </c>
      <c r="H194" s="2">
        <f t="shared" si="21"/>
        <v>665.28</v>
      </c>
      <c r="I194" s="2">
        <f t="shared" si="22"/>
        <v>56509.899999999965</v>
      </c>
    </row>
    <row r="195" spans="1:9" x14ac:dyDescent="0.25">
      <c r="A195" s="1">
        <v>49675</v>
      </c>
      <c r="B195" s="2">
        <f t="shared" si="23"/>
        <v>9024</v>
      </c>
      <c r="C195" s="2">
        <f t="shared" si="16"/>
        <v>500</v>
      </c>
      <c r="D195" s="2">
        <f t="shared" si="17"/>
        <v>9524</v>
      </c>
      <c r="E195" s="2">
        <f t="shared" si="18"/>
        <v>380.96</v>
      </c>
      <c r="F195" s="2">
        <f t="shared" si="19"/>
        <v>380.96</v>
      </c>
      <c r="G195" s="2">
        <f t="shared" si="20"/>
        <v>0</v>
      </c>
      <c r="H195" s="2">
        <f t="shared" si="21"/>
        <v>761.92</v>
      </c>
      <c r="I195" s="2">
        <f t="shared" si="22"/>
        <v>57271.819999999963</v>
      </c>
    </row>
    <row r="196" spans="1:9" x14ac:dyDescent="0.25">
      <c r="A196" s="1">
        <v>49706</v>
      </c>
      <c r="B196" s="2">
        <f t="shared" si="23"/>
        <v>9024</v>
      </c>
      <c r="C196" s="2">
        <f t="shared" ref="C196:C259" si="24">IF(AND(OR(MONTH(A196)=1,MONTH(A196)=4,MONTH(A196)=7,MONTH(A196)=10),DATE(2020,1,1)&lt;&gt;A196),500,0)</f>
        <v>0</v>
      </c>
      <c r="D196" s="2">
        <f t="shared" ref="D196:D259" si="25">B196+C196</f>
        <v>9024</v>
      </c>
      <c r="E196" s="2">
        <f t="shared" ref="E196:E259" si="26">IF(B196&gt;8000,ROUND(D196*(0.02+0.02),2),ROUND(D196*(0.02),2))</f>
        <v>360.96</v>
      </c>
      <c r="F196" s="2">
        <f t="shared" ref="F196:F259" si="27">IF(B196&gt;8000,ROUND(D196*0.04,2),ROUND(D196*0.015,2))</f>
        <v>360.96</v>
      </c>
      <c r="G196" s="2">
        <f t="shared" ref="G196:G259" si="28">IF(MONTH(A196)=12,240,0)</f>
        <v>0</v>
      </c>
      <c r="H196" s="2">
        <f t="shared" ref="H196:H259" si="29">E196+F196</f>
        <v>721.92</v>
      </c>
      <c r="I196" s="2">
        <f t="shared" ref="I196:I259" si="30">I195+E196+F196+G196</f>
        <v>57993.739999999962</v>
      </c>
    </row>
    <row r="197" spans="1:9" x14ac:dyDescent="0.25">
      <c r="A197" s="1">
        <v>49735</v>
      </c>
      <c r="B197" s="2">
        <f t="shared" ref="B197:B260" si="31">IF(YEAR($A197) &gt; YEAR($A196),IF(AND(MOD(YEAR(A197),4)=0,YEAR(A197)&lt;&gt;2020),ROUNDUP($B196*1.025,0)+500,ROUNDUP($B196*1.025,0)),$B196)</f>
        <v>9024</v>
      </c>
      <c r="C197" s="2">
        <f t="shared" si="24"/>
        <v>0</v>
      </c>
      <c r="D197" s="2">
        <f t="shared" si="25"/>
        <v>9024</v>
      </c>
      <c r="E197" s="2">
        <f t="shared" si="26"/>
        <v>360.96</v>
      </c>
      <c r="F197" s="2">
        <f t="shared" si="27"/>
        <v>360.96</v>
      </c>
      <c r="G197" s="2">
        <f t="shared" si="28"/>
        <v>0</v>
      </c>
      <c r="H197" s="2">
        <f t="shared" si="29"/>
        <v>721.92</v>
      </c>
      <c r="I197" s="2">
        <f t="shared" si="30"/>
        <v>58715.65999999996</v>
      </c>
    </row>
    <row r="198" spans="1:9" x14ac:dyDescent="0.25">
      <c r="A198" s="1">
        <v>49766</v>
      </c>
      <c r="B198" s="2">
        <f t="shared" si="31"/>
        <v>9024</v>
      </c>
      <c r="C198" s="2">
        <f t="shared" si="24"/>
        <v>500</v>
      </c>
      <c r="D198" s="2">
        <f t="shared" si="25"/>
        <v>9524</v>
      </c>
      <c r="E198" s="2">
        <f t="shared" si="26"/>
        <v>380.96</v>
      </c>
      <c r="F198" s="2">
        <f t="shared" si="27"/>
        <v>380.96</v>
      </c>
      <c r="G198" s="2">
        <f t="shared" si="28"/>
        <v>0</v>
      </c>
      <c r="H198" s="2">
        <f t="shared" si="29"/>
        <v>761.92</v>
      </c>
      <c r="I198" s="2">
        <f t="shared" si="30"/>
        <v>59477.579999999958</v>
      </c>
    </row>
    <row r="199" spans="1:9" x14ac:dyDescent="0.25">
      <c r="A199" s="1">
        <v>49796</v>
      </c>
      <c r="B199" s="2">
        <f t="shared" si="31"/>
        <v>9024</v>
      </c>
      <c r="C199" s="2">
        <f t="shared" si="24"/>
        <v>0</v>
      </c>
      <c r="D199" s="2">
        <f t="shared" si="25"/>
        <v>9024</v>
      </c>
      <c r="E199" s="2">
        <f t="shared" si="26"/>
        <v>360.96</v>
      </c>
      <c r="F199" s="2">
        <f t="shared" si="27"/>
        <v>360.96</v>
      </c>
      <c r="G199" s="2">
        <f t="shared" si="28"/>
        <v>0</v>
      </c>
      <c r="H199" s="2">
        <f t="shared" si="29"/>
        <v>721.92</v>
      </c>
      <c r="I199" s="2">
        <f t="shared" si="30"/>
        <v>60199.499999999956</v>
      </c>
    </row>
    <row r="200" spans="1:9" x14ac:dyDescent="0.25">
      <c r="A200" s="1">
        <v>49827</v>
      </c>
      <c r="B200" s="2">
        <f t="shared" si="31"/>
        <v>9024</v>
      </c>
      <c r="C200" s="2">
        <f t="shared" si="24"/>
        <v>0</v>
      </c>
      <c r="D200" s="2">
        <f t="shared" si="25"/>
        <v>9024</v>
      </c>
      <c r="E200" s="2">
        <f t="shared" si="26"/>
        <v>360.96</v>
      </c>
      <c r="F200" s="2">
        <f t="shared" si="27"/>
        <v>360.96</v>
      </c>
      <c r="G200" s="2">
        <f t="shared" si="28"/>
        <v>0</v>
      </c>
      <c r="H200" s="2">
        <f t="shared" si="29"/>
        <v>721.92</v>
      </c>
      <c r="I200" s="2">
        <f t="shared" si="30"/>
        <v>60921.419999999955</v>
      </c>
    </row>
    <row r="201" spans="1:9" x14ac:dyDescent="0.25">
      <c r="A201" s="1">
        <v>49857</v>
      </c>
      <c r="B201" s="2">
        <f t="shared" si="31"/>
        <v>9024</v>
      </c>
      <c r="C201" s="2">
        <f t="shared" si="24"/>
        <v>500</v>
      </c>
      <c r="D201" s="2">
        <f t="shared" si="25"/>
        <v>9524</v>
      </c>
      <c r="E201" s="2">
        <f t="shared" si="26"/>
        <v>380.96</v>
      </c>
      <c r="F201" s="2">
        <f t="shared" si="27"/>
        <v>380.96</v>
      </c>
      <c r="G201" s="2">
        <f t="shared" si="28"/>
        <v>0</v>
      </c>
      <c r="H201" s="2">
        <f t="shared" si="29"/>
        <v>761.92</v>
      </c>
      <c r="I201" s="2">
        <f t="shared" si="30"/>
        <v>61683.339999999953</v>
      </c>
    </row>
    <row r="202" spans="1:9" x14ac:dyDescent="0.25">
      <c r="A202" s="1">
        <v>49888</v>
      </c>
      <c r="B202" s="2">
        <f t="shared" si="31"/>
        <v>9024</v>
      </c>
      <c r="C202" s="2">
        <f t="shared" si="24"/>
        <v>0</v>
      </c>
      <c r="D202" s="2">
        <f t="shared" si="25"/>
        <v>9024</v>
      </c>
      <c r="E202" s="2">
        <f t="shared" si="26"/>
        <v>360.96</v>
      </c>
      <c r="F202" s="2">
        <f t="shared" si="27"/>
        <v>360.96</v>
      </c>
      <c r="G202" s="2">
        <f t="shared" si="28"/>
        <v>0</v>
      </c>
      <c r="H202" s="2">
        <f t="shared" si="29"/>
        <v>721.92</v>
      </c>
      <c r="I202" s="2">
        <f t="shared" si="30"/>
        <v>62405.259999999951</v>
      </c>
    </row>
    <row r="203" spans="1:9" x14ac:dyDescent="0.25">
      <c r="A203" s="1">
        <v>49919</v>
      </c>
      <c r="B203" s="2">
        <f t="shared" si="31"/>
        <v>9024</v>
      </c>
      <c r="C203" s="2">
        <f t="shared" si="24"/>
        <v>0</v>
      </c>
      <c r="D203" s="2">
        <f t="shared" si="25"/>
        <v>9024</v>
      </c>
      <c r="E203" s="2">
        <f t="shared" si="26"/>
        <v>360.96</v>
      </c>
      <c r="F203" s="2">
        <f t="shared" si="27"/>
        <v>360.96</v>
      </c>
      <c r="G203" s="2">
        <f t="shared" si="28"/>
        <v>0</v>
      </c>
      <c r="H203" s="2">
        <f t="shared" si="29"/>
        <v>721.92</v>
      </c>
      <c r="I203" s="2">
        <f t="shared" si="30"/>
        <v>63127.179999999949</v>
      </c>
    </row>
    <row r="204" spans="1:9" x14ac:dyDescent="0.25">
      <c r="A204" s="1">
        <v>49949</v>
      </c>
      <c r="B204" s="2">
        <f t="shared" si="31"/>
        <v>9024</v>
      </c>
      <c r="C204" s="2">
        <f t="shared" si="24"/>
        <v>500</v>
      </c>
      <c r="D204" s="2">
        <f t="shared" si="25"/>
        <v>9524</v>
      </c>
      <c r="E204" s="2">
        <f t="shared" si="26"/>
        <v>380.96</v>
      </c>
      <c r="F204" s="2">
        <f t="shared" si="27"/>
        <v>380.96</v>
      </c>
      <c r="G204" s="2">
        <f t="shared" si="28"/>
        <v>0</v>
      </c>
      <c r="H204" s="2">
        <f t="shared" si="29"/>
        <v>761.92</v>
      </c>
      <c r="I204" s="2">
        <f t="shared" si="30"/>
        <v>63889.099999999948</v>
      </c>
    </row>
    <row r="205" spans="1:9" x14ac:dyDescent="0.25">
      <c r="A205" s="1">
        <v>49980</v>
      </c>
      <c r="B205" s="2">
        <f t="shared" si="31"/>
        <v>9024</v>
      </c>
      <c r="C205" s="2">
        <f t="shared" si="24"/>
        <v>0</v>
      </c>
      <c r="D205" s="2">
        <f t="shared" si="25"/>
        <v>9024</v>
      </c>
      <c r="E205" s="2">
        <f t="shared" si="26"/>
        <v>360.96</v>
      </c>
      <c r="F205" s="2">
        <f t="shared" si="27"/>
        <v>360.96</v>
      </c>
      <c r="G205" s="2">
        <f t="shared" si="28"/>
        <v>0</v>
      </c>
      <c r="H205" s="2">
        <f t="shared" si="29"/>
        <v>721.92</v>
      </c>
      <c r="I205" s="2">
        <f t="shared" si="30"/>
        <v>64611.019999999946</v>
      </c>
    </row>
    <row r="206" spans="1:9" x14ac:dyDescent="0.25">
      <c r="A206" s="1">
        <v>50010</v>
      </c>
      <c r="B206" s="2">
        <f t="shared" si="31"/>
        <v>9024</v>
      </c>
      <c r="C206" s="2">
        <f t="shared" si="24"/>
        <v>0</v>
      </c>
      <c r="D206" s="2">
        <f t="shared" si="25"/>
        <v>9024</v>
      </c>
      <c r="E206" s="2">
        <f t="shared" si="26"/>
        <v>360.96</v>
      </c>
      <c r="F206" s="2">
        <f t="shared" si="27"/>
        <v>360.96</v>
      </c>
      <c r="G206" s="2">
        <f t="shared" si="28"/>
        <v>240</v>
      </c>
      <c r="H206" s="2">
        <f t="shared" si="29"/>
        <v>721.92</v>
      </c>
      <c r="I206" s="2">
        <f t="shared" si="30"/>
        <v>65572.939999999944</v>
      </c>
    </row>
    <row r="207" spans="1:9" x14ac:dyDescent="0.25">
      <c r="A207" s="1">
        <v>50041</v>
      </c>
      <c r="B207" s="2">
        <f t="shared" si="31"/>
        <v>9250</v>
      </c>
      <c r="C207" s="2">
        <f t="shared" si="24"/>
        <v>500</v>
      </c>
      <c r="D207" s="2">
        <f t="shared" si="25"/>
        <v>9750</v>
      </c>
      <c r="E207" s="2">
        <f t="shared" si="26"/>
        <v>390</v>
      </c>
      <c r="F207" s="2">
        <f t="shared" si="27"/>
        <v>390</v>
      </c>
      <c r="G207" s="2">
        <f t="shared" si="28"/>
        <v>0</v>
      </c>
      <c r="H207" s="2">
        <f t="shared" si="29"/>
        <v>780</v>
      </c>
      <c r="I207" s="2">
        <f t="shared" si="30"/>
        <v>66352.939999999944</v>
      </c>
    </row>
    <row r="208" spans="1:9" x14ac:dyDescent="0.25">
      <c r="A208" s="1">
        <v>50072</v>
      </c>
      <c r="B208" s="2">
        <f t="shared" si="31"/>
        <v>9250</v>
      </c>
      <c r="C208" s="2">
        <f t="shared" si="24"/>
        <v>0</v>
      </c>
      <c r="D208" s="2">
        <f t="shared" si="25"/>
        <v>9250</v>
      </c>
      <c r="E208" s="2">
        <f t="shared" si="26"/>
        <v>370</v>
      </c>
      <c r="F208" s="2">
        <f t="shared" si="27"/>
        <v>370</v>
      </c>
      <c r="G208" s="2">
        <f t="shared" si="28"/>
        <v>0</v>
      </c>
      <c r="H208" s="2">
        <f t="shared" si="29"/>
        <v>740</v>
      </c>
      <c r="I208" s="2">
        <f t="shared" si="30"/>
        <v>67092.939999999944</v>
      </c>
    </row>
    <row r="209" spans="1:9" x14ac:dyDescent="0.25">
      <c r="A209" s="1">
        <v>50100</v>
      </c>
      <c r="B209" s="2">
        <f t="shared" si="31"/>
        <v>9250</v>
      </c>
      <c r="C209" s="2">
        <f t="shared" si="24"/>
        <v>0</v>
      </c>
      <c r="D209" s="2">
        <f t="shared" si="25"/>
        <v>9250</v>
      </c>
      <c r="E209" s="2">
        <f t="shared" si="26"/>
        <v>370</v>
      </c>
      <c r="F209" s="2">
        <f t="shared" si="27"/>
        <v>370</v>
      </c>
      <c r="G209" s="2">
        <f t="shared" si="28"/>
        <v>0</v>
      </c>
      <c r="H209" s="2">
        <f t="shared" si="29"/>
        <v>740</v>
      </c>
      <c r="I209" s="2">
        <f t="shared" si="30"/>
        <v>67832.939999999944</v>
      </c>
    </row>
    <row r="210" spans="1:9" x14ac:dyDescent="0.25">
      <c r="A210" s="1">
        <v>50131</v>
      </c>
      <c r="B210" s="2">
        <f t="shared" si="31"/>
        <v>9250</v>
      </c>
      <c r="C210" s="2">
        <f t="shared" si="24"/>
        <v>500</v>
      </c>
      <c r="D210" s="2">
        <f t="shared" si="25"/>
        <v>9750</v>
      </c>
      <c r="E210" s="2">
        <f t="shared" si="26"/>
        <v>390</v>
      </c>
      <c r="F210" s="2">
        <f t="shared" si="27"/>
        <v>390</v>
      </c>
      <c r="G210" s="2">
        <f t="shared" si="28"/>
        <v>0</v>
      </c>
      <c r="H210" s="2">
        <f t="shared" si="29"/>
        <v>780</v>
      </c>
      <c r="I210" s="2">
        <f t="shared" si="30"/>
        <v>68612.939999999944</v>
      </c>
    </row>
    <row r="211" spans="1:9" x14ac:dyDescent="0.25">
      <c r="A211" s="1">
        <v>50161</v>
      </c>
      <c r="B211" s="2">
        <f t="shared" si="31"/>
        <v>9250</v>
      </c>
      <c r="C211" s="2">
        <f t="shared" si="24"/>
        <v>0</v>
      </c>
      <c r="D211" s="2">
        <f t="shared" si="25"/>
        <v>9250</v>
      </c>
      <c r="E211" s="2">
        <f t="shared" si="26"/>
        <v>370</v>
      </c>
      <c r="F211" s="2">
        <f t="shared" si="27"/>
        <v>370</v>
      </c>
      <c r="G211" s="2">
        <f t="shared" si="28"/>
        <v>0</v>
      </c>
      <c r="H211" s="2">
        <f t="shared" si="29"/>
        <v>740</v>
      </c>
      <c r="I211" s="2">
        <f t="shared" si="30"/>
        <v>69352.939999999944</v>
      </c>
    </row>
    <row r="212" spans="1:9" x14ac:dyDescent="0.25">
      <c r="A212" s="1">
        <v>50192</v>
      </c>
      <c r="B212" s="2">
        <f t="shared" si="31"/>
        <v>9250</v>
      </c>
      <c r="C212" s="2">
        <f t="shared" si="24"/>
        <v>0</v>
      </c>
      <c r="D212" s="2">
        <f t="shared" si="25"/>
        <v>9250</v>
      </c>
      <c r="E212" s="2">
        <f t="shared" si="26"/>
        <v>370</v>
      </c>
      <c r="F212" s="2">
        <f t="shared" si="27"/>
        <v>370</v>
      </c>
      <c r="G212" s="2">
        <f t="shared" si="28"/>
        <v>0</v>
      </c>
      <c r="H212" s="2">
        <f t="shared" si="29"/>
        <v>740</v>
      </c>
      <c r="I212" s="2">
        <f t="shared" si="30"/>
        <v>70092.939999999944</v>
      </c>
    </row>
    <row r="213" spans="1:9" x14ac:dyDescent="0.25">
      <c r="A213" s="1">
        <v>50222</v>
      </c>
      <c r="B213" s="2">
        <f t="shared" si="31"/>
        <v>9250</v>
      </c>
      <c r="C213" s="2">
        <f t="shared" si="24"/>
        <v>500</v>
      </c>
      <c r="D213" s="2">
        <f t="shared" si="25"/>
        <v>9750</v>
      </c>
      <c r="E213" s="2">
        <f t="shared" si="26"/>
        <v>390</v>
      </c>
      <c r="F213" s="2">
        <f t="shared" si="27"/>
        <v>390</v>
      </c>
      <c r="G213" s="2">
        <f t="shared" si="28"/>
        <v>0</v>
      </c>
      <c r="H213" s="2">
        <f t="shared" si="29"/>
        <v>780</v>
      </c>
      <c r="I213" s="2">
        <f t="shared" si="30"/>
        <v>70872.939999999944</v>
      </c>
    </row>
    <row r="214" spans="1:9" x14ac:dyDescent="0.25">
      <c r="A214" s="1">
        <v>50253</v>
      </c>
      <c r="B214" s="2">
        <f t="shared" si="31"/>
        <v>9250</v>
      </c>
      <c r="C214" s="2">
        <f t="shared" si="24"/>
        <v>0</v>
      </c>
      <c r="D214" s="2">
        <f t="shared" si="25"/>
        <v>9250</v>
      </c>
      <c r="E214" s="2">
        <f t="shared" si="26"/>
        <v>370</v>
      </c>
      <c r="F214" s="2">
        <f t="shared" si="27"/>
        <v>370</v>
      </c>
      <c r="G214" s="2">
        <f t="shared" si="28"/>
        <v>0</v>
      </c>
      <c r="H214" s="2">
        <f t="shared" si="29"/>
        <v>740</v>
      </c>
      <c r="I214" s="2">
        <f t="shared" si="30"/>
        <v>71612.939999999944</v>
      </c>
    </row>
    <row r="215" spans="1:9" x14ac:dyDescent="0.25">
      <c r="A215" s="1">
        <v>50284</v>
      </c>
      <c r="B215" s="2">
        <f t="shared" si="31"/>
        <v>9250</v>
      </c>
      <c r="C215" s="2">
        <f t="shared" si="24"/>
        <v>0</v>
      </c>
      <c r="D215" s="2">
        <f t="shared" si="25"/>
        <v>9250</v>
      </c>
      <c r="E215" s="2">
        <f t="shared" si="26"/>
        <v>370</v>
      </c>
      <c r="F215" s="2">
        <f t="shared" si="27"/>
        <v>370</v>
      </c>
      <c r="G215" s="2">
        <f t="shared" si="28"/>
        <v>0</v>
      </c>
      <c r="H215" s="2">
        <f t="shared" si="29"/>
        <v>740</v>
      </c>
      <c r="I215" s="2">
        <f t="shared" si="30"/>
        <v>72352.939999999944</v>
      </c>
    </row>
    <row r="216" spans="1:9" x14ac:dyDescent="0.25">
      <c r="A216" s="1">
        <v>50314</v>
      </c>
      <c r="B216" s="2">
        <f t="shared" si="31"/>
        <v>9250</v>
      </c>
      <c r="C216" s="2">
        <f t="shared" si="24"/>
        <v>500</v>
      </c>
      <c r="D216" s="2">
        <f t="shared" si="25"/>
        <v>9750</v>
      </c>
      <c r="E216" s="2">
        <f t="shared" si="26"/>
        <v>390</v>
      </c>
      <c r="F216" s="2">
        <f t="shared" si="27"/>
        <v>390</v>
      </c>
      <c r="G216" s="2">
        <f t="shared" si="28"/>
        <v>0</v>
      </c>
      <c r="H216" s="2">
        <f t="shared" si="29"/>
        <v>780</v>
      </c>
      <c r="I216" s="2">
        <f t="shared" si="30"/>
        <v>73132.939999999944</v>
      </c>
    </row>
    <row r="217" spans="1:9" x14ac:dyDescent="0.25">
      <c r="A217" s="1">
        <v>50345</v>
      </c>
      <c r="B217" s="2">
        <f t="shared" si="31"/>
        <v>9250</v>
      </c>
      <c r="C217" s="2">
        <f t="shared" si="24"/>
        <v>0</v>
      </c>
      <c r="D217" s="2">
        <f t="shared" si="25"/>
        <v>9250</v>
      </c>
      <c r="E217" s="2">
        <f t="shared" si="26"/>
        <v>370</v>
      </c>
      <c r="F217" s="2">
        <f t="shared" si="27"/>
        <v>370</v>
      </c>
      <c r="G217" s="2">
        <f t="shared" si="28"/>
        <v>0</v>
      </c>
      <c r="H217" s="2">
        <f t="shared" si="29"/>
        <v>740</v>
      </c>
      <c r="I217" s="2">
        <f t="shared" si="30"/>
        <v>73872.939999999944</v>
      </c>
    </row>
    <row r="218" spans="1:9" x14ac:dyDescent="0.25">
      <c r="A218" s="1">
        <v>50375</v>
      </c>
      <c r="B218" s="2">
        <f t="shared" si="31"/>
        <v>9250</v>
      </c>
      <c r="C218" s="2">
        <f t="shared" si="24"/>
        <v>0</v>
      </c>
      <c r="D218" s="2">
        <f t="shared" si="25"/>
        <v>9250</v>
      </c>
      <c r="E218" s="2">
        <f t="shared" si="26"/>
        <v>370</v>
      </c>
      <c r="F218" s="2">
        <f t="shared" si="27"/>
        <v>370</v>
      </c>
      <c r="G218" s="2">
        <f t="shared" si="28"/>
        <v>240</v>
      </c>
      <c r="H218" s="2">
        <f t="shared" si="29"/>
        <v>740</v>
      </c>
      <c r="I218" s="2">
        <f t="shared" si="30"/>
        <v>74852.939999999944</v>
      </c>
    </row>
    <row r="219" spans="1:9" x14ac:dyDescent="0.25">
      <c r="A219" s="1">
        <v>50406</v>
      </c>
      <c r="B219" s="2">
        <f t="shared" si="31"/>
        <v>9482</v>
      </c>
      <c r="C219" s="2">
        <f t="shared" si="24"/>
        <v>500</v>
      </c>
      <c r="D219" s="2">
        <f t="shared" si="25"/>
        <v>9982</v>
      </c>
      <c r="E219" s="2">
        <f t="shared" si="26"/>
        <v>399.28</v>
      </c>
      <c r="F219" s="2">
        <f t="shared" si="27"/>
        <v>399.28</v>
      </c>
      <c r="G219" s="2">
        <f t="shared" si="28"/>
        <v>0</v>
      </c>
      <c r="H219" s="2">
        <f t="shared" si="29"/>
        <v>798.56</v>
      </c>
      <c r="I219" s="2">
        <f t="shared" si="30"/>
        <v>75651.499999999942</v>
      </c>
    </row>
    <row r="220" spans="1:9" x14ac:dyDescent="0.25">
      <c r="A220" s="1">
        <v>50437</v>
      </c>
      <c r="B220" s="2">
        <f t="shared" si="31"/>
        <v>9482</v>
      </c>
      <c r="C220" s="2">
        <f t="shared" si="24"/>
        <v>0</v>
      </c>
      <c r="D220" s="2">
        <f t="shared" si="25"/>
        <v>9482</v>
      </c>
      <c r="E220" s="2">
        <f t="shared" si="26"/>
        <v>379.28</v>
      </c>
      <c r="F220" s="2">
        <f t="shared" si="27"/>
        <v>379.28</v>
      </c>
      <c r="G220" s="2">
        <f t="shared" si="28"/>
        <v>0</v>
      </c>
      <c r="H220" s="2">
        <f t="shared" si="29"/>
        <v>758.56</v>
      </c>
      <c r="I220" s="2">
        <f t="shared" si="30"/>
        <v>76410.059999999939</v>
      </c>
    </row>
    <row r="221" spans="1:9" x14ac:dyDescent="0.25">
      <c r="A221" s="1">
        <v>50465</v>
      </c>
      <c r="B221" s="2">
        <f t="shared" si="31"/>
        <v>9482</v>
      </c>
      <c r="C221" s="2">
        <f t="shared" si="24"/>
        <v>0</v>
      </c>
      <c r="D221" s="2">
        <f t="shared" si="25"/>
        <v>9482</v>
      </c>
      <c r="E221" s="2">
        <f t="shared" si="26"/>
        <v>379.28</v>
      </c>
      <c r="F221" s="2">
        <f t="shared" si="27"/>
        <v>379.28</v>
      </c>
      <c r="G221" s="2">
        <f t="shared" si="28"/>
        <v>0</v>
      </c>
      <c r="H221" s="2">
        <f t="shared" si="29"/>
        <v>758.56</v>
      </c>
      <c r="I221" s="2">
        <f t="shared" si="30"/>
        <v>77168.619999999937</v>
      </c>
    </row>
    <row r="222" spans="1:9" x14ac:dyDescent="0.25">
      <c r="A222" s="1">
        <v>50496</v>
      </c>
      <c r="B222" s="2">
        <f t="shared" si="31"/>
        <v>9482</v>
      </c>
      <c r="C222" s="2">
        <f t="shared" si="24"/>
        <v>500</v>
      </c>
      <c r="D222" s="2">
        <f t="shared" si="25"/>
        <v>9982</v>
      </c>
      <c r="E222" s="2">
        <f t="shared" si="26"/>
        <v>399.28</v>
      </c>
      <c r="F222" s="2">
        <f t="shared" si="27"/>
        <v>399.28</v>
      </c>
      <c r="G222" s="2">
        <f t="shared" si="28"/>
        <v>0</v>
      </c>
      <c r="H222" s="2">
        <f t="shared" si="29"/>
        <v>798.56</v>
      </c>
      <c r="I222" s="2">
        <f t="shared" si="30"/>
        <v>77967.179999999935</v>
      </c>
    </row>
    <row r="223" spans="1:9" x14ac:dyDescent="0.25">
      <c r="A223" s="1">
        <v>50526</v>
      </c>
      <c r="B223" s="2">
        <f t="shared" si="31"/>
        <v>9482</v>
      </c>
      <c r="C223" s="2">
        <f t="shared" si="24"/>
        <v>0</v>
      </c>
      <c r="D223" s="2">
        <f t="shared" si="25"/>
        <v>9482</v>
      </c>
      <c r="E223" s="2">
        <f t="shared" si="26"/>
        <v>379.28</v>
      </c>
      <c r="F223" s="2">
        <f t="shared" si="27"/>
        <v>379.28</v>
      </c>
      <c r="G223" s="2">
        <f t="shared" si="28"/>
        <v>0</v>
      </c>
      <c r="H223" s="2">
        <f t="shared" si="29"/>
        <v>758.56</v>
      </c>
      <c r="I223" s="2">
        <f t="shared" si="30"/>
        <v>78725.739999999932</v>
      </c>
    </row>
    <row r="224" spans="1:9" x14ac:dyDescent="0.25">
      <c r="A224" s="1">
        <v>50557</v>
      </c>
      <c r="B224" s="2">
        <f t="shared" si="31"/>
        <v>9482</v>
      </c>
      <c r="C224" s="2">
        <f t="shared" si="24"/>
        <v>0</v>
      </c>
      <c r="D224" s="2">
        <f t="shared" si="25"/>
        <v>9482</v>
      </c>
      <c r="E224" s="2">
        <f t="shared" si="26"/>
        <v>379.28</v>
      </c>
      <c r="F224" s="2">
        <f t="shared" si="27"/>
        <v>379.28</v>
      </c>
      <c r="G224" s="2">
        <f t="shared" si="28"/>
        <v>0</v>
      </c>
      <c r="H224" s="2">
        <f t="shared" si="29"/>
        <v>758.56</v>
      </c>
      <c r="I224" s="2">
        <f t="shared" si="30"/>
        <v>79484.29999999993</v>
      </c>
    </row>
    <row r="225" spans="1:9" x14ac:dyDescent="0.25">
      <c r="A225" s="1">
        <v>50587</v>
      </c>
      <c r="B225" s="2">
        <f t="shared" si="31"/>
        <v>9482</v>
      </c>
      <c r="C225" s="2">
        <f t="shared" si="24"/>
        <v>500</v>
      </c>
      <c r="D225" s="2">
        <f t="shared" si="25"/>
        <v>9982</v>
      </c>
      <c r="E225" s="2">
        <f t="shared" si="26"/>
        <v>399.28</v>
      </c>
      <c r="F225" s="2">
        <f t="shared" si="27"/>
        <v>399.28</v>
      </c>
      <c r="G225" s="2">
        <f t="shared" si="28"/>
        <v>0</v>
      </c>
      <c r="H225" s="2">
        <f t="shared" si="29"/>
        <v>798.56</v>
      </c>
      <c r="I225" s="2">
        <f t="shared" si="30"/>
        <v>80282.859999999928</v>
      </c>
    </row>
    <row r="226" spans="1:9" x14ac:dyDescent="0.25">
      <c r="A226" s="1">
        <v>50618</v>
      </c>
      <c r="B226" s="2">
        <f t="shared" si="31"/>
        <v>9482</v>
      </c>
      <c r="C226" s="2">
        <f t="shared" si="24"/>
        <v>0</v>
      </c>
      <c r="D226" s="2">
        <f t="shared" si="25"/>
        <v>9482</v>
      </c>
      <c r="E226" s="2">
        <f t="shared" si="26"/>
        <v>379.28</v>
      </c>
      <c r="F226" s="2">
        <f t="shared" si="27"/>
        <v>379.28</v>
      </c>
      <c r="G226" s="2">
        <f t="shared" si="28"/>
        <v>0</v>
      </c>
      <c r="H226" s="2">
        <f t="shared" si="29"/>
        <v>758.56</v>
      </c>
      <c r="I226" s="2">
        <f t="shared" si="30"/>
        <v>81041.419999999925</v>
      </c>
    </row>
    <row r="227" spans="1:9" x14ac:dyDescent="0.25">
      <c r="A227" s="1">
        <v>50649</v>
      </c>
      <c r="B227" s="2">
        <f t="shared" si="31"/>
        <v>9482</v>
      </c>
      <c r="C227" s="2">
        <f t="shared" si="24"/>
        <v>0</v>
      </c>
      <c r="D227" s="2">
        <f t="shared" si="25"/>
        <v>9482</v>
      </c>
      <c r="E227" s="2">
        <f t="shared" si="26"/>
        <v>379.28</v>
      </c>
      <c r="F227" s="2">
        <f t="shared" si="27"/>
        <v>379.28</v>
      </c>
      <c r="G227" s="2">
        <f t="shared" si="28"/>
        <v>0</v>
      </c>
      <c r="H227" s="2">
        <f t="shared" si="29"/>
        <v>758.56</v>
      </c>
      <c r="I227" s="2">
        <f t="shared" si="30"/>
        <v>81799.979999999923</v>
      </c>
    </row>
    <row r="228" spans="1:9" x14ac:dyDescent="0.25">
      <c r="A228" s="1">
        <v>50679</v>
      </c>
      <c r="B228" s="2">
        <f t="shared" si="31"/>
        <v>9482</v>
      </c>
      <c r="C228" s="2">
        <f t="shared" si="24"/>
        <v>500</v>
      </c>
      <c r="D228" s="2">
        <f t="shared" si="25"/>
        <v>9982</v>
      </c>
      <c r="E228" s="2">
        <f t="shared" si="26"/>
        <v>399.28</v>
      </c>
      <c r="F228" s="2">
        <f t="shared" si="27"/>
        <v>399.28</v>
      </c>
      <c r="G228" s="2">
        <f t="shared" si="28"/>
        <v>0</v>
      </c>
      <c r="H228" s="2">
        <f t="shared" si="29"/>
        <v>798.56</v>
      </c>
      <c r="I228" s="2">
        <f t="shared" si="30"/>
        <v>82598.539999999921</v>
      </c>
    </row>
    <row r="229" spans="1:9" x14ac:dyDescent="0.25">
      <c r="A229" s="1">
        <v>50710</v>
      </c>
      <c r="B229" s="2">
        <f t="shared" si="31"/>
        <v>9482</v>
      </c>
      <c r="C229" s="2">
        <f t="shared" si="24"/>
        <v>0</v>
      </c>
      <c r="D229" s="2">
        <f t="shared" si="25"/>
        <v>9482</v>
      </c>
      <c r="E229" s="2">
        <f t="shared" si="26"/>
        <v>379.28</v>
      </c>
      <c r="F229" s="2">
        <f t="shared" si="27"/>
        <v>379.28</v>
      </c>
      <c r="G229" s="2">
        <f t="shared" si="28"/>
        <v>0</v>
      </c>
      <c r="H229" s="2">
        <f t="shared" si="29"/>
        <v>758.56</v>
      </c>
      <c r="I229" s="2">
        <f t="shared" si="30"/>
        <v>83357.099999999919</v>
      </c>
    </row>
    <row r="230" spans="1:9" x14ac:dyDescent="0.25">
      <c r="A230" s="1">
        <v>50740</v>
      </c>
      <c r="B230" s="2">
        <f t="shared" si="31"/>
        <v>9482</v>
      </c>
      <c r="C230" s="2">
        <f t="shared" si="24"/>
        <v>0</v>
      </c>
      <c r="D230" s="2">
        <f t="shared" si="25"/>
        <v>9482</v>
      </c>
      <c r="E230" s="2">
        <f t="shared" si="26"/>
        <v>379.28</v>
      </c>
      <c r="F230" s="2">
        <f t="shared" si="27"/>
        <v>379.28</v>
      </c>
      <c r="G230" s="2">
        <f t="shared" si="28"/>
        <v>240</v>
      </c>
      <c r="H230" s="2">
        <f t="shared" si="29"/>
        <v>758.56</v>
      </c>
      <c r="I230" s="2">
        <f t="shared" si="30"/>
        <v>84355.659999999916</v>
      </c>
    </row>
    <row r="231" spans="1:9" x14ac:dyDescent="0.25">
      <c r="A231" s="1">
        <v>50771</v>
      </c>
      <c r="B231" s="2">
        <f t="shared" si="31"/>
        <v>9720</v>
      </c>
      <c r="C231" s="2">
        <f t="shared" si="24"/>
        <v>500</v>
      </c>
      <c r="D231" s="2">
        <f t="shared" si="25"/>
        <v>10220</v>
      </c>
      <c r="E231" s="2">
        <f t="shared" si="26"/>
        <v>408.8</v>
      </c>
      <c r="F231" s="2">
        <f t="shared" si="27"/>
        <v>408.8</v>
      </c>
      <c r="G231" s="2">
        <f t="shared" si="28"/>
        <v>0</v>
      </c>
      <c r="H231" s="2">
        <f t="shared" si="29"/>
        <v>817.6</v>
      </c>
      <c r="I231" s="2">
        <f t="shared" si="30"/>
        <v>85173.259999999922</v>
      </c>
    </row>
    <row r="232" spans="1:9" x14ac:dyDescent="0.25">
      <c r="A232" s="1">
        <v>50802</v>
      </c>
      <c r="B232" s="2">
        <f t="shared" si="31"/>
        <v>9720</v>
      </c>
      <c r="C232" s="2">
        <f t="shared" si="24"/>
        <v>0</v>
      </c>
      <c r="D232" s="2">
        <f t="shared" si="25"/>
        <v>9720</v>
      </c>
      <c r="E232" s="2">
        <f t="shared" si="26"/>
        <v>388.8</v>
      </c>
      <c r="F232" s="2">
        <f t="shared" si="27"/>
        <v>388.8</v>
      </c>
      <c r="G232" s="2">
        <f t="shared" si="28"/>
        <v>0</v>
      </c>
      <c r="H232" s="2">
        <f t="shared" si="29"/>
        <v>777.6</v>
      </c>
      <c r="I232" s="2">
        <f t="shared" si="30"/>
        <v>85950.859999999928</v>
      </c>
    </row>
    <row r="233" spans="1:9" x14ac:dyDescent="0.25">
      <c r="A233" s="1">
        <v>50830</v>
      </c>
      <c r="B233" s="2">
        <f t="shared" si="31"/>
        <v>9720</v>
      </c>
      <c r="C233" s="2">
        <f t="shared" si="24"/>
        <v>0</v>
      </c>
      <c r="D233" s="2">
        <f t="shared" si="25"/>
        <v>9720</v>
      </c>
      <c r="E233" s="2">
        <f t="shared" si="26"/>
        <v>388.8</v>
      </c>
      <c r="F233" s="2">
        <f t="shared" si="27"/>
        <v>388.8</v>
      </c>
      <c r="G233" s="2">
        <f t="shared" si="28"/>
        <v>0</v>
      </c>
      <c r="H233" s="2">
        <f t="shared" si="29"/>
        <v>777.6</v>
      </c>
      <c r="I233" s="2">
        <f t="shared" si="30"/>
        <v>86728.459999999934</v>
      </c>
    </row>
    <row r="234" spans="1:9" x14ac:dyDescent="0.25">
      <c r="A234" s="1">
        <v>50861</v>
      </c>
      <c r="B234" s="2">
        <f t="shared" si="31"/>
        <v>9720</v>
      </c>
      <c r="C234" s="2">
        <f t="shared" si="24"/>
        <v>500</v>
      </c>
      <c r="D234" s="2">
        <f t="shared" si="25"/>
        <v>10220</v>
      </c>
      <c r="E234" s="2">
        <f t="shared" si="26"/>
        <v>408.8</v>
      </c>
      <c r="F234" s="2">
        <f t="shared" si="27"/>
        <v>408.8</v>
      </c>
      <c r="G234" s="2">
        <f t="shared" si="28"/>
        <v>0</v>
      </c>
      <c r="H234" s="2">
        <f t="shared" si="29"/>
        <v>817.6</v>
      </c>
      <c r="I234" s="2">
        <f t="shared" si="30"/>
        <v>87546.059999999939</v>
      </c>
    </row>
    <row r="235" spans="1:9" x14ac:dyDescent="0.25">
      <c r="A235" s="1">
        <v>50891</v>
      </c>
      <c r="B235" s="2">
        <f t="shared" si="31"/>
        <v>9720</v>
      </c>
      <c r="C235" s="2">
        <f t="shared" si="24"/>
        <v>0</v>
      </c>
      <c r="D235" s="2">
        <f t="shared" si="25"/>
        <v>9720</v>
      </c>
      <c r="E235" s="2">
        <f t="shared" si="26"/>
        <v>388.8</v>
      </c>
      <c r="F235" s="2">
        <f t="shared" si="27"/>
        <v>388.8</v>
      </c>
      <c r="G235" s="2">
        <f t="shared" si="28"/>
        <v>0</v>
      </c>
      <c r="H235" s="2">
        <f t="shared" si="29"/>
        <v>777.6</v>
      </c>
      <c r="I235" s="2">
        <f t="shared" si="30"/>
        <v>88323.659999999945</v>
      </c>
    </row>
    <row r="236" spans="1:9" x14ac:dyDescent="0.25">
      <c r="A236" s="1">
        <v>50922</v>
      </c>
      <c r="B236" s="2">
        <f t="shared" si="31"/>
        <v>9720</v>
      </c>
      <c r="C236" s="2">
        <f t="shared" si="24"/>
        <v>0</v>
      </c>
      <c r="D236" s="2">
        <f t="shared" si="25"/>
        <v>9720</v>
      </c>
      <c r="E236" s="2">
        <f t="shared" si="26"/>
        <v>388.8</v>
      </c>
      <c r="F236" s="2">
        <f t="shared" si="27"/>
        <v>388.8</v>
      </c>
      <c r="G236" s="2">
        <f t="shared" si="28"/>
        <v>0</v>
      </c>
      <c r="H236" s="2">
        <f t="shared" si="29"/>
        <v>777.6</v>
      </c>
      <c r="I236" s="2">
        <f t="shared" si="30"/>
        <v>89101.259999999951</v>
      </c>
    </row>
    <row r="237" spans="1:9" x14ac:dyDescent="0.25">
      <c r="A237" s="1">
        <v>50952</v>
      </c>
      <c r="B237" s="2">
        <f t="shared" si="31"/>
        <v>9720</v>
      </c>
      <c r="C237" s="2">
        <f t="shared" si="24"/>
        <v>500</v>
      </c>
      <c r="D237" s="2">
        <f t="shared" si="25"/>
        <v>10220</v>
      </c>
      <c r="E237" s="2">
        <f t="shared" si="26"/>
        <v>408.8</v>
      </c>
      <c r="F237" s="2">
        <f t="shared" si="27"/>
        <v>408.8</v>
      </c>
      <c r="G237" s="2">
        <f t="shared" si="28"/>
        <v>0</v>
      </c>
      <c r="H237" s="2">
        <f t="shared" si="29"/>
        <v>817.6</v>
      </c>
      <c r="I237" s="2">
        <f t="shared" si="30"/>
        <v>89918.859999999957</v>
      </c>
    </row>
    <row r="238" spans="1:9" x14ac:dyDescent="0.25">
      <c r="A238" s="1">
        <v>50983</v>
      </c>
      <c r="B238" s="2">
        <f t="shared" si="31"/>
        <v>9720</v>
      </c>
      <c r="C238" s="2">
        <f t="shared" si="24"/>
        <v>0</v>
      </c>
      <c r="D238" s="2">
        <f t="shared" si="25"/>
        <v>9720</v>
      </c>
      <c r="E238" s="2">
        <f t="shared" si="26"/>
        <v>388.8</v>
      </c>
      <c r="F238" s="2">
        <f t="shared" si="27"/>
        <v>388.8</v>
      </c>
      <c r="G238" s="2">
        <f t="shared" si="28"/>
        <v>0</v>
      </c>
      <c r="H238" s="2">
        <f t="shared" si="29"/>
        <v>777.6</v>
      </c>
      <c r="I238" s="2">
        <f t="shared" si="30"/>
        <v>90696.459999999963</v>
      </c>
    </row>
    <row r="239" spans="1:9" x14ac:dyDescent="0.25">
      <c r="A239" s="1">
        <v>51014</v>
      </c>
      <c r="B239" s="2">
        <f t="shared" si="31"/>
        <v>9720</v>
      </c>
      <c r="C239" s="2">
        <f t="shared" si="24"/>
        <v>0</v>
      </c>
      <c r="D239" s="2">
        <f t="shared" si="25"/>
        <v>9720</v>
      </c>
      <c r="E239" s="2">
        <f t="shared" si="26"/>
        <v>388.8</v>
      </c>
      <c r="F239" s="2">
        <f t="shared" si="27"/>
        <v>388.8</v>
      </c>
      <c r="G239" s="2">
        <f t="shared" si="28"/>
        <v>0</v>
      </c>
      <c r="H239" s="2">
        <f t="shared" si="29"/>
        <v>777.6</v>
      </c>
      <c r="I239" s="2">
        <f t="shared" si="30"/>
        <v>91474.059999999969</v>
      </c>
    </row>
    <row r="240" spans="1:9" x14ac:dyDescent="0.25">
      <c r="A240" s="1">
        <v>51044</v>
      </c>
      <c r="B240" s="2">
        <f t="shared" si="31"/>
        <v>9720</v>
      </c>
      <c r="C240" s="2">
        <f t="shared" si="24"/>
        <v>500</v>
      </c>
      <c r="D240" s="2">
        <f t="shared" si="25"/>
        <v>10220</v>
      </c>
      <c r="E240" s="2">
        <f t="shared" si="26"/>
        <v>408.8</v>
      </c>
      <c r="F240" s="2">
        <f t="shared" si="27"/>
        <v>408.8</v>
      </c>
      <c r="G240" s="2">
        <f t="shared" si="28"/>
        <v>0</v>
      </c>
      <c r="H240" s="2">
        <f t="shared" si="29"/>
        <v>817.6</v>
      </c>
      <c r="I240" s="2">
        <f t="shared" si="30"/>
        <v>92291.659999999974</v>
      </c>
    </row>
    <row r="241" spans="1:9" x14ac:dyDescent="0.25">
      <c r="A241" s="1">
        <v>51075</v>
      </c>
      <c r="B241" s="2">
        <f t="shared" si="31"/>
        <v>9720</v>
      </c>
      <c r="C241" s="2">
        <f t="shared" si="24"/>
        <v>0</v>
      </c>
      <c r="D241" s="2">
        <f t="shared" si="25"/>
        <v>9720</v>
      </c>
      <c r="E241" s="2">
        <f t="shared" si="26"/>
        <v>388.8</v>
      </c>
      <c r="F241" s="2">
        <f t="shared" si="27"/>
        <v>388.8</v>
      </c>
      <c r="G241" s="2">
        <f t="shared" si="28"/>
        <v>0</v>
      </c>
      <c r="H241" s="2">
        <f t="shared" si="29"/>
        <v>777.6</v>
      </c>
      <c r="I241" s="2">
        <f t="shared" si="30"/>
        <v>93069.25999999998</v>
      </c>
    </row>
    <row r="242" spans="1:9" x14ac:dyDescent="0.25">
      <c r="A242" s="1">
        <v>51105</v>
      </c>
      <c r="B242" s="2">
        <f t="shared" si="31"/>
        <v>9720</v>
      </c>
      <c r="C242" s="2">
        <f t="shared" si="24"/>
        <v>0</v>
      </c>
      <c r="D242" s="2">
        <f t="shared" si="25"/>
        <v>9720</v>
      </c>
      <c r="E242" s="2">
        <f t="shared" si="26"/>
        <v>388.8</v>
      </c>
      <c r="F242" s="2">
        <f t="shared" si="27"/>
        <v>388.8</v>
      </c>
      <c r="G242" s="2">
        <f t="shared" si="28"/>
        <v>240</v>
      </c>
      <c r="H242" s="2">
        <f t="shared" si="29"/>
        <v>777.6</v>
      </c>
      <c r="I242" s="2">
        <f t="shared" si="30"/>
        <v>94086.859999999986</v>
      </c>
    </row>
    <row r="243" spans="1:9" x14ac:dyDescent="0.25">
      <c r="A243" s="1">
        <v>51136</v>
      </c>
      <c r="B243" s="2">
        <f t="shared" si="31"/>
        <v>10463</v>
      </c>
      <c r="C243" s="2">
        <f t="shared" si="24"/>
        <v>500</v>
      </c>
      <c r="D243" s="2">
        <f t="shared" si="25"/>
        <v>10963</v>
      </c>
      <c r="E243" s="2">
        <f t="shared" si="26"/>
        <v>438.52</v>
      </c>
      <c r="F243" s="2">
        <f t="shared" si="27"/>
        <v>438.52</v>
      </c>
      <c r="G243" s="2">
        <f t="shared" si="28"/>
        <v>0</v>
      </c>
      <c r="H243" s="2">
        <f t="shared" si="29"/>
        <v>877.04</v>
      </c>
      <c r="I243" s="2">
        <f t="shared" si="30"/>
        <v>94963.9</v>
      </c>
    </row>
    <row r="244" spans="1:9" x14ac:dyDescent="0.25">
      <c r="A244" s="1">
        <v>51167</v>
      </c>
      <c r="B244" s="2">
        <f t="shared" si="31"/>
        <v>10463</v>
      </c>
      <c r="C244" s="2">
        <f t="shared" si="24"/>
        <v>0</v>
      </c>
      <c r="D244" s="2">
        <f t="shared" si="25"/>
        <v>10463</v>
      </c>
      <c r="E244" s="2">
        <f t="shared" si="26"/>
        <v>418.52</v>
      </c>
      <c r="F244" s="2">
        <f t="shared" si="27"/>
        <v>418.52</v>
      </c>
      <c r="G244" s="2">
        <f t="shared" si="28"/>
        <v>0</v>
      </c>
      <c r="H244" s="2">
        <f t="shared" si="29"/>
        <v>837.04</v>
      </c>
      <c r="I244" s="2">
        <f t="shared" si="30"/>
        <v>95800.94</v>
      </c>
    </row>
    <row r="245" spans="1:9" x14ac:dyDescent="0.25">
      <c r="A245" s="1">
        <v>51196</v>
      </c>
      <c r="B245" s="2">
        <f t="shared" si="31"/>
        <v>10463</v>
      </c>
      <c r="C245" s="2">
        <f t="shared" si="24"/>
        <v>0</v>
      </c>
      <c r="D245" s="2">
        <f t="shared" si="25"/>
        <v>10463</v>
      </c>
      <c r="E245" s="2">
        <f t="shared" si="26"/>
        <v>418.52</v>
      </c>
      <c r="F245" s="2">
        <f t="shared" si="27"/>
        <v>418.52</v>
      </c>
      <c r="G245" s="2">
        <f t="shared" si="28"/>
        <v>0</v>
      </c>
      <c r="H245" s="2">
        <f t="shared" si="29"/>
        <v>837.04</v>
      </c>
      <c r="I245" s="2">
        <f t="shared" si="30"/>
        <v>96637.98000000001</v>
      </c>
    </row>
    <row r="246" spans="1:9" x14ac:dyDescent="0.25">
      <c r="A246" s="1">
        <v>51227</v>
      </c>
      <c r="B246" s="2">
        <f t="shared" si="31"/>
        <v>10463</v>
      </c>
      <c r="C246" s="2">
        <f t="shared" si="24"/>
        <v>500</v>
      </c>
      <c r="D246" s="2">
        <f t="shared" si="25"/>
        <v>10963</v>
      </c>
      <c r="E246" s="2">
        <f t="shared" si="26"/>
        <v>438.52</v>
      </c>
      <c r="F246" s="2">
        <f t="shared" si="27"/>
        <v>438.52</v>
      </c>
      <c r="G246" s="2">
        <f t="shared" si="28"/>
        <v>0</v>
      </c>
      <c r="H246" s="2">
        <f t="shared" si="29"/>
        <v>877.04</v>
      </c>
      <c r="I246" s="2">
        <f t="shared" si="30"/>
        <v>97515.020000000019</v>
      </c>
    </row>
    <row r="247" spans="1:9" x14ac:dyDescent="0.25">
      <c r="A247" s="1">
        <v>51257</v>
      </c>
      <c r="B247" s="2">
        <f t="shared" si="31"/>
        <v>10463</v>
      </c>
      <c r="C247" s="2">
        <f t="shared" si="24"/>
        <v>0</v>
      </c>
      <c r="D247" s="2">
        <f t="shared" si="25"/>
        <v>10463</v>
      </c>
      <c r="E247" s="2">
        <f t="shared" si="26"/>
        <v>418.52</v>
      </c>
      <c r="F247" s="2">
        <f t="shared" si="27"/>
        <v>418.52</v>
      </c>
      <c r="G247" s="2">
        <f t="shared" si="28"/>
        <v>0</v>
      </c>
      <c r="H247" s="2">
        <f t="shared" si="29"/>
        <v>837.04</v>
      </c>
      <c r="I247" s="2">
        <f t="shared" si="30"/>
        <v>98352.060000000027</v>
      </c>
    </row>
    <row r="248" spans="1:9" x14ac:dyDescent="0.25">
      <c r="A248" s="1">
        <v>51288</v>
      </c>
      <c r="B248" s="2">
        <f t="shared" si="31"/>
        <v>10463</v>
      </c>
      <c r="C248" s="2">
        <f t="shared" si="24"/>
        <v>0</v>
      </c>
      <c r="D248" s="2">
        <f t="shared" si="25"/>
        <v>10463</v>
      </c>
      <c r="E248" s="2">
        <f t="shared" si="26"/>
        <v>418.52</v>
      </c>
      <c r="F248" s="2">
        <f t="shared" si="27"/>
        <v>418.52</v>
      </c>
      <c r="G248" s="2">
        <f t="shared" si="28"/>
        <v>0</v>
      </c>
      <c r="H248" s="2">
        <f t="shared" si="29"/>
        <v>837.04</v>
      </c>
      <c r="I248" s="2">
        <f t="shared" si="30"/>
        <v>99189.100000000035</v>
      </c>
    </row>
    <row r="249" spans="1:9" x14ac:dyDescent="0.25">
      <c r="A249" s="1">
        <v>51318</v>
      </c>
      <c r="B249" s="2">
        <f t="shared" si="31"/>
        <v>10463</v>
      </c>
      <c r="C249" s="2">
        <f t="shared" si="24"/>
        <v>500</v>
      </c>
      <c r="D249" s="2">
        <f t="shared" si="25"/>
        <v>10963</v>
      </c>
      <c r="E249" s="2">
        <f t="shared" si="26"/>
        <v>438.52</v>
      </c>
      <c r="F249" s="2">
        <f t="shared" si="27"/>
        <v>438.52</v>
      </c>
      <c r="G249" s="2">
        <f t="shared" si="28"/>
        <v>0</v>
      </c>
      <c r="H249" s="2">
        <f t="shared" si="29"/>
        <v>877.04</v>
      </c>
      <c r="I249" s="2">
        <f t="shared" si="30"/>
        <v>100066.14000000004</v>
      </c>
    </row>
    <row r="250" spans="1:9" x14ac:dyDescent="0.25">
      <c r="A250" s="1">
        <v>51349</v>
      </c>
      <c r="B250" s="2">
        <f t="shared" si="31"/>
        <v>10463</v>
      </c>
      <c r="C250" s="2">
        <f t="shared" si="24"/>
        <v>0</v>
      </c>
      <c r="D250" s="2">
        <f t="shared" si="25"/>
        <v>10463</v>
      </c>
      <c r="E250" s="2">
        <f t="shared" si="26"/>
        <v>418.52</v>
      </c>
      <c r="F250" s="2">
        <f t="shared" si="27"/>
        <v>418.52</v>
      </c>
      <c r="G250" s="2">
        <f t="shared" si="28"/>
        <v>0</v>
      </c>
      <c r="H250" s="2">
        <f t="shared" si="29"/>
        <v>837.04</v>
      </c>
      <c r="I250" s="2">
        <f t="shared" si="30"/>
        <v>100903.18000000005</v>
      </c>
    </row>
    <row r="251" spans="1:9" x14ac:dyDescent="0.25">
      <c r="A251" s="1">
        <v>51380</v>
      </c>
      <c r="B251" s="2">
        <f t="shared" si="31"/>
        <v>10463</v>
      </c>
      <c r="C251" s="2">
        <f t="shared" si="24"/>
        <v>0</v>
      </c>
      <c r="D251" s="2">
        <f t="shared" si="25"/>
        <v>10463</v>
      </c>
      <c r="E251" s="2">
        <f t="shared" si="26"/>
        <v>418.52</v>
      </c>
      <c r="F251" s="2">
        <f t="shared" si="27"/>
        <v>418.52</v>
      </c>
      <c r="G251" s="2">
        <f t="shared" si="28"/>
        <v>0</v>
      </c>
      <c r="H251" s="2">
        <f t="shared" si="29"/>
        <v>837.04</v>
      </c>
      <c r="I251" s="2">
        <f t="shared" si="30"/>
        <v>101740.22000000006</v>
      </c>
    </row>
    <row r="252" spans="1:9" x14ac:dyDescent="0.25">
      <c r="A252" s="1">
        <v>51410</v>
      </c>
      <c r="B252" s="2">
        <f t="shared" si="31"/>
        <v>10463</v>
      </c>
      <c r="C252" s="2">
        <f t="shared" si="24"/>
        <v>500</v>
      </c>
      <c r="D252" s="2">
        <f t="shared" si="25"/>
        <v>10963</v>
      </c>
      <c r="E252" s="2">
        <f t="shared" si="26"/>
        <v>438.52</v>
      </c>
      <c r="F252" s="2">
        <f t="shared" si="27"/>
        <v>438.52</v>
      </c>
      <c r="G252" s="2">
        <f t="shared" si="28"/>
        <v>0</v>
      </c>
      <c r="H252" s="2">
        <f t="shared" si="29"/>
        <v>877.04</v>
      </c>
      <c r="I252" s="2">
        <f t="shared" si="30"/>
        <v>102617.26000000007</v>
      </c>
    </row>
    <row r="253" spans="1:9" x14ac:dyDescent="0.25">
      <c r="A253" s="1">
        <v>51441</v>
      </c>
      <c r="B253" s="2">
        <f t="shared" si="31"/>
        <v>10463</v>
      </c>
      <c r="C253" s="2">
        <f t="shared" si="24"/>
        <v>0</v>
      </c>
      <c r="D253" s="2">
        <f t="shared" si="25"/>
        <v>10463</v>
      </c>
      <c r="E253" s="2">
        <f t="shared" si="26"/>
        <v>418.52</v>
      </c>
      <c r="F253" s="2">
        <f t="shared" si="27"/>
        <v>418.52</v>
      </c>
      <c r="G253" s="2">
        <f t="shared" si="28"/>
        <v>0</v>
      </c>
      <c r="H253" s="2">
        <f t="shared" si="29"/>
        <v>837.04</v>
      </c>
      <c r="I253" s="2">
        <f t="shared" si="30"/>
        <v>103454.30000000008</v>
      </c>
    </row>
    <row r="254" spans="1:9" x14ac:dyDescent="0.25">
      <c r="A254" s="1">
        <v>51471</v>
      </c>
      <c r="B254" s="2">
        <f t="shared" si="31"/>
        <v>10463</v>
      </c>
      <c r="C254" s="2">
        <f t="shared" si="24"/>
        <v>0</v>
      </c>
      <c r="D254" s="2">
        <f t="shared" si="25"/>
        <v>10463</v>
      </c>
      <c r="E254" s="2">
        <f t="shared" si="26"/>
        <v>418.52</v>
      </c>
      <c r="F254" s="2">
        <f t="shared" si="27"/>
        <v>418.52</v>
      </c>
      <c r="G254" s="2">
        <f t="shared" si="28"/>
        <v>240</v>
      </c>
      <c r="H254" s="2">
        <f t="shared" si="29"/>
        <v>837.04</v>
      </c>
      <c r="I254" s="2">
        <f t="shared" si="30"/>
        <v>104531.34000000008</v>
      </c>
    </row>
    <row r="255" spans="1:9" x14ac:dyDescent="0.25">
      <c r="A255" s="1">
        <v>51502</v>
      </c>
      <c r="B255" s="2">
        <f t="shared" si="31"/>
        <v>10725</v>
      </c>
      <c r="C255" s="2">
        <f t="shared" si="24"/>
        <v>500</v>
      </c>
      <c r="D255" s="2">
        <f t="shared" si="25"/>
        <v>11225</v>
      </c>
      <c r="E255" s="2">
        <f t="shared" si="26"/>
        <v>449</v>
      </c>
      <c r="F255" s="2">
        <f t="shared" si="27"/>
        <v>449</v>
      </c>
      <c r="G255" s="2">
        <f t="shared" si="28"/>
        <v>0</v>
      </c>
      <c r="H255" s="2">
        <f t="shared" si="29"/>
        <v>898</v>
      </c>
      <c r="I255" s="2">
        <f t="shared" si="30"/>
        <v>105429.34000000008</v>
      </c>
    </row>
    <row r="256" spans="1:9" x14ac:dyDescent="0.25">
      <c r="A256" s="1">
        <v>51533</v>
      </c>
      <c r="B256" s="2">
        <f t="shared" si="31"/>
        <v>10725</v>
      </c>
      <c r="C256" s="2">
        <f t="shared" si="24"/>
        <v>0</v>
      </c>
      <c r="D256" s="2">
        <f t="shared" si="25"/>
        <v>10725</v>
      </c>
      <c r="E256" s="2">
        <f t="shared" si="26"/>
        <v>429</v>
      </c>
      <c r="F256" s="2">
        <f t="shared" si="27"/>
        <v>429</v>
      </c>
      <c r="G256" s="2">
        <f t="shared" si="28"/>
        <v>0</v>
      </c>
      <c r="H256" s="2">
        <f t="shared" si="29"/>
        <v>858</v>
      </c>
      <c r="I256" s="2">
        <f t="shared" si="30"/>
        <v>106287.34000000008</v>
      </c>
    </row>
    <row r="257" spans="1:9" x14ac:dyDescent="0.25">
      <c r="A257" s="1">
        <v>51561</v>
      </c>
      <c r="B257" s="2">
        <f t="shared" si="31"/>
        <v>10725</v>
      </c>
      <c r="C257" s="2">
        <f t="shared" si="24"/>
        <v>0</v>
      </c>
      <c r="D257" s="2">
        <f t="shared" si="25"/>
        <v>10725</v>
      </c>
      <c r="E257" s="2">
        <f t="shared" si="26"/>
        <v>429</v>
      </c>
      <c r="F257" s="2">
        <f t="shared" si="27"/>
        <v>429</v>
      </c>
      <c r="G257" s="2">
        <f t="shared" si="28"/>
        <v>0</v>
      </c>
      <c r="H257" s="2">
        <f t="shared" si="29"/>
        <v>858</v>
      </c>
      <c r="I257" s="2">
        <f t="shared" si="30"/>
        <v>107145.34000000008</v>
      </c>
    </row>
    <row r="258" spans="1:9" x14ac:dyDescent="0.25">
      <c r="A258" s="1">
        <v>51592</v>
      </c>
      <c r="B258" s="2">
        <f t="shared" si="31"/>
        <v>10725</v>
      </c>
      <c r="C258" s="2">
        <f t="shared" si="24"/>
        <v>500</v>
      </c>
      <c r="D258" s="2">
        <f t="shared" si="25"/>
        <v>11225</v>
      </c>
      <c r="E258" s="2">
        <f t="shared" si="26"/>
        <v>449</v>
      </c>
      <c r="F258" s="2">
        <f t="shared" si="27"/>
        <v>449</v>
      </c>
      <c r="G258" s="2">
        <f t="shared" si="28"/>
        <v>0</v>
      </c>
      <c r="H258" s="2">
        <f t="shared" si="29"/>
        <v>898</v>
      </c>
      <c r="I258" s="2">
        <f t="shared" si="30"/>
        <v>108043.34000000008</v>
      </c>
    </row>
    <row r="259" spans="1:9" x14ac:dyDescent="0.25">
      <c r="A259" s="1">
        <v>51622</v>
      </c>
      <c r="B259" s="2">
        <f t="shared" si="31"/>
        <v>10725</v>
      </c>
      <c r="C259" s="2">
        <f t="shared" si="24"/>
        <v>0</v>
      </c>
      <c r="D259" s="2">
        <f t="shared" si="25"/>
        <v>10725</v>
      </c>
      <c r="E259" s="2">
        <f t="shared" si="26"/>
        <v>429</v>
      </c>
      <c r="F259" s="2">
        <f t="shared" si="27"/>
        <v>429</v>
      </c>
      <c r="G259" s="2">
        <f t="shared" si="28"/>
        <v>0</v>
      </c>
      <c r="H259" s="2">
        <f t="shared" si="29"/>
        <v>858</v>
      </c>
      <c r="I259" s="2">
        <f t="shared" si="30"/>
        <v>108901.34000000008</v>
      </c>
    </row>
    <row r="260" spans="1:9" x14ac:dyDescent="0.25">
      <c r="A260" s="1">
        <v>51653</v>
      </c>
      <c r="B260" s="2">
        <f t="shared" si="31"/>
        <v>10725</v>
      </c>
      <c r="C260" s="2">
        <f t="shared" ref="C260:C323" si="32">IF(AND(OR(MONTH(A260)=1,MONTH(A260)=4,MONTH(A260)=7,MONTH(A260)=10),DATE(2020,1,1)&lt;&gt;A260),500,0)</f>
        <v>0</v>
      </c>
      <c r="D260" s="2">
        <f t="shared" ref="D260:D323" si="33">B260+C260</f>
        <v>10725</v>
      </c>
      <c r="E260" s="2">
        <f t="shared" ref="E260:E323" si="34">IF(B260&gt;8000,ROUND(D260*(0.02+0.02),2),ROUND(D260*(0.02),2))</f>
        <v>429</v>
      </c>
      <c r="F260" s="2">
        <f t="shared" ref="F260:F323" si="35">IF(B260&gt;8000,ROUND(D260*0.04,2),ROUND(D260*0.015,2))</f>
        <v>429</v>
      </c>
      <c r="G260" s="2">
        <f t="shared" ref="G260:G323" si="36">IF(MONTH(A260)=12,240,0)</f>
        <v>0</v>
      </c>
      <c r="H260" s="2">
        <f t="shared" ref="H260:H323" si="37">E260+F260</f>
        <v>858</v>
      </c>
      <c r="I260" s="2">
        <f t="shared" ref="I260:I323" si="38">I259+E260+F260+G260</f>
        <v>109759.34000000008</v>
      </c>
    </row>
    <row r="261" spans="1:9" x14ac:dyDescent="0.25">
      <c r="A261" s="1">
        <v>51683</v>
      </c>
      <c r="B261" s="2">
        <f t="shared" ref="B261:B324" si="39">IF(YEAR($A261) &gt; YEAR($A260),IF(AND(MOD(YEAR(A261),4)=0,YEAR(A261)&lt;&gt;2020),ROUNDUP($B260*1.025,0)+500,ROUNDUP($B260*1.025,0)),$B260)</f>
        <v>10725</v>
      </c>
      <c r="C261" s="2">
        <f t="shared" si="32"/>
        <v>500</v>
      </c>
      <c r="D261" s="2">
        <f t="shared" si="33"/>
        <v>11225</v>
      </c>
      <c r="E261" s="2">
        <f t="shared" si="34"/>
        <v>449</v>
      </c>
      <c r="F261" s="2">
        <f t="shared" si="35"/>
        <v>449</v>
      </c>
      <c r="G261" s="2">
        <f t="shared" si="36"/>
        <v>0</v>
      </c>
      <c r="H261" s="2">
        <f t="shared" si="37"/>
        <v>898</v>
      </c>
      <c r="I261" s="2">
        <f t="shared" si="38"/>
        <v>110657.34000000008</v>
      </c>
    </row>
    <row r="262" spans="1:9" x14ac:dyDescent="0.25">
      <c r="A262" s="1">
        <v>51714</v>
      </c>
      <c r="B262" s="2">
        <f t="shared" si="39"/>
        <v>10725</v>
      </c>
      <c r="C262" s="2">
        <f t="shared" si="32"/>
        <v>0</v>
      </c>
      <c r="D262" s="2">
        <f t="shared" si="33"/>
        <v>10725</v>
      </c>
      <c r="E262" s="2">
        <f t="shared" si="34"/>
        <v>429</v>
      </c>
      <c r="F262" s="2">
        <f t="shared" si="35"/>
        <v>429</v>
      </c>
      <c r="G262" s="2">
        <f t="shared" si="36"/>
        <v>0</v>
      </c>
      <c r="H262" s="2">
        <f t="shared" si="37"/>
        <v>858</v>
      </c>
      <c r="I262" s="2">
        <f t="shared" si="38"/>
        <v>111515.34000000008</v>
      </c>
    </row>
    <row r="263" spans="1:9" x14ac:dyDescent="0.25">
      <c r="A263" s="1">
        <v>51745</v>
      </c>
      <c r="B263" s="2">
        <f t="shared" si="39"/>
        <v>10725</v>
      </c>
      <c r="C263" s="2">
        <f t="shared" si="32"/>
        <v>0</v>
      </c>
      <c r="D263" s="2">
        <f t="shared" si="33"/>
        <v>10725</v>
      </c>
      <c r="E263" s="2">
        <f t="shared" si="34"/>
        <v>429</v>
      </c>
      <c r="F263" s="2">
        <f t="shared" si="35"/>
        <v>429</v>
      </c>
      <c r="G263" s="2">
        <f t="shared" si="36"/>
        <v>0</v>
      </c>
      <c r="H263" s="2">
        <f t="shared" si="37"/>
        <v>858</v>
      </c>
      <c r="I263" s="2">
        <f t="shared" si="38"/>
        <v>112373.34000000008</v>
      </c>
    </row>
    <row r="264" spans="1:9" x14ac:dyDescent="0.25">
      <c r="A264" s="1">
        <v>51775</v>
      </c>
      <c r="B264" s="2">
        <f t="shared" si="39"/>
        <v>10725</v>
      </c>
      <c r="C264" s="2">
        <f t="shared" si="32"/>
        <v>500</v>
      </c>
      <c r="D264" s="2">
        <f t="shared" si="33"/>
        <v>11225</v>
      </c>
      <c r="E264" s="2">
        <f t="shared" si="34"/>
        <v>449</v>
      </c>
      <c r="F264" s="2">
        <f t="shared" si="35"/>
        <v>449</v>
      </c>
      <c r="G264" s="2">
        <f t="shared" si="36"/>
        <v>0</v>
      </c>
      <c r="H264" s="2">
        <f t="shared" si="37"/>
        <v>898</v>
      </c>
      <c r="I264" s="2">
        <f t="shared" si="38"/>
        <v>113271.34000000008</v>
      </c>
    </row>
    <row r="265" spans="1:9" x14ac:dyDescent="0.25">
      <c r="A265" s="1">
        <v>51806</v>
      </c>
      <c r="B265" s="2">
        <f t="shared" si="39"/>
        <v>10725</v>
      </c>
      <c r="C265" s="2">
        <f t="shared" si="32"/>
        <v>0</v>
      </c>
      <c r="D265" s="2">
        <f t="shared" si="33"/>
        <v>10725</v>
      </c>
      <c r="E265" s="2">
        <f t="shared" si="34"/>
        <v>429</v>
      </c>
      <c r="F265" s="2">
        <f t="shared" si="35"/>
        <v>429</v>
      </c>
      <c r="G265" s="2">
        <f t="shared" si="36"/>
        <v>0</v>
      </c>
      <c r="H265" s="2">
        <f t="shared" si="37"/>
        <v>858</v>
      </c>
      <c r="I265" s="2">
        <f t="shared" si="38"/>
        <v>114129.34000000008</v>
      </c>
    </row>
    <row r="266" spans="1:9" x14ac:dyDescent="0.25">
      <c r="A266" s="1">
        <v>51836</v>
      </c>
      <c r="B266" s="2">
        <f t="shared" si="39"/>
        <v>10725</v>
      </c>
      <c r="C266" s="2">
        <f t="shared" si="32"/>
        <v>0</v>
      </c>
      <c r="D266" s="2">
        <f t="shared" si="33"/>
        <v>10725</v>
      </c>
      <c r="E266" s="2">
        <f t="shared" si="34"/>
        <v>429</v>
      </c>
      <c r="F266" s="2">
        <f t="shared" si="35"/>
        <v>429</v>
      </c>
      <c r="G266" s="2">
        <f t="shared" si="36"/>
        <v>240</v>
      </c>
      <c r="H266" s="2">
        <f t="shared" si="37"/>
        <v>858</v>
      </c>
      <c r="I266" s="2">
        <f t="shared" si="38"/>
        <v>115227.34000000008</v>
      </c>
    </row>
    <row r="267" spans="1:9" x14ac:dyDescent="0.25">
      <c r="A267" s="1">
        <v>51867</v>
      </c>
      <c r="B267" s="2">
        <f t="shared" si="39"/>
        <v>10994</v>
      </c>
      <c r="C267" s="2">
        <f t="shared" si="32"/>
        <v>500</v>
      </c>
      <c r="D267" s="2">
        <f t="shared" si="33"/>
        <v>11494</v>
      </c>
      <c r="E267" s="2">
        <f t="shared" si="34"/>
        <v>459.76</v>
      </c>
      <c r="F267" s="2">
        <f t="shared" si="35"/>
        <v>459.76</v>
      </c>
      <c r="G267" s="2">
        <f t="shared" si="36"/>
        <v>0</v>
      </c>
      <c r="H267" s="2">
        <f t="shared" si="37"/>
        <v>919.52</v>
      </c>
      <c r="I267" s="2">
        <f t="shared" si="38"/>
        <v>116146.86000000007</v>
      </c>
    </row>
    <row r="268" spans="1:9" x14ac:dyDescent="0.25">
      <c r="A268" s="1">
        <v>51898</v>
      </c>
      <c r="B268" s="2">
        <f t="shared" si="39"/>
        <v>10994</v>
      </c>
      <c r="C268" s="2">
        <f t="shared" si="32"/>
        <v>0</v>
      </c>
      <c r="D268" s="2">
        <f t="shared" si="33"/>
        <v>10994</v>
      </c>
      <c r="E268" s="2">
        <f t="shared" si="34"/>
        <v>439.76</v>
      </c>
      <c r="F268" s="2">
        <f t="shared" si="35"/>
        <v>439.76</v>
      </c>
      <c r="G268" s="2">
        <f t="shared" si="36"/>
        <v>0</v>
      </c>
      <c r="H268" s="2">
        <f t="shared" si="37"/>
        <v>879.52</v>
      </c>
      <c r="I268" s="2">
        <f t="shared" si="38"/>
        <v>117026.38000000006</v>
      </c>
    </row>
    <row r="269" spans="1:9" x14ac:dyDescent="0.25">
      <c r="A269" s="1">
        <v>51926</v>
      </c>
      <c r="B269" s="2">
        <f t="shared" si="39"/>
        <v>10994</v>
      </c>
      <c r="C269" s="2">
        <f t="shared" si="32"/>
        <v>0</v>
      </c>
      <c r="D269" s="2">
        <f t="shared" si="33"/>
        <v>10994</v>
      </c>
      <c r="E269" s="2">
        <f t="shared" si="34"/>
        <v>439.76</v>
      </c>
      <c r="F269" s="2">
        <f t="shared" si="35"/>
        <v>439.76</v>
      </c>
      <c r="G269" s="2">
        <f t="shared" si="36"/>
        <v>0</v>
      </c>
      <c r="H269" s="2">
        <f t="shared" si="37"/>
        <v>879.52</v>
      </c>
      <c r="I269" s="2">
        <f t="shared" si="38"/>
        <v>117905.90000000005</v>
      </c>
    </row>
    <row r="270" spans="1:9" x14ac:dyDescent="0.25">
      <c r="A270" s="1">
        <v>51957</v>
      </c>
      <c r="B270" s="2">
        <f t="shared" si="39"/>
        <v>10994</v>
      </c>
      <c r="C270" s="2">
        <f t="shared" si="32"/>
        <v>500</v>
      </c>
      <c r="D270" s="2">
        <f t="shared" si="33"/>
        <v>11494</v>
      </c>
      <c r="E270" s="2">
        <f t="shared" si="34"/>
        <v>459.76</v>
      </c>
      <c r="F270" s="2">
        <f t="shared" si="35"/>
        <v>459.76</v>
      </c>
      <c r="G270" s="2">
        <f t="shared" si="36"/>
        <v>0</v>
      </c>
      <c r="H270" s="2">
        <f t="shared" si="37"/>
        <v>919.52</v>
      </c>
      <c r="I270" s="2">
        <f t="shared" si="38"/>
        <v>118825.42000000004</v>
      </c>
    </row>
    <row r="271" spans="1:9" x14ac:dyDescent="0.25">
      <c r="A271" s="1">
        <v>51987</v>
      </c>
      <c r="B271" s="2">
        <f t="shared" si="39"/>
        <v>10994</v>
      </c>
      <c r="C271" s="2">
        <f t="shared" si="32"/>
        <v>0</v>
      </c>
      <c r="D271" s="2">
        <f t="shared" si="33"/>
        <v>10994</v>
      </c>
      <c r="E271" s="2">
        <f t="shared" si="34"/>
        <v>439.76</v>
      </c>
      <c r="F271" s="2">
        <f t="shared" si="35"/>
        <v>439.76</v>
      </c>
      <c r="G271" s="2">
        <f t="shared" si="36"/>
        <v>0</v>
      </c>
      <c r="H271" s="2">
        <f t="shared" si="37"/>
        <v>879.52</v>
      </c>
      <c r="I271" s="2">
        <f t="shared" si="38"/>
        <v>119704.94000000003</v>
      </c>
    </row>
    <row r="272" spans="1:9" x14ac:dyDescent="0.25">
      <c r="A272" s="1">
        <v>52018</v>
      </c>
      <c r="B272" s="2">
        <f t="shared" si="39"/>
        <v>10994</v>
      </c>
      <c r="C272" s="2">
        <f t="shared" si="32"/>
        <v>0</v>
      </c>
      <c r="D272" s="2">
        <f t="shared" si="33"/>
        <v>10994</v>
      </c>
      <c r="E272" s="2">
        <f t="shared" si="34"/>
        <v>439.76</v>
      </c>
      <c r="F272" s="2">
        <f t="shared" si="35"/>
        <v>439.76</v>
      </c>
      <c r="G272" s="2">
        <f t="shared" si="36"/>
        <v>0</v>
      </c>
      <c r="H272" s="2">
        <f t="shared" si="37"/>
        <v>879.52</v>
      </c>
      <c r="I272" s="2">
        <f t="shared" si="38"/>
        <v>120584.46000000002</v>
      </c>
    </row>
    <row r="273" spans="1:9" x14ac:dyDescent="0.25">
      <c r="A273" s="1">
        <v>52048</v>
      </c>
      <c r="B273" s="2">
        <f t="shared" si="39"/>
        <v>10994</v>
      </c>
      <c r="C273" s="2">
        <f t="shared" si="32"/>
        <v>500</v>
      </c>
      <c r="D273" s="2">
        <f t="shared" si="33"/>
        <v>11494</v>
      </c>
      <c r="E273" s="2">
        <f t="shared" si="34"/>
        <v>459.76</v>
      </c>
      <c r="F273" s="2">
        <f t="shared" si="35"/>
        <v>459.76</v>
      </c>
      <c r="G273" s="2">
        <f t="shared" si="36"/>
        <v>0</v>
      </c>
      <c r="H273" s="2">
        <f t="shared" si="37"/>
        <v>919.52</v>
      </c>
      <c r="I273" s="2">
        <f t="shared" si="38"/>
        <v>121503.98000000001</v>
      </c>
    </row>
    <row r="274" spans="1:9" x14ac:dyDescent="0.25">
      <c r="A274" s="1">
        <v>52079</v>
      </c>
      <c r="B274" s="2">
        <f t="shared" si="39"/>
        <v>10994</v>
      </c>
      <c r="C274" s="2">
        <f t="shared" si="32"/>
        <v>0</v>
      </c>
      <c r="D274" s="2">
        <f t="shared" si="33"/>
        <v>10994</v>
      </c>
      <c r="E274" s="2">
        <f t="shared" si="34"/>
        <v>439.76</v>
      </c>
      <c r="F274" s="2">
        <f t="shared" si="35"/>
        <v>439.76</v>
      </c>
      <c r="G274" s="2">
        <f t="shared" si="36"/>
        <v>0</v>
      </c>
      <c r="H274" s="2">
        <f t="shared" si="37"/>
        <v>879.52</v>
      </c>
      <c r="I274" s="2">
        <f t="shared" si="38"/>
        <v>122383.5</v>
      </c>
    </row>
    <row r="275" spans="1:9" x14ac:dyDescent="0.25">
      <c r="A275" s="1">
        <v>52110</v>
      </c>
      <c r="B275" s="2">
        <f t="shared" si="39"/>
        <v>10994</v>
      </c>
      <c r="C275" s="2">
        <f t="shared" si="32"/>
        <v>0</v>
      </c>
      <c r="D275" s="2">
        <f t="shared" si="33"/>
        <v>10994</v>
      </c>
      <c r="E275" s="2">
        <f t="shared" si="34"/>
        <v>439.76</v>
      </c>
      <c r="F275" s="2">
        <f t="shared" si="35"/>
        <v>439.76</v>
      </c>
      <c r="G275" s="2">
        <f t="shared" si="36"/>
        <v>0</v>
      </c>
      <c r="H275" s="2">
        <f t="shared" si="37"/>
        <v>879.52</v>
      </c>
      <c r="I275" s="2">
        <f t="shared" si="38"/>
        <v>123263.01999999999</v>
      </c>
    </row>
    <row r="276" spans="1:9" x14ac:dyDescent="0.25">
      <c r="A276" s="1">
        <v>52140</v>
      </c>
      <c r="B276" s="2">
        <f t="shared" si="39"/>
        <v>10994</v>
      </c>
      <c r="C276" s="2">
        <f t="shared" si="32"/>
        <v>500</v>
      </c>
      <c r="D276" s="2">
        <f t="shared" si="33"/>
        <v>11494</v>
      </c>
      <c r="E276" s="2">
        <f t="shared" si="34"/>
        <v>459.76</v>
      </c>
      <c r="F276" s="2">
        <f t="shared" si="35"/>
        <v>459.76</v>
      </c>
      <c r="G276" s="2">
        <f t="shared" si="36"/>
        <v>0</v>
      </c>
      <c r="H276" s="2">
        <f t="shared" si="37"/>
        <v>919.52</v>
      </c>
      <c r="I276" s="2">
        <f t="shared" si="38"/>
        <v>124182.53999999998</v>
      </c>
    </row>
    <row r="277" spans="1:9" x14ac:dyDescent="0.25">
      <c r="A277" s="1">
        <v>52171</v>
      </c>
      <c r="B277" s="2">
        <f t="shared" si="39"/>
        <v>10994</v>
      </c>
      <c r="C277" s="2">
        <f t="shared" si="32"/>
        <v>0</v>
      </c>
      <c r="D277" s="2">
        <f t="shared" si="33"/>
        <v>10994</v>
      </c>
      <c r="E277" s="2">
        <f t="shared" si="34"/>
        <v>439.76</v>
      </c>
      <c r="F277" s="2">
        <f t="shared" si="35"/>
        <v>439.76</v>
      </c>
      <c r="G277" s="2">
        <f t="shared" si="36"/>
        <v>0</v>
      </c>
      <c r="H277" s="2">
        <f t="shared" si="37"/>
        <v>879.52</v>
      </c>
      <c r="I277" s="2">
        <f t="shared" si="38"/>
        <v>125062.05999999997</v>
      </c>
    </row>
    <row r="278" spans="1:9" x14ac:dyDescent="0.25">
      <c r="A278" s="1">
        <v>52201</v>
      </c>
      <c r="B278" s="2">
        <f t="shared" si="39"/>
        <v>10994</v>
      </c>
      <c r="C278" s="2">
        <f t="shared" si="32"/>
        <v>0</v>
      </c>
      <c r="D278" s="2">
        <f t="shared" si="33"/>
        <v>10994</v>
      </c>
      <c r="E278" s="2">
        <f t="shared" si="34"/>
        <v>439.76</v>
      </c>
      <c r="F278" s="2">
        <f t="shared" si="35"/>
        <v>439.76</v>
      </c>
      <c r="G278" s="2">
        <f t="shared" si="36"/>
        <v>240</v>
      </c>
      <c r="H278" s="2">
        <f t="shared" si="37"/>
        <v>879.52</v>
      </c>
      <c r="I278" s="2">
        <f t="shared" si="38"/>
        <v>126181.57999999996</v>
      </c>
    </row>
    <row r="279" spans="1:9" x14ac:dyDescent="0.25">
      <c r="A279" s="1">
        <v>52232</v>
      </c>
      <c r="B279" s="2">
        <f t="shared" si="39"/>
        <v>11269</v>
      </c>
      <c r="C279" s="2">
        <f t="shared" si="32"/>
        <v>500</v>
      </c>
      <c r="D279" s="2">
        <f t="shared" si="33"/>
        <v>11769</v>
      </c>
      <c r="E279" s="2">
        <f t="shared" si="34"/>
        <v>470.76</v>
      </c>
      <c r="F279" s="2">
        <f t="shared" si="35"/>
        <v>470.76</v>
      </c>
      <c r="G279" s="2">
        <f t="shared" si="36"/>
        <v>0</v>
      </c>
      <c r="H279" s="2">
        <f t="shared" si="37"/>
        <v>941.52</v>
      </c>
      <c r="I279" s="2">
        <f t="shared" si="38"/>
        <v>127123.09999999995</v>
      </c>
    </row>
    <row r="280" spans="1:9" x14ac:dyDescent="0.25">
      <c r="A280" s="1">
        <v>52263</v>
      </c>
      <c r="B280" s="2">
        <f t="shared" si="39"/>
        <v>11269</v>
      </c>
      <c r="C280" s="2">
        <f t="shared" si="32"/>
        <v>0</v>
      </c>
      <c r="D280" s="2">
        <f t="shared" si="33"/>
        <v>11269</v>
      </c>
      <c r="E280" s="2">
        <f t="shared" si="34"/>
        <v>450.76</v>
      </c>
      <c r="F280" s="2">
        <f t="shared" si="35"/>
        <v>450.76</v>
      </c>
      <c r="G280" s="2">
        <f t="shared" si="36"/>
        <v>0</v>
      </c>
      <c r="H280" s="2">
        <f t="shared" si="37"/>
        <v>901.52</v>
      </c>
      <c r="I280" s="2">
        <f t="shared" si="38"/>
        <v>128024.61999999994</v>
      </c>
    </row>
    <row r="281" spans="1:9" x14ac:dyDescent="0.25">
      <c r="A281" s="1">
        <v>52291</v>
      </c>
      <c r="B281" s="2">
        <f t="shared" si="39"/>
        <v>11269</v>
      </c>
      <c r="C281" s="2">
        <f t="shared" si="32"/>
        <v>0</v>
      </c>
      <c r="D281" s="2">
        <f t="shared" si="33"/>
        <v>11269</v>
      </c>
      <c r="E281" s="2">
        <f t="shared" si="34"/>
        <v>450.76</v>
      </c>
      <c r="F281" s="2">
        <f t="shared" si="35"/>
        <v>450.76</v>
      </c>
      <c r="G281" s="2">
        <f t="shared" si="36"/>
        <v>0</v>
      </c>
      <c r="H281" s="2">
        <f t="shared" si="37"/>
        <v>901.52</v>
      </c>
      <c r="I281" s="2">
        <f t="shared" si="38"/>
        <v>128926.13999999993</v>
      </c>
    </row>
    <row r="282" spans="1:9" x14ac:dyDescent="0.25">
      <c r="A282" s="1">
        <v>52322</v>
      </c>
      <c r="B282" s="2">
        <f t="shared" si="39"/>
        <v>11269</v>
      </c>
      <c r="C282" s="2">
        <f t="shared" si="32"/>
        <v>500</v>
      </c>
      <c r="D282" s="2">
        <f t="shared" si="33"/>
        <v>11769</v>
      </c>
      <c r="E282" s="2">
        <f t="shared" si="34"/>
        <v>470.76</v>
      </c>
      <c r="F282" s="2">
        <f t="shared" si="35"/>
        <v>470.76</v>
      </c>
      <c r="G282" s="2">
        <f t="shared" si="36"/>
        <v>0</v>
      </c>
      <c r="H282" s="2">
        <f t="shared" si="37"/>
        <v>941.52</v>
      </c>
      <c r="I282" s="2">
        <f t="shared" si="38"/>
        <v>129867.65999999992</v>
      </c>
    </row>
    <row r="283" spans="1:9" x14ac:dyDescent="0.25">
      <c r="A283" s="1">
        <v>52352</v>
      </c>
      <c r="B283" s="2">
        <f t="shared" si="39"/>
        <v>11269</v>
      </c>
      <c r="C283" s="2">
        <f t="shared" si="32"/>
        <v>0</v>
      </c>
      <c r="D283" s="2">
        <f t="shared" si="33"/>
        <v>11269</v>
      </c>
      <c r="E283" s="2">
        <f t="shared" si="34"/>
        <v>450.76</v>
      </c>
      <c r="F283" s="2">
        <f t="shared" si="35"/>
        <v>450.76</v>
      </c>
      <c r="G283" s="2">
        <f t="shared" si="36"/>
        <v>0</v>
      </c>
      <c r="H283" s="2">
        <f t="shared" si="37"/>
        <v>901.52</v>
      </c>
      <c r="I283" s="2">
        <f t="shared" si="38"/>
        <v>130769.17999999991</v>
      </c>
    </row>
    <row r="284" spans="1:9" x14ac:dyDescent="0.25">
      <c r="A284" s="1">
        <v>52383</v>
      </c>
      <c r="B284" s="2">
        <f t="shared" si="39"/>
        <v>11269</v>
      </c>
      <c r="C284" s="2">
        <f t="shared" si="32"/>
        <v>0</v>
      </c>
      <c r="D284" s="2">
        <f t="shared" si="33"/>
        <v>11269</v>
      </c>
      <c r="E284" s="2">
        <f t="shared" si="34"/>
        <v>450.76</v>
      </c>
      <c r="F284" s="2">
        <f t="shared" si="35"/>
        <v>450.76</v>
      </c>
      <c r="G284" s="2">
        <f t="shared" si="36"/>
        <v>0</v>
      </c>
      <c r="H284" s="2">
        <f t="shared" si="37"/>
        <v>901.52</v>
      </c>
      <c r="I284" s="2">
        <f t="shared" si="38"/>
        <v>131670.69999999992</v>
      </c>
    </row>
    <row r="285" spans="1:9" x14ac:dyDescent="0.25">
      <c r="A285" s="1">
        <v>52413</v>
      </c>
      <c r="B285" s="2">
        <f t="shared" si="39"/>
        <v>11269</v>
      </c>
      <c r="C285" s="2">
        <f t="shared" si="32"/>
        <v>500</v>
      </c>
      <c r="D285" s="2">
        <f t="shared" si="33"/>
        <v>11769</v>
      </c>
      <c r="E285" s="2">
        <f t="shared" si="34"/>
        <v>470.76</v>
      </c>
      <c r="F285" s="2">
        <f t="shared" si="35"/>
        <v>470.76</v>
      </c>
      <c r="G285" s="2">
        <f t="shared" si="36"/>
        <v>0</v>
      </c>
      <c r="H285" s="2">
        <f t="shared" si="37"/>
        <v>941.52</v>
      </c>
      <c r="I285" s="2">
        <f t="shared" si="38"/>
        <v>132612.21999999994</v>
      </c>
    </row>
    <row r="286" spans="1:9" x14ac:dyDescent="0.25">
      <c r="A286" s="1">
        <v>52444</v>
      </c>
      <c r="B286" s="2">
        <f t="shared" si="39"/>
        <v>11269</v>
      </c>
      <c r="C286" s="2">
        <f t="shared" si="32"/>
        <v>0</v>
      </c>
      <c r="D286" s="2">
        <f t="shared" si="33"/>
        <v>11269</v>
      </c>
      <c r="E286" s="2">
        <f t="shared" si="34"/>
        <v>450.76</v>
      </c>
      <c r="F286" s="2">
        <f t="shared" si="35"/>
        <v>450.76</v>
      </c>
      <c r="G286" s="2">
        <f t="shared" si="36"/>
        <v>0</v>
      </c>
      <c r="H286" s="2">
        <f t="shared" si="37"/>
        <v>901.52</v>
      </c>
      <c r="I286" s="2">
        <f t="shared" si="38"/>
        <v>133513.73999999996</v>
      </c>
    </row>
    <row r="287" spans="1:9" x14ac:dyDescent="0.25">
      <c r="A287" s="1">
        <v>52475</v>
      </c>
      <c r="B287" s="2">
        <f t="shared" si="39"/>
        <v>11269</v>
      </c>
      <c r="C287" s="2">
        <f t="shared" si="32"/>
        <v>0</v>
      </c>
      <c r="D287" s="2">
        <f t="shared" si="33"/>
        <v>11269</v>
      </c>
      <c r="E287" s="2">
        <f t="shared" si="34"/>
        <v>450.76</v>
      </c>
      <c r="F287" s="2">
        <f t="shared" si="35"/>
        <v>450.76</v>
      </c>
      <c r="G287" s="2">
        <f t="shared" si="36"/>
        <v>0</v>
      </c>
      <c r="H287" s="2">
        <f t="shared" si="37"/>
        <v>901.52</v>
      </c>
      <c r="I287" s="2">
        <f t="shared" si="38"/>
        <v>134415.25999999998</v>
      </c>
    </row>
    <row r="288" spans="1:9" x14ac:dyDescent="0.25">
      <c r="A288" s="1">
        <v>52505</v>
      </c>
      <c r="B288" s="2">
        <f t="shared" si="39"/>
        <v>11269</v>
      </c>
      <c r="C288" s="2">
        <f t="shared" si="32"/>
        <v>500</v>
      </c>
      <c r="D288" s="2">
        <f t="shared" si="33"/>
        <v>11769</v>
      </c>
      <c r="E288" s="2">
        <f t="shared" si="34"/>
        <v>470.76</v>
      </c>
      <c r="F288" s="2">
        <f t="shared" si="35"/>
        <v>470.76</v>
      </c>
      <c r="G288" s="2">
        <f t="shared" si="36"/>
        <v>0</v>
      </c>
      <c r="H288" s="2">
        <f t="shared" si="37"/>
        <v>941.52</v>
      </c>
      <c r="I288" s="2">
        <f t="shared" si="38"/>
        <v>135356.78</v>
      </c>
    </row>
    <row r="289" spans="1:9" x14ac:dyDescent="0.25">
      <c r="A289" s="1">
        <v>52536</v>
      </c>
      <c r="B289" s="2">
        <f t="shared" si="39"/>
        <v>11269</v>
      </c>
      <c r="C289" s="2">
        <f t="shared" si="32"/>
        <v>0</v>
      </c>
      <c r="D289" s="2">
        <f t="shared" si="33"/>
        <v>11269</v>
      </c>
      <c r="E289" s="2">
        <f t="shared" si="34"/>
        <v>450.76</v>
      </c>
      <c r="F289" s="2">
        <f t="shared" si="35"/>
        <v>450.76</v>
      </c>
      <c r="G289" s="2">
        <f t="shared" si="36"/>
        <v>0</v>
      </c>
      <c r="H289" s="2">
        <f t="shared" si="37"/>
        <v>901.52</v>
      </c>
      <c r="I289" s="2">
        <f t="shared" si="38"/>
        <v>136258.30000000002</v>
      </c>
    </row>
    <row r="290" spans="1:9" x14ac:dyDescent="0.25">
      <c r="A290" s="1">
        <v>52566</v>
      </c>
      <c r="B290" s="2">
        <f t="shared" si="39"/>
        <v>11269</v>
      </c>
      <c r="C290" s="2">
        <f t="shared" si="32"/>
        <v>0</v>
      </c>
      <c r="D290" s="2">
        <f t="shared" si="33"/>
        <v>11269</v>
      </c>
      <c r="E290" s="2">
        <f t="shared" si="34"/>
        <v>450.76</v>
      </c>
      <c r="F290" s="2">
        <f t="shared" si="35"/>
        <v>450.76</v>
      </c>
      <c r="G290" s="2">
        <f t="shared" si="36"/>
        <v>240</v>
      </c>
      <c r="H290" s="2">
        <f t="shared" si="37"/>
        <v>901.52</v>
      </c>
      <c r="I290" s="2">
        <f t="shared" si="38"/>
        <v>137399.82000000004</v>
      </c>
    </row>
    <row r="291" spans="1:9" x14ac:dyDescent="0.25">
      <c r="A291" s="1">
        <v>52597</v>
      </c>
      <c r="B291" s="2">
        <f t="shared" si="39"/>
        <v>12051</v>
      </c>
      <c r="C291" s="2">
        <f t="shared" si="32"/>
        <v>500</v>
      </c>
      <c r="D291" s="2">
        <f t="shared" si="33"/>
        <v>12551</v>
      </c>
      <c r="E291" s="2">
        <f t="shared" si="34"/>
        <v>502.04</v>
      </c>
      <c r="F291" s="2">
        <f t="shared" si="35"/>
        <v>502.04</v>
      </c>
      <c r="G291" s="2">
        <f t="shared" si="36"/>
        <v>0</v>
      </c>
      <c r="H291" s="2">
        <f t="shared" si="37"/>
        <v>1004.08</v>
      </c>
      <c r="I291" s="2">
        <f t="shared" si="38"/>
        <v>138403.90000000005</v>
      </c>
    </row>
    <row r="292" spans="1:9" x14ac:dyDescent="0.25">
      <c r="A292" s="1">
        <v>52628</v>
      </c>
      <c r="B292" s="2">
        <f t="shared" si="39"/>
        <v>12051</v>
      </c>
      <c r="C292" s="2">
        <f t="shared" si="32"/>
        <v>0</v>
      </c>
      <c r="D292" s="2">
        <f t="shared" si="33"/>
        <v>12051</v>
      </c>
      <c r="E292" s="2">
        <f t="shared" si="34"/>
        <v>482.04</v>
      </c>
      <c r="F292" s="2">
        <f t="shared" si="35"/>
        <v>482.04</v>
      </c>
      <c r="G292" s="2">
        <f t="shared" si="36"/>
        <v>0</v>
      </c>
      <c r="H292" s="2">
        <f t="shared" si="37"/>
        <v>964.08</v>
      </c>
      <c r="I292" s="2">
        <f t="shared" si="38"/>
        <v>139367.98000000007</v>
      </c>
    </row>
    <row r="293" spans="1:9" x14ac:dyDescent="0.25">
      <c r="A293" s="1">
        <v>52657</v>
      </c>
      <c r="B293" s="2">
        <f t="shared" si="39"/>
        <v>12051</v>
      </c>
      <c r="C293" s="2">
        <f t="shared" si="32"/>
        <v>0</v>
      </c>
      <c r="D293" s="2">
        <f t="shared" si="33"/>
        <v>12051</v>
      </c>
      <c r="E293" s="2">
        <f t="shared" si="34"/>
        <v>482.04</v>
      </c>
      <c r="F293" s="2">
        <f t="shared" si="35"/>
        <v>482.04</v>
      </c>
      <c r="G293" s="2">
        <f t="shared" si="36"/>
        <v>0</v>
      </c>
      <c r="H293" s="2">
        <f t="shared" si="37"/>
        <v>964.08</v>
      </c>
      <c r="I293" s="2">
        <f t="shared" si="38"/>
        <v>140332.06000000008</v>
      </c>
    </row>
    <row r="294" spans="1:9" x14ac:dyDescent="0.25">
      <c r="A294" s="1">
        <v>52688</v>
      </c>
      <c r="B294" s="2">
        <f t="shared" si="39"/>
        <v>12051</v>
      </c>
      <c r="C294" s="2">
        <f t="shared" si="32"/>
        <v>500</v>
      </c>
      <c r="D294" s="2">
        <f t="shared" si="33"/>
        <v>12551</v>
      </c>
      <c r="E294" s="2">
        <f t="shared" si="34"/>
        <v>502.04</v>
      </c>
      <c r="F294" s="2">
        <f t="shared" si="35"/>
        <v>502.04</v>
      </c>
      <c r="G294" s="2">
        <f t="shared" si="36"/>
        <v>0</v>
      </c>
      <c r="H294" s="2">
        <f t="shared" si="37"/>
        <v>1004.08</v>
      </c>
      <c r="I294" s="2">
        <f t="shared" si="38"/>
        <v>141336.1400000001</v>
      </c>
    </row>
    <row r="295" spans="1:9" x14ac:dyDescent="0.25">
      <c r="A295" s="1">
        <v>52718</v>
      </c>
      <c r="B295" s="2">
        <f t="shared" si="39"/>
        <v>12051</v>
      </c>
      <c r="C295" s="2">
        <f t="shared" si="32"/>
        <v>0</v>
      </c>
      <c r="D295" s="2">
        <f t="shared" si="33"/>
        <v>12051</v>
      </c>
      <c r="E295" s="2">
        <f t="shared" si="34"/>
        <v>482.04</v>
      </c>
      <c r="F295" s="2">
        <f t="shared" si="35"/>
        <v>482.04</v>
      </c>
      <c r="G295" s="2">
        <f t="shared" si="36"/>
        <v>0</v>
      </c>
      <c r="H295" s="2">
        <f t="shared" si="37"/>
        <v>964.08</v>
      </c>
      <c r="I295" s="2">
        <f t="shared" si="38"/>
        <v>142300.22000000012</v>
      </c>
    </row>
    <row r="296" spans="1:9" x14ac:dyDescent="0.25">
      <c r="A296" s="1">
        <v>52749</v>
      </c>
      <c r="B296" s="2">
        <f t="shared" si="39"/>
        <v>12051</v>
      </c>
      <c r="C296" s="2">
        <f t="shared" si="32"/>
        <v>0</v>
      </c>
      <c r="D296" s="2">
        <f t="shared" si="33"/>
        <v>12051</v>
      </c>
      <c r="E296" s="2">
        <f t="shared" si="34"/>
        <v>482.04</v>
      </c>
      <c r="F296" s="2">
        <f t="shared" si="35"/>
        <v>482.04</v>
      </c>
      <c r="G296" s="2">
        <f t="shared" si="36"/>
        <v>0</v>
      </c>
      <c r="H296" s="2">
        <f t="shared" si="37"/>
        <v>964.08</v>
      </c>
      <c r="I296" s="2">
        <f t="shared" si="38"/>
        <v>143264.30000000013</v>
      </c>
    </row>
    <row r="297" spans="1:9" x14ac:dyDescent="0.25">
      <c r="A297" s="1">
        <v>52779</v>
      </c>
      <c r="B297" s="2">
        <f t="shared" si="39"/>
        <v>12051</v>
      </c>
      <c r="C297" s="2">
        <f t="shared" si="32"/>
        <v>500</v>
      </c>
      <c r="D297" s="2">
        <f t="shared" si="33"/>
        <v>12551</v>
      </c>
      <c r="E297" s="2">
        <f t="shared" si="34"/>
        <v>502.04</v>
      </c>
      <c r="F297" s="2">
        <f t="shared" si="35"/>
        <v>502.04</v>
      </c>
      <c r="G297" s="2">
        <f t="shared" si="36"/>
        <v>0</v>
      </c>
      <c r="H297" s="2">
        <f t="shared" si="37"/>
        <v>1004.08</v>
      </c>
      <c r="I297" s="2">
        <f t="shared" si="38"/>
        <v>144268.38000000015</v>
      </c>
    </row>
    <row r="298" spans="1:9" x14ac:dyDescent="0.25">
      <c r="A298" s="1">
        <v>52810</v>
      </c>
      <c r="B298" s="2">
        <f t="shared" si="39"/>
        <v>12051</v>
      </c>
      <c r="C298" s="2">
        <f t="shared" si="32"/>
        <v>0</v>
      </c>
      <c r="D298" s="2">
        <f t="shared" si="33"/>
        <v>12051</v>
      </c>
      <c r="E298" s="2">
        <f t="shared" si="34"/>
        <v>482.04</v>
      </c>
      <c r="F298" s="2">
        <f t="shared" si="35"/>
        <v>482.04</v>
      </c>
      <c r="G298" s="2">
        <f t="shared" si="36"/>
        <v>0</v>
      </c>
      <c r="H298" s="2">
        <f t="shared" si="37"/>
        <v>964.08</v>
      </c>
      <c r="I298" s="2">
        <f t="shared" si="38"/>
        <v>145232.46000000017</v>
      </c>
    </row>
    <row r="299" spans="1:9" x14ac:dyDescent="0.25">
      <c r="A299" s="1">
        <v>52841</v>
      </c>
      <c r="B299" s="2">
        <f t="shared" si="39"/>
        <v>12051</v>
      </c>
      <c r="C299" s="2">
        <f t="shared" si="32"/>
        <v>0</v>
      </c>
      <c r="D299" s="2">
        <f t="shared" si="33"/>
        <v>12051</v>
      </c>
      <c r="E299" s="2">
        <f t="shared" si="34"/>
        <v>482.04</v>
      </c>
      <c r="F299" s="2">
        <f t="shared" si="35"/>
        <v>482.04</v>
      </c>
      <c r="G299" s="2">
        <f t="shared" si="36"/>
        <v>0</v>
      </c>
      <c r="H299" s="2">
        <f t="shared" si="37"/>
        <v>964.08</v>
      </c>
      <c r="I299" s="2">
        <f t="shared" si="38"/>
        <v>146196.54000000018</v>
      </c>
    </row>
    <row r="300" spans="1:9" x14ac:dyDescent="0.25">
      <c r="A300" s="1">
        <v>52871</v>
      </c>
      <c r="B300" s="2">
        <f t="shared" si="39"/>
        <v>12051</v>
      </c>
      <c r="C300" s="2">
        <f t="shared" si="32"/>
        <v>500</v>
      </c>
      <c r="D300" s="2">
        <f t="shared" si="33"/>
        <v>12551</v>
      </c>
      <c r="E300" s="2">
        <f t="shared" si="34"/>
        <v>502.04</v>
      </c>
      <c r="F300" s="2">
        <f t="shared" si="35"/>
        <v>502.04</v>
      </c>
      <c r="G300" s="2">
        <f t="shared" si="36"/>
        <v>0</v>
      </c>
      <c r="H300" s="2">
        <f t="shared" si="37"/>
        <v>1004.08</v>
      </c>
      <c r="I300" s="2">
        <f t="shared" si="38"/>
        <v>147200.6200000002</v>
      </c>
    </row>
    <row r="301" spans="1:9" x14ac:dyDescent="0.25">
      <c r="A301" s="1">
        <v>52902</v>
      </c>
      <c r="B301" s="2">
        <f t="shared" si="39"/>
        <v>12051</v>
      </c>
      <c r="C301" s="2">
        <f t="shared" si="32"/>
        <v>0</v>
      </c>
      <c r="D301" s="2">
        <f t="shared" si="33"/>
        <v>12051</v>
      </c>
      <c r="E301" s="2">
        <f t="shared" si="34"/>
        <v>482.04</v>
      </c>
      <c r="F301" s="2">
        <f t="shared" si="35"/>
        <v>482.04</v>
      </c>
      <c r="G301" s="2">
        <f t="shared" si="36"/>
        <v>0</v>
      </c>
      <c r="H301" s="2">
        <f t="shared" si="37"/>
        <v>964.08</v>
      </c>
      <c r="I301" s="2">
        <f t="shared" si="38"/>
        <v>148164.70000000022</v>
      </c>
    </row>
    <row r="302" spans="1:9" x14ac:dyDescent="0.25">
      <c r="A302" s="1">
        <v>52932</v>
      </c>
      <c r="B302" s="2">
        <f t="shared" si="39"/>
        <v>12051</v>
      </c>
      <c r="C302" s="2">
        <f t="shared" si="32"/>
        <v>0</v>
      </c>
      <c r="D302" s="2">
        <f t="shared" si="33"/>
        <v>12051</v>
      </c>
      <c r="E302" s="2">
        <f t="shared" si="34"/>
        <v>482.04</v>
      </c>
      <c r="F302" s="2">
        <f t="shared" si="35"/>
        <v>482.04</v>
      </c>
      <c r="G302" s="2">
        <f t="shared" si="36"/>
        <v>240</v>
      </c>
      <c r="H302" s="2">
        <f t="shared" si="37"/>
        <v>964.08</v>
      </c>
      <c r="I302" s="2">
        <f t="shared" si="38"/>
        <v>149368.78000000023</v>
      </c>
    </row>
    <row r="303" spans="1:9" x14ac:dyDescent="0.25">
      <c r="A303" s="1">
        <v>52963</v>
      </c>
      <c r="B303" s="2">
        <f t="shared" si="39"/>
        <v>12353</v>
      </c>
      <c r="C303" s="2">
        <f t="shared" si="32"/>
        <v>500</v>
      </c>
      <c r="D303" s="2">
        <f t="shared" si="33"/>
        <v>12853</v>
      </c>
      <c r="E303" s="2">
        <f t="shared" si="34"/>
        <v>514.12</v>
      </c>
      <c r="F303" s="2">
        <f t="shared" si="35"/>
        <v>514.12</v>
      </c>
      <c r="G303" s="2">
        <f t="shared" si="36"/>
        <v>0</v>
      </c>
      <c r="H303" s="2">
        <f t="shared" si="37"/>
        <v>1028.24</v>
      </c>
      <c r="I303" s="2">
        <f t="shared" si="38"/>
        <v>150397.02000000022</v>
      </c>
    </row>
    <row r="304" spans="1:9" x14ac:dyDescent="0.25">
      <c r="A304" s="1">
        <v>52994</v>
      </c>
      <c r="B304" s="2">
        <f t="shared" si="39"/>
        <v>12353</v>
      </c>
      <c r="C304" s="2">
        <f t="shared" si="32"/>
        <v>0</v>
      </c>
      <c r="D304" s="2">
        <f t="shared" si="33"/>
        <v>12353</v>
      </c>
      <c r="E304" s="2">
        <f t="shared" si="34"/>
        <v>494.12</v>
      </c>
      <c r="F304" s="2">
        <f t="shared" si="35"/>
        <v>494.12</v>
      </c>
      <c r="G304" s="2">
        <f t="shared" si="36"/>
        <v>0</v>
      </c>
      <c r="H304" s="2">
        <f t="shared" si="37"/>
        <v>988.24</v>
      </c>
      <c r="I304" s="2">
        <f t="shared" si="38"/>
        <v>151385.26000000021</v>
      </c>
    </row>
    <row r="305" spans="1:9" x14ac:dyDescent="0.25">
      <c r="A305" s="1">
        <v>53022</v>
      </c>
      <c r="B305" s="2">
        <f t="shared" si="39"/>
        <v>12353</v>
      </c>
      <c r="C305" s="2">
        <f t="shared" si="32"/>
        <v>0</v>
      </c>
      <c r="D305" s="2">
        <f t="shared" si="33"/>
        <v>12353</v>
      </c>
      <c r="E305" s="2">
        <f t="shared" si="34"/>
        <v>494.12</v>
      </c>
      <c r="F305" s="2">
        <f t="shared" si="35"/>
        <v>494.12</v>
      </c>
      <c r="G305" s="2">
        <f t="shared" si="36"/>
        <v>0</v>
      </c>
      <c r="H305" s="2">
        <f t="shared" si="37"/>
        <v>988.24</v>
      </c>
      <c r="I305" s="2">
        <f t="shared" si="38"/>
        <v>152373.5000000002</v>
      </c>
    </row>
    <row r="306" spans="1:9" x14ac:dyDescent="0.25">
      <c r="A306" s="1">
        <v>53053</v>
      </c>
      <c r="B306" s="2">
        <f t="shared" si="39"/>
        <v>12353</v>
      </c>
      <c r="C306" s="2">
        <f t="shared" si="32"/>
        <v>500</v>
      </c>
      <c r="D306" s="2">
        <f t="shared" si="33"/>
        <v>12853</v>
      </c>
      <c r="E306" s="2">
        <f t="shared" si="34"/>
        <v>514.12</v>
      </c>
      <c r="F306" s="2">
        <f t="shared" si="35"/>
        <v>514.12</v>
      </c>
      <c r="G306" s="2">
        <f t="shared" si="36"/>
        <v>0</v>
      </c>
      <c r="H306" s="2">
        <f t="shared" si="37"/>
        <v>1028.24</v>
      </c>
      <c r="I306" s="2">
        <f t="shared" si="38"/>
        <v>153401.74000000019</v>
      </c>
    </row>
    <row r="307" spans="1:9" x14ac:dyDescent="0.25">
      <c r="A307" s="1">
        <v>53083</v>
      </c>
      <c r="B307" s="2">
        <f t="shared" si="39"/>
        <v>12353</v>
      </c>
      <c r="C307" s="2">
        <f t="shared" si="32"/>
        <v>0</v>
      </c>
      <c r="D307" s="2">
        <f t="shared" si="33"/>
        <v>12353</v>
      </c>
      <c r="E307" s="2">
        <f t="shared" si="34"/>
        <v>494.12</v>
      </c>
      <c r="F307" s="2">
        <f t="shared" si="35"/>
        <v>494.12</v>
      </c>
      <c r="G307" s="2">
        <f t="shared" si="36"/>
        <v>0</v>
      </c>
      <c r="H307" s="2">
        <f t="shared" si="37"/>
        <v>988.24</v>
      </c>
      <c r="I307" s="2">
        <f t="shared" si="38"/>
        <v>154389.98000000019</v>
      </c>
    </row>
    <row r="308" spans="1:9" x14ac:dyDescent="0.25">
      <c r="A308" s="1">
        <v>53114</v>
      </c>
      <c r="B308" s="2">
        <f t="shared" si="39"/>
        <v>12353</v>
      </c>
      <c r="C308" s="2">
        <f t="shared" si="32"/>
        <v>0</v>
      </c>
      <c r="D308" s="2">
        <f t="shared" si="33"/>
        <v>12353</v>
      </c>
      <c r="E308" s="2">
        <f t="shared" si="34"/>
        <v>494.12</v>
      </c>
      <c r="F308" s="2">
        <f t="shared" si="35"/>
        <v>494.12</v>
      </c>
      <c r="G308" s="2">
        <f t="shared" si="36"/>
        <v>0</v>
      </c>
      <c r="H308" s="2">
        <f t="shared" si="37"/>
        <v>988.24</v>
      </c>
      <c r="I308" s="2">
        <f t="shared" si="38"/>
        <v>155378.22000000018</v>
      </c>
    </row>
    <row r="309" spans="1:9" x14ac:dyDescent="0.25">
      <c r="A309" s="1">
        <v>53144</v>
      </c>
      <c r="B309" s="2">
        <f t="shared" si="39"/>
        <v>12353</v>
      </c>
      <c r="C309" s="2">
        <f t="shared" si="32"/>
        <v>500</v>
      </c>
      <c r="D309" s="2">
        <f t="shared" si="33"/>
        <v>12853</v>
      </c>
      <c r="E309" s="2">
        <f t="shared" si="34"/>
        <v>514.12</v>
      </c>
      <c r="F309" s="2">
        <f t="shared" si="35"/>
        <v>514.12</v>
      </c>
      <c r="G309" s="2">
        <f t="shared" si="36"/>
        <v>0</v>
      </c>
      <c r="H309" s="2">
        <f t="shared" si="37"/>
        <v>1028.24</v>
      </c>
      <c r="I309" s="2">
        <f t="shared" si="38"/>
        <v>156406.46000000017</v>
      </c>
    </row>
    <row r="310" spans="1:9" x14ac:dyDescent="0.25">
      <c r="A310" s="1">
        <v>53175</v>
      </c>
      <c r="B310" s="2">
        <f t="shared" si="39"/>
        <v>12353</v>
      </c>
      <c r="C310" s="2">
        <f t="shared" si="32"/>
        <v>0</v>
      </c>
      <c r="D310" s="2">
        <f t="shared" si="33"/>
        <v>12353</v>
      </c>
      <c r="E310" s="2">
        <f t="shared" si="34"/>
        <v>494.12</v>
      </c>
      <c r="F310" s="2">
        <f t="shared" si="35"/>
        <v>494.12</v>
      </c>
      <c r="G310" s="2">
        <f t="shared" si="36"/>
        <v>0</v>
      </c>
      <c r="H310" s="2">
        <f t="shared" si="37"/>
        <v>988.24</v>
      </c>
      <c r="I310" s="2">
        <f t="shared" si="38"/>
        <v>157394.70000000016</v>
      </c>
    </row>
    <row r="311" spans="1:9" x14ac:dyDescent="0.25">
      <c r="A311" s="1">
        <v>53206</v>
      </c>
      <c r="B311" s="2">
        <f t="shared" si="39"/>
        <v>12353</v>
      </c>
      <c r="C311" s="2">
        <f t="shared" si="32"/>
        <v>0</v>
      </c>
      <c r="D311" s="2">
        <f t="shared" si="33"/>
        <v>12353</v>
      </c>
      <c r="E311" s="2">
        <f t="shared" si="34"/>
        <v>494.12</v>
      </c>
      <c r="F311" s="2">
        <f t="shared" si="35"/>
        <v>494.12</v>
      </c>
      <c r="G311" s="2">
        <f t="shared" si="36"/>
        <v>0</v>
      </c>
      <c r="H311" s="2">
        <f t="shared" si="37"/>
        <v>988.24</v>
      </c>
      <c r="I311" s="2">
        <f t="shared" si="38"/>
        <v>158382.94000000015</v>
      </c>
    </row>
    <row r="312" spans="1:9" x14ac:dyDescent="0.25">
      <c r="A312" s="1">
        <v>53236</v>
      </c>
      <c r="B312" s="2">
        <f t="shared" si="39"/>
        <v>12353</v>
      </c>
      <c r="C312" s="2">
        <f t="shared" si="32"/>
        <v>500</v>
      </c>
      <c r="D312" s="2">
        <f t="shared" si="33"/>
        <v>12853</v>
      </c>
      <c r="E312" s="2">
        <f t="shared" si="34"/>
        <v>514.12</v>
      </c>
      <c r="F312" s="2">
        <f t="shared" si="35"/>
        <v>514.12</v>
      </c>
      <c r="G312" s="2">
        <f t="shared" si="36"/>
        <v>0</v>
      </c>
      <c r="H312" s="2">
        <f t="shared" si="37"/>
        <v>1028.24</v>
      </c>
      <c r="I312" s="2">
        <f t="shared" si="38"/>
        <v>159411.18000000014</v>
      </c>
    </row>
    <row r="313" spans="1:9" x14ac:dyDescent="0.25">
      <c r="A313" s="1">
        <v>53267</v>
      </c>
      <c r="B313" s="2">
        <f t="shared" si="39"/>
        <v>12353</v>
      </c>
      <c r="C313" s="2">
        <f t="shared" si="32"/>
        <v>0</v>
      </c>
      <c r="D313" s="2">
        <f t="shared" si="33"/>
        <v>12353</v>
      </c>
      <c r="E313" s="2">
        <f t="shared" si="34"/>
        <v>494.12</v>
      </c>
      <c r="F313" s="2">
        <f t="shared" si="35"/>
        <v>494.12</v>
      </c>
      <c r="G313" s="2">
        <f t="shared" si="36"/>
        <v>0</v>
      </c>
      <c r="H313" s="2">
        <f t="shared" si="37"/>
        <v>988.24</v>
      </c>
      <c r="I313" s="2">
        <f t="shared" si="38"/>
        <v>160399.42000000013</v>
      </c>
    </row>
    <row r="314" spans="1:9" x14ac:dyDescent="0.25">
      <c r="A314" s="1">
        <v>53297</v>
      </c>
      <c r="B314" s="2">
        <f t="shared" si="39"/>
        <v>12353</v>
      </c>
      <c r="C314" s="2">
        <f t="shared" si="32"/>
        <v>0</v>
      </c>
      <c r="D314" s="2">
        <f t="shared" si="33"/>
        <v>12353</v>
      </c>
      <c r="E314" s="2">
        <f t="shared" si="34"/>
        <v>494.12</v>
      </c>
      <c r="F314" s="2">
        <f t="shared" si="35"/>
        <v>494.12</v>
      </c>
      <c r="G314" s="2">
        <f t="shared" si="36"/>
        <v>240</v>
      </c>
      <c r="H314" s="2">
        <f t="shared" si="37"/>
        <v>988.24</v>
      </c>
      <c r="I314" s="2">
        <f t="shared" si="38"/>
        <v>161627.66000000012</v>
      </c>
    </row>
    <row r="315" spans="1:9" x14ac:dyDescent="0.25">
      <c r="A315" s="1">
        <v>53328</v>
      </c>
      <c r="B315" s="2">
        <f t="shared" si="39"/>
        <v>12662</v>
      </c>
      <c r="C315" s="2">
        <f t="shared" si="32"/>
        <v>500</v>
      </c>
      <c r="D315" s="2">
        <f t="shared" si="33"/>
        <v>13162</v>
      </c>
      <c r="E315" s="2">
        <f t="shared" si="34"/>
        <v>526.48</v>
      </c>
      <c r="F315" s="2">
        <f t="shared" si="35"/>
        <v>526.48</v>
      </c>
      <c r="G315" s="2">
        <f t="shared" si="36"/>
        <v>0</v>
      </c>
      <c r="H315" s="2">
        <f t="shared" si="37"/>
        <v>1052.96</v>
      </c>
      <c r="I315" s="2">
        <f t="shared" si="38"/>
        <v>162680.62000000014</v>
      </c>
    </row>
    <row r="316" spans="1:9" x14ac:dyDescent="0.25">
      <c r="A316" s="1">
        <v>53359</v>
      </c>
      <c r="B316" s="2">
        <f t="shared" si="39"/>
        <v>12662</v>
      </c>
      <c r="C316" s="2">
        <f t="shared" si="32"/>
        <v>0</v>
      </c>
      <c r="D316" s="2">
        <f t="shared" si="33"/>
        <v>12662</v>
      </c>
      <c r="E316" s="2">
        <f t="shared" si="34"/>
        <v>506.48</v>
      </c>
      <c r="F316" s="2">
        <f t="shared" si="35"/>
        <v>506.48</v>
      </c>
      <c r="G316" s="2">
        <f t="shared" si="36"/>
        <v>0</v>
      </c>
      <c r="H316" s="2">
        <f t="shared" si="37"/>
        <v>1012.96</v>
      </c>
      <c r="I316" s="2">
        <f t="shared" si="38"/>
        <v>163693.58000000016</v>
      </c>
    </row>
    <row r="317" spans="1:9" x14ac:dyDescent="0.25">
      <c r="A317" s="1">
        <v>53387</v>
      </c>
      <c r="B317" s="2">
        <f t="shared" si="39"/>
        <v>12662</v>
      </c>
      <c r="C317" s="2">
        <f t="shared" si="32"/>
        <v>0</v>
      </c>
      <c r="D317" s="2">
        <f t="shared" si="33"/>
        <v>12662</v>
      </c>
      <c r="E317" s="2">
        <f t="shared" si="34"/>
        <v>506.48</v>
      </c>
      <c r="F317" s="2">
        <f t="shared" si="35"/>
        <v>506.48</v>
      </c>
      <c r="G317" s="2">
        <f t="shared" si="36"/>
        <v>0</v>
      </c>
      <c r="H317" s="2">
        <f t="shared" si="37"/>
        <v>1012.96</v>
      </c>
      <c r="I317" s="2">
        <f t="shared" si="38"/>
        <v>164706.54000000018</v>
      </c>
    </row>
    <row r="318" spans="1:9" x14ac:dyDescent="0.25">
      <c r="A318" s="1">
        <v>53418</v>
      </c>
      <c r="B318" s="2">
        <f t="shared" si="39"/>
        <v>12662</v>
      </c>
      <c r="C318" s="2">
        <f t="shared" si="32"/>
        <v>500</v>
      </c>
      <c r="D318" s="2">
        <f t="shared" si="33"/>
        <v>13162</v>
      </c>
      <c r="E318" s="2">
        <f t="shared" si="34"/>
        <v>526.48</v>
      </c>
      <c r="F318" s="2">
        <f t="shared" si="35"/>
        <v>526.48</v>
      </c>
      <c r="G318" s="2">
        <f t="shared" si="36"/>
        <v>0</v>
      </c>
      <c r="H318" s="2">
        <f t="shared" si="37"/>
        <v>1052.96</v>
      </c>
      <c r="I318" s="2">
        <f t="shared" si="38"/>
        <v>165759.5000000002</v>
      </c>
    </row>
    <row r="319" spans="1:9" x14ac:dyDescent="0.25">
      <c r="A319" s="1">
        <v>53448</v>
      </c>
      <c r="B319" s="2">
        <f t="shared" si="39"/>
        <v>12662</v>
      </c>
      <c r="C319" s="2">
        <f t="shared" si="32"/>
        <v>0</v>
      </c>
      <c r="D319" s="2">
        <f t="shared" si="33"/>
        <v>12662</v>
      </c>
      <c r="E319" s="2">
        <f t="shared" si="34"/>
        <v>506.48</v>
      </c>
      <c r="F319" s="2">
        <f t="shared" si="35"/>
        <v>506.48</v>
      </c>
      <c r="G319" s="2">
        <f t="shared" si="36"/>
        <v>0</v>
      </c>
      <c r="H319" s="2">
        <f t="shared" si="37"/>
        <v>1012.96</v>
      </c>
      <c r="I319" s="2">
        <f t="shared" si="38"/>
        <v>166772.46000000022</v>
      </c>
    </row>
    <row r="320" spans="1:9" x14ac:dyDescent="0.25">
      <c r="A320" s="1">
        <v>53479</v>
      </c>
      <c r="B320" s="2">
        <f t="shared" si="39"/>
        <v>12662</v>
      </c>
      <c r="C320" s="2">
        <f t="shared" si="32"/>
        <v>0</v>
      </c>
      <c r="D320" s="2">
        <f t="shared" si="33"/>
        <v>12662</v>
      </c>
      <c r="E320" s="2">
        <f t="shared" si="34"/>
        <v>506.48</v>
      </c>
      <c r="F320" s="2">
        <f t="shared" si="35"/>
        <v>506.48</v>
      </c>
      <c r="G320" s="2">
        <f t="shared" si="36"/>
        <v>0</v>
      </c>
      <c r="H320" s="2">
        <f t="shared" si="37"/>
        <v>1012.96</v>
      </c>
      <c r="I320" s="2">
        <f t="shared" si="38"/>
        <v>167785.42000000025</v>
      </c>
    </row>
    <row r="321" spans="1:9" x14ac:dyDescent="0.25">
      <c r="A321" s="1">
        <v>53509</v>
      </c>
      <c r="B321" s="2">
        <f t="shared" si="39"/>
        <v>12662</v>
      </c>
      <c r="C321" s="2">
        <f t="shared" si="32"/>
        <v>500</v>
      </c>
      <c r="D321" s="2">
        <f t="shared" si="33"/>
        <v>13162</v>
      </c>
      <c r="E321" s="2">
        <f t="shared" si="34"/>
        <v>526.48</v>
      </c>
      <c r="F321" s="2">
        <f t="shared" si="35"/>
        <v>526.48</v>
      </c>
      <c r="G321" s="2">
        <f t="shared" si="36"/>
        <v>0</v>
      </c>
      <c r="H321" s="2">
        <f t="shared" si="37"/>
        <v>1052.96</v>
      </c>
      <c r="I321" s="2">
        <f t="shared" si="38"/>
        <v>168838.38000000027</v>
      </c>
    </row>
    <row r="322" spans="1:9" x14ac:dyDescent="0.25">
      <c r="A322" s="1">
        <v>53540</v>
      </c>
      <c r="B322" s="2">
        <f t="shared" si="39"/>
        <v>12662</v>
      </c>
      <c r="C322" s="2">
        <f t="shared" si="32"/>
        <v>0</v>
      </c>
      <c r="D322" s="2">
        <f t="shared" si="33"/>
        <v>12662</v>
      </c>
      <c r="E322" s="2">
        <f t="shared" si="34"/>
        <v>506.48</v>
      </c>
      <c r="F322" s="2">
        <f t="shared" si="35"/>
        <v>506.48</v>
      </c>
      <c r="G322" s="2">
        <f t="shared" si="36"/>
        <v>0</v>
      </c>
      <c r="H322" s="2">
        <f t="shared" si="37"/>
        <v>1012.96</v>
      </c>
      <c r="I322" s="2">
        <f t="shared" si="38"/>
        <v>169851.34000000029</v>
      </c>
    </row>
    <row r="323" spans="1:9" x14ac:dyDescent="0.25">
      <c r="A323" s="1">
        <v>53571</v>
      </c>
      <c r="B323" s="2">
        <f t="shared" si="39"/>
        <v>12662</v>
      </c>
      <c r="C323" s="2">
        <f t="shared" si="32"/>
        <v>0</v>
      </c>
      <c r="D323" s="2">
        <f t="shared" si="33"/>
        <v>12662</v>
      </c>
      <c r="E323" s="2">
        <f t="shared" si="34"/>
        <v>506.48</v>
      </c>
      <c r="F323" s="2">
        <f t="shared" si="35"/>
        <v>506.48</v>
      </c>
      <c r="G323" s="2">
        <f t="shared" si="36"/>
        <v>0</v>
      </c>
      <c r="H323" s="2">
        <f t="shared" si="37"/>
        <v>1012.96</v>
      </c>
      <c r="I323" s="2">
        <f t="shared" si="38"/>
        <v>170864.30000000031</v>
      </c>
    </row>
    <row r="324" spans="1:9" x14ac:dyDescent="0.25">
      <c r="A324" s="1">
        <v>53601</v>
      </c>
      <c r="B324" s="2">
        <f t="shared" si="39"/>
        <v>12662</v>
      </c>
      <c r="C324" s="2">
        <f t="shared" ref="C324:C387" si="40">IF(AND(OR(MONTH(A324)=1,MONTH(A324)=4,MONTH(A324)=7,MONTH(A324)=10),DATE(2020,1,1)&lt;&gt;A324),500,0)</f>
        <v>500</v>
      </c>
      <c r="D324" s="2">
        <f t="shared" ref="D324:D387" si="41">B324+C324</f>
        <v>13162</v>
      </c>
      <c r="E324" s="2">
        <f t="shared" ref="E324:E387" si="42">IF(B324&gt;8000,ROUND(D324*(0.02+0.02),2),ROUND(D324*(0.02),2))</f>
        <v>526.48</v>
      </c>
      <c r="F324" s="2">
        <f t="shared" ref="F324:F387" si="43">IF(B324&gt;8000,ROUND(D324*0.04,2),ROUND(D324*0.015,2))</f>
        <v>526.48</v>
      </c>
      <c r="G324" s="2">
        <f t="shared" ref="G324:G387" si="44">IF(MONTH(A324)=12,240,0)</f>
        <v>0</v>
      </c>
      <c r="H324" s="2">
        <f t="shared" ref="H324:H387" si="45">E324+F324</f>
        <v>1052.96</v>
      </c>
      <c r="I324" s="2">
        <f t="shared" ref="I324:I387" si="46">I323+E324+F324+G324</f>
        <v>171917.26000000033</v>
      </c>
    </row>
    <row r="325" spans="1:9" x14ac:dyDescent="0.25">
      <c r="A325" s="1">
        <v>53632</v>
      </c>
      <c r="B325" s="2">
        <f t="shared" ref="B325:B388" si="47">IF(YEAR($A325) &gt; YEAR($A324),IF(AND(MOD(YEAR(A325),4)=0,YEAR(A325)&lt;&gt;2020),ROUNDUP($B324*1.025,0)+500,ROUNDUP($B324*1.025,0)),$B324)</f>
        <v>12662</v>
      </c>
      <c r="C325" s="2">
        <f t="shared" si="40"/>
        <v>0</v>
      </c>
      <c r="D325" s="2">
        <f t="shared" si="41"/>
        <v>12662</v>
      </c>
      <c r="E325" s="2">
        <f t="shared" si="42"/>
        <v>506.48</v>
      </c>
      <c r="F325" s="2">
        <f t="shared" si="43"/>
        <v>506.48</v>
      </c>
      <c r="G325" s="2">
        <f t="shared" si="44"/>
        <v>0</v>
      </c>
      <c r="H325" s="2">
        <f t="shared" si="45"/>
        <v>1012.96</v>
      </c>
      <c r="I325" s="2">
        <f t="shared" si="46"/>
        <v>172930.22000000035</v>
      </c>
    </row>
    <row r="326" spans="1:9" x14ac:dyDescent="0.25">
      <c r="A326" s="1">
        <v>53662</v>
      </c>
      <c r="B326" s="2">
        <f t="shared" si="47"/>
        <v>12662</v>
      </c>
      <c r="C326" s="2">
        <f t="shared" si="40"/>
        <v>0</v>
      </c>
      <c r="D326" s="2">
        <f t="shared" si="41"/>
        <v>12662</v>
      </c>
      <c r="E326" s="2">
        <f t="shared" si="42"/>
        <v>506.48</v>
      </c>
      <c r="F326" s="2">
        <f t="shared" si="43"/>
        <v>506.48</v>
      </c>
      <c r="G326" s="2">
        <f t="shared" si="44"/>
        <v>240</v>
      </c>
      <c r="H326" s="2">
        <f t="shared" si="45"/>
        <v>1012.96</v>
      </c>
      <c r="I326" s="2">
        <f t="shared" si="46"/>
        <v>174183.18000000037</v>
      </c>
    </row>
    <row r="327" spans="1:9" x14ac:dyDescent="0.25">
      <c r="A327" s="1">
        <v>53693</v>
      </c>
      <c r="B327" s="2">
        <f t="shared" si="47"/>
        <v>12979</v>
      </c>
      <c r="C327" s="2">
        <f t="shared" si="40"/>
        <v>500</v>
      </c>
      <c r="D327" s="2">
        <f t="shared" si="41"/>
        <v>13479</v>
      </c>
      <c r="E327" s="2">
        <f t="shared" si="42"/>
        <v>539.16</v>
      </c>
      <c r="F327" s="2">
        <f t="shared" si="43"/>
        <v>539.16</v>
      </c>
      <c r="G327" s="2">
        <f t="shared" si="44"/>
        <v>0</v>
      </c>
      <c r="H327" s="2">
        <f t="shared" si="45"/>
        <v>1078.32</v>
      </c>
      <c r="I327" s="2">
        <f t="shared" si="46"/>
        <v>175261.50000000038</v>
      </c>
    </row>
    <row r="328" spans="1:9" x14ac:dyDescent="0.25">
      <c r="A328" s="1">
        <v>53724</v>
      </c>
      <c r="B328" s="2">
        <f t="shared" si="47"/>
        <v>12979</v>
      </c>
      <c r="C328" s="2">
        <f t="shared" si="40"/>
        <v>0</v>
      </c>
      <c r="D328" s="2">
        <f t="shared" si="41"/>
        <v>12979</v>
      </c>
      <c r="E328" s="2">
        <f t="shared" si="42"/>
        <v>519.16</v>
      </c>
      <c r="F328" s="2">
        <f t="shared" si="43"/>
        <v>519.16</v>
      </c>
      <c r="G328" s="2">
        <f t="shared" si="44"/>
        <v>0</v>
      </c>
      <c r="H328" s="2">
        <f t="shared" si="45"/>
        <v>1038.32</v>
      </c>
      <c r="I328" s="2">
        <f t="shared" si="46"/>
        <v>176299.82000000039</v>
      </c>
    </row>
    <row r="329" spans="1:9" x14ac:dyDescent="0.25">
      <c r="A329" s="1">
        <v>53752</v>
      </c>
      <c r="B329" s="2">
        <f t="shared" si="47"/>
        <v>12979</v>
      </c>
      <c r="C329" s="2">
        <f t="shared" si="40"/>
        <v>0</v>
      </c>
      <c r="D329" s="2">
        <f t="shared" si="41"/>
        <v>12979</v>
      </c>
      <c r="E329" s="2">
        <f t="shared" si="42"/>
        <v>519.16</v>
      </c>
      <c r="F329" s="2">
        <f t="shared" si="43"/>
        <v>519.16</v>
      </c>
      <c r="G329" s="2">
        <f t="shared" si="44"/>
        <v>0</v>
      </c>
      <c r="H329" s="2">
        <f t="shared" si="45"/>
        <v>1038.32</v>
      </c>
      <c r="I329" s="2">
        <f t="shared" si="46"/>
        <v>177338.14000000039</v>
      </c>
    </row>
    <row r="330" spans="1:9" x14ac:dyDescent="0.25">
      <c r="A330" s="1">
        <v>53783</v>
      </c>
      <c r="B330" s="2">
        <f t="shared" si="47"/>
        <v>12979</v>
      </c>
      <c r="C330" s="2">
        <f t="shared" si="40"/>
        <v>500</v>
      </c>
      <c r="D330" s="2">
        <f t="shared" si="41"/>
        <v>13479</v>
      </c>
      <c r="E330" s="2">
        <f t="shared" si="42"/>
        <v>539.16</v>
      </c>
      <c r="F330" s="2">
        <f t="shared" si="43"/>
        <v>539.16</v>
      </c>
      <c r="G330" s="2">
        <f t="shared" si="44"/>
        <v>0</v>
      </c>
      <c r="H330" s="2">
        <f t="shared" si="45"/>
        <v>1078.32</v>
      </c>
      <c r="I330" s="2">
        <f t="shared" si="46"/>
        <v>178416.4600000004</v>
      </c>
    </row>
    <row r="331" spans="1:9" x14ac:dyDescent="0.25">
      <c r="A331" s="1">
        <v>53813</v>
      </c>
      <c r="B331" s="2">
        <f t="shared" si="47"/>
        <v>12979</v>
      </c>
      <c r="C331" s="2">
        <f t="shared" si="40"/>
        <v>0</v>
      </c>
      <c r="D331" s="2">
        <f t="shared" si="41"/>
        <v>12979</v>
      </c>
      <c r="E331" s="2">
        <f t="shared" si="42"/>
        <v>519.16</v>
      </c>
      <c r="F331" s="2">
        <f t="shared" si="43"/>
        <v>519.16</v>
      </c>
      <c r="G331" s="2">
        <f t="shared" si="44"/>
        <v>0</v>
      </c>
      <c r="H331" s="2">
        <f t="shared" si="45"/>
        <v>1038.32</v>
      </c>
      <c r="I331" s="2">
        <f t="shared" si="46"/>
        <v>179454.78000000041</v>
      </c>
    </row>
    <row r="332" spans="1:9" x14ac:dyDescent="0.25">
      <c r="A332" s="1">
        <v>53844</v>
      </c>
      <c r="B332" s="2">
        <f t="shared" si="47"/>
        <v>12979</v>
      </c>
      <c r="C332" s="2">
        <f t="shared" si="40"/>
        <v>0</v>
      </c>
      <c r="D332" s="2">
        <f t="shared" si="41"/>
        <v>12979</v>
      </c>
      <c r="E332" s="2">
        <f t="shared" si="42"/>
        <v>519.16</v>
      </c>
      <c r="F332" s="2">
        <f t="shared" si="43"/>
        <v>519.16</v>
      </c>
      <c r="G332" s="2">
        <f t="shared" si="44"/>
        <v>0</v>
      </c>
      <c r="H332" s="2">
        <f t="shared" si="45"/>
        <v>1038.32</v>
      </c>
      <c r="I332" s="2">
        <f t="shared" si="46"/>
        <v>180493.10000000041</v>
      </c>
    </row>
    <row r="333" spans="1:9" x14ac:dyDescent="0.25">
      <c r="A333" s="1">
        <v>53874</v>
      </c>
      <c r="B333" s="2">
        <f t="shared" si="47"/>
        <v>12979</v>
      </c>
      <c r="C333" s="2">
        <f t="shared" si="40"/>
        <v>500</v>
      </c>
      <c r="D333" s="2">
        <f t="shared" si="41"/>
        <v>13479</v>
      </c>
      <c r="E333" s="2">
        <f t="shared" si="42"/>
        <v>539.16</v>
      </c>
      <c r="F333" s="2">
        <f t="shared" si="43"/>
        <v>539.16</v>
      </c>
      <c r="G333" s="2">
        <f t="shared" si="44"/>
        <v>0</v>
      </c>
      <c r="H333" s="2">
        <f t="shared" si="45"/>
        <v>1078.32</v>
      </c>
      <c r="I333" s="2">
        <f t="shared" si="46"/>
        <v>181571.42000000042</v>
      </c>
    </row>
    <row r="334" spans="1:9" x14ac:dyDescent="0.25">
      <c r="A334" s="1">
        <v>53905</v>
      </c>
      <c r="B334" s="2">
        <f t="shared" si="47"/>
        <v>12979</v>
      </c>
      <c r="C334" s="2">
        <f t="shared" si="40"/>
        <v>0</v>
      </c>
      <c r="D334" s="2">
        <f t="shared" si="41"/>
        <v>12979</v>
      </c>
      <c r="E334" s="2">
        <f t="shared" si="42"/>
        <v>519.16</v>
      </c>
      <c r="F334" s="2">
        <f t="shared" si="43"/>
        <v>519.16</v>
      </c>
      <c r="G334" s="2">
        <f t="shared" si="44"/>
        <v>0</v>
      </c>
      <c r="H334" s="2">
        <f t="shared" si="45"/>
        <v>1038.32</v>
      </c>
      <c r="I334" s="2">
        <f t="shared" si="46"/>
        <v>182609.74000000043</v>
      </c>
    </row>
    <row r="335" spans="1:9" x14ac:dyDescent="0.25">
      <c r="A335" s="1">
        <v>53936</v>
      </c>
      <c r="B335" s="2">
        <f t="shared" si="47"/>
        <v>12979</v>
      </c>
      <c r="C335" s="2">
        <f t="shared" si="40"/>
        <v>0</v>
      </c>
      <c r="D335" s="2">
        <f t="shared" si="41"/>
        <v>12979</v>
      </c>
      <c r="E335" s="2">
        <f t="shared" si="42"/>
        <v>519.16</v>
      </c>
      <c r="F335" s="2">
        <f t="shared" si="43"/>
        <v>519.16</v>
      </c>
      <c r="G335" s="2">
        <f t="shared" si="44"/>
        <v>0</v>
      </c>
      <c r="H335" s="2">
        <f t="shared" si="45"/>
        <v>1038.32</v>
      </c>
      <c r="I335" s="2">
        <f t="shared" si="46"/>
        <v>183648.06000000043</v>
      </c>
    </row>
    <row r="336" spans="1:9" x14ac:dyDescent="0.25">
      <c r="A336" s="1">
        <v>53966</v>
      </c>
      <c r="B336" s="2">
        <f t="shared" si="47"/>
        <v>12979</v>
      </c>
      <c r="C336" s="2">
        <f t="shared" si="40"/>
        <v>500</v>
      </c>
      <c r="D336" s="2">
        <f t="shared" si="41"/>
        <v>13479</v>
      </c>
      <c r="E336" s="2">
        <f t="shared" si="42"/>
        <v>539.16</v>
      </c>
      <c r="F336" s="2">
        <f t="shared" si="43"/>
        <v>539.16</v>
      </c>
      <c r="G336" s="2">
        <f t="shared" si="44"/>
        <v>0</v>
      </c>
      <c r="H336" s="2">
        <f t="shared" si="45"/>
        <v>1078.32</v>
      </c>
      <c r="I336" s="2">
        <f t="shared" si="46"/>
        <v>184726.38000000044</v>
      </c>
    </row>
    <row r="337" spans="1:9" x14ac:dyDescent="0.25">
      <c r="A337" s="1">
        <v>53997</v>
      </c>
      <c r="B337" s="2">
        <f t="shared" si="47"/>
        <v>12979</v>
      </c>
      <c r="C337" s="2">
        <f t="shared" si="40"/>
        <v>0</v>
      </c>
      <c r="D337" s="2">
        <f t="shared" si="41"/>
        <v>12979</v>
      </c>
      <c r="E337" s="2">
        <f t="shared" si="42"/>
        <v>519.16</v>
      </c>
      <c r="F337" s="2">
        <f t="shared" si="43"/>
        <v>519.16</v>
      </c>
      <c r="G337" s="2">
        <f t="shared" si="44"/>
        <v>0</v>
      </c>
      <c r="H337" s="2">
        <f t="shared" si="45"/>
        <v>1038.32</v>
      </c>
      <c r="I337" s="2">
        <f t="shared" si="46"/>
        <v>185764.70000000045</v>
      </c>
    </row>
    <row r="338" spans="1:9" x14ac:dyDescent="0.25">
      <c r="A338" s="1">
        <v>54027</v>
      </c>
      <c r="B338" s="2">
        <f t="shared" si="47"/>
        <v>12979</v>
      </c>
      <c r="C338" s="2">
        <f t="shared" si="40"/>
        <v>0</v>
      </c>
      <c r="D338" s="2">
        <f t="shared" si="41"/>
        <v>12979</v>
      </c>
      <c r="E338" s="2">
        <f t="shared" si="42"/>
        <v>519.16</v>
      </c>
      <c r="F338" s="2">
        <f t="shared" si="43"/>
        <v>519.16</v>
      </c>
      <c r="G338" s="2">
        <f t="shared" si="44"/>
        <v>240</v>
      </c>
      <c r="H338" s="2">
        <f t="shared" si="45"/>
        <v>1038.32</v>
      </c>
      <c r="I338" s="2">
        <f t="shared" si="46"/>
        <v>187043.02000000046</v>
      </c>
    </row>
    <row r="339" spans="1:9" x14ac:dyDescent="0.25">
      <c r="A339" s="1">
        <v>54058</v>
      </c>
      <c r="B339" s="2">
        <f t="shared" si="47"/>
        <v>13804</v>
      </c>
      <c r="C339" s="2">
        <f t="shared" si="40"/>
        <v>500</v>
      </c>
      <c r="D339" s="2">
        <f t="shared" si="41"/>
        <v>14304</v>
      </c>
      <c r="E339" s="2">
        <f t="shared" si="42"/>
        <v>572.16</v>
      </c>
      <c r="F339" s="2">
        <f t="shared" si="43"/>
        <v>572.16</v>
      </c>
      <c r="G339" s="2">
        <f t="shared" si="44"/>
        <v>0</v>
      </c>
      <c r="H339" s="2">
        <f t="shared" si="45"/>
        <v>1144.32</v>
      </c>
      <c r="I339" s="2">
        <f t="shared" si="46"/>
        <v>188187.34000000046</v>
      </c>
    </row>
    <row r="340" spans="1:9" x14ac:dyDescent="0.25">
      <c r="A340" s="1">
        <v>54089</v>
      </c>
      <c r="B340" s="2">
        <f t="shared" si="47"/>
        <v>13804</v>
      </c>
      <c r="C340" s="2">
        <f t="shared" si="40"/>
        <v>0</v>
      </c>
      <c r="D340" s="2">
        <f t="shared" si="41"/>
        <v>13804</v>
      </c>
      <c r="E340" s="2">
        <f t="shared" si="42"/>
        <v>552.16</v>
      </c>
      <c r="F340" s="2">
        <f t="shared" si="43"/>
        <v>552.16</v>
      </c>
      <c r="G340" s="2">
        <f t="shared" si="44"/>
        <v>0</v>
      </c>
      <c r="H340" s="2">
        <f t="shared" si="45"/>
        <v>1104.32</v>
      </c>
      <c r="I340" s="2">
        <f t="shared" si="46"/>
        <v>189291.66000000047</v>
      </c>
    </row>
    <row r="341" spans="1:9" x14ac:dyDescent="0.25">
      <c r="A341" s="1">
        <v>54118</v>
      </c>
      <c r="B341" s="2">
        <f t="shared" si="47"/>
        <v>13804</v>
      </c>
      <c r="C341" s="2">
        <f t="shared" si="40"/>
        <v>0</v>
      </c>
      <c r="D341" s="2">
        <f t="shared" si="41"/>
        <v>13804</v>
      </c>
      <c r="E341" s="2">
        <f t="shared" si="42"/>
        <v>552.16</v>
      </c>
      <c r="F341" s="2">
        <f t="shared" si="43"/>
        <v>552.16</v>
      </c>
      <c r="G341" s="2">
        <f t="shared" si="44"/>
        <v>0</v>
      </c>
      <c r="H341" s="2">
        <f t="shared" si="45"/>
        <v>1104.32</v>
      </c>
      <c r="I341" s="2">
        <f t="shared" si="46"/>
        <v>190395.98000000048</v>
      </c>
    </row>
    <row r="342" spans="1:9" x14ac:dyDescent="0.25">
      <c r="A342" s="1">
        <v>54149</v>
      </c>
      <c r="B342" s="2">
        <f t="shared" si="47"/>
        <v>13804</v>
      </c>
      <c r="C342" s="2">
        <f t="shared" si="40"/>
        <v>500</v>
      </c>
      <c r="D342" s="2">
        <f t="shared" si="41"/>
        <v>14304</v>
      </c>
      <c r="E342" s="2">
        <f t="shared" si="42"/>
        <v>572.16</v>
      </c>
      <c r="F342" s="2">
        <f t="shared" si="43"/>
        <v>572.16</v>
      </c>
      <c r="G342" s="2">
        <f t="shared" si="44"/>
        <v>0</v>
      </c>
      <c r="H342" s="2">
        <f t="shared" si="45"/>
        <v>1144.32</v>
      </c>
      <c r="I342" s="2">
        <f t="shared" si="46"/>
        <v>191540.30000000048</v>
      </c>
    </row>
    <row r="343" spans="1:9" x14ac:dyDescent="0.25">
      <c r="A343" s="1">
        <v>54179</v>
      </c>
      <c r="B343" s="2">
        <f t="shared" si="47"/>
        <v>13804</v>
      </c>
      <c r="C343" s="2">
        <f t="shared" si="40"/>
        <v>0</v>
      </c>
      <c r="D343" s="2">
        <f t="shared" si="41"/>
        <v>13804</v>
      </c>
      <c r="E343" s="2">
        <f t="shared" si="42"/>
        <v>552.16</v>
      </c>
      <c r="F343" s="2">
        <f t="shared" si="43"/>
        <v>552.16</v>
      </c>
      <c r="G343" s="2">
        <f t="shared" si="44"/>
        <v>0</v>
      </c>
      <c r="H343" s="2">
        <f t="shared" si="45"/>
        <v>1104.32</v>
      </c>
      <c r="I343" s="2">
        <f t="shared" si="46"/>
        <v>192644.62000000049</v>
      </c>
    </row>
    <row r="344" spans="1:9" x14ac:dyDescent="0.25">
      <c r="A344" s="1">
        <v>54210</v>
      </c>
      <c r="B344" s="2">
        <f t="shared" si="47"/>
        <v>13804</v>
      </c>
      <c r="C344" s="2">
        <f t="shared" si="40"/>
        <v>0</v>
      </c>
      <c r="D344" s="2">
        <f t="shared" si="41"/>
        <v>13804</v>
      </c>
      <c r="E344" s="2">
        <f t="shared" si="42"/>
        <v>552.16</v>
      </c>
      <c r="F344" s="2">
        <f t="shared" si="43"/>
        <v>552.16</v>
      </c>
      <c r="G344" s="2">
        <f t="shared" si="44"/>
        <v>0</v>
      </c>
      <c r="H344" s="2">
        <f t="shared" si="45"/>
        <v>1104.32</v>
      </c>
      <c r="I344" s="2">
        <f t="shared" si="46"/>
        <v>193748.9400000005</v>
      </c>
    </row>
    <row r="345" spans="1:9" x14ac:dyDescent="0.25">
      <c r="A345" s="1">
        <v>54240</v>
      </c>
      <c r="B345" s="2">
        <f t="shared" si="47"/>
        <v>13804</v>
      </c>
      <c r="C345" s="2">
        <f t="shared" si="40"/>
        <v>500</v>
      </c>
      <c r="D345" s="2">
        <f t="shared" si="41"/>
        <v>14304</v>
      </c>
      <c r="E345" s="2">
        <f t="shared" si="42"/>
        <v>572.16</v>
      </c>
      <c r="F345" s="2">
        <f t="shared" si="43"/>
        <v>572.16</v>
      </c>
      <c r="G345" s="2">
        <f t="shared" si="44"/>
        <v>0</v>
      </c>
      <c r="H345" s="2">
        <f t="shared" si="45"/>
        <v>1144.32</v>
      </c>
      <c r="I345" s="2">
        <f t="shared" si="46"/>
        <v>194893.2600000005</v>
      </c>
    </row>
    <row r="346" spans="1:9" x14ac:dyDescent="0.25">
      <c r="A346" s="1">
        <v>54271</v>
      </c>
      <c r="B346" s="2">
        <f t="shared" si="47"/>
        <v>13804</v>
      </c>
      <c r="C346" s="2">
        <f t="shared" si="40"/>
        <v>0</v>
      </c>
      <c r="D346" s="2">
        <f t="shared" si="41"/>
        <v>13804</v>
      </c>
      <c r="E346" s="2">
        <f t="shared" si="42"/>
        <v>552.16</v>
      </c>
      <c r="F346" s="2">
        <f t="shared" si="43"/>
        <v>552.16</v>
      </c>
      <c r="G346" s="2">
        <f t="shared" si="44"/>
        <v>0</v>
      </c>
      <c r="H346" s="2">
        <f t="shared" si="45"/>
        <v>1104.32</v>
      </c>
      <c r="I346" s="2">
        <f t="shared" si="46"/>
        <v>195997.58000000051</v>
      </c>
    </row>
    <row r="347" spans="1:9" x14ac:dyDescent="0.25">
      <c r="A347" s="1">
        <v>54302</v>
      </c>
      <c r="B347" s="2">
        <f t="shared" si="47"/>
        <v>13804</v>
      </c>
      <c r="C347" s="2">
        <f t="shared" si="40"/>
        <v>0</v>
      </c>
      <c r="D347" s="2">
        <f t="shared" si="41"/>
        <v>13804</v>
      </c>
      <c r="E347" s="2">
        <f t="shared" si="42"/>
        <v>552.16</v>
      </c>
      <c r="F347" s="2">
        <f t="shared" si="43"/>
        <v>552.16</v>
      </c>
      <c r="G347" s="2">
        <f t="shared" si="44"/>
        <v>0</v>
      </c>
      <c r="H347" s="2">
        <f t="shared" si="45"/>
        <v>1104.32</v>
      </c>
      <c r="I347" s="2">
        <f t="shared" si="46"/>
        <v>197101.90000000052</v>
      </c>
    </row>
    <row r="348" spans="1:9" x14ac:dyDescent="0.25">
      <c r="A348" s="1">
        <v>54332</v>
      </c>
      <c r="B348" s="2">
        <f t="shared" si="47"/>
        <v>13804</v>
      </c>
      <c r="C348" s="2">
        <f t="shared" si="40"/>
        <v>500</v>
      </c>
      <c r="D348" s="2">
        <f t="shared" si="41"/>
        <v>14304</v>
      </c>
      <c r="E348" s="2">
        <f t="shared" si="42"/>
        <v>572.16</v>
      </c>
      <c r="F348" s="2">
        <f t="shared" si="43"/>
        <v>572.16</v>
      </c>
      <c r="G348" s="2">
        <f t="shared" si="44"/>
        <v>0</v>
      </c>
      <c r="H348" s="2">
        <f t="shared" si="45"/>
        <v>1144.32</v>
      </c>
      <c r="I348" s="2">
        <f t="shared" si="46"/>
        <v>198246.22000000053</v>
      </c>
    </row>
    <row r="349" spans="1:9" x14ac:dyDescent="0.25">
      <c r="A349" s="1">
        <v>54363</v>
      </c>
      <c r="B349" s="2">
        <f t="shared" si="47"/>
        <v>13804</v>
      </c>
      <c r="C349" s="2">
        <f t="shared" si="40"/>
        <v>0</v>
      </c>
      <c r="D349" s="2">
        <f t="shared" si="41"/>
        <v>13804</v>
      </c>
      <c r="E349" s="2">
        <f t="shared" si="42"/>
        <v>552.16</v>
      </c>
      <c r="F349" s="2">
        <f t="shared" si="43"/>
        <v>552.16</v>
      </c>
      <c r="G349" s="2">
        <f t="shared" si="44"/>
        <v>0</v>
      </c>
      <c r="H349" s="2">
        <f t="shared" si="45"/>
        <v>1104.32</v>
      </c>
      <c r="I349" s="2">
        <f t="shared" si="46"/>
        <v>199350.54000000053</v>
      </c>
    </row>
    <row r="350" spans="1:9" x14ac:dyDescent="0.25">
      <c r="A350" s="1">
        <v>54393</v>
      </c>
      <c r="B350" s="2">
        <f t="shared" si="47"/>
        <v>13804</v>
      </c>
      <c r="C350" s="2">
        <f t="shared" si="40"/>
        <v>0</v>
      </c>
      <c r="D350" s="2">
        <f t="shared" si="41"/>
        <v>13804</v>
      </c>
      <c r="E350" s="2">
        <f t="shared" si="42"/>
        <v>552.16</v>
      </c>
      <c r="F350" s="2">
        <f t="shared" si="43"/>
        <v>552.16</v>
      </c>
      <c r="G350" s="2">
        <f t="shared" si="44"/>
        <v>240</v>
      </c>
      <c r="H350" s="2">
        <f t="shared" si="45"/>
        <v>1104.32</v>
      </c>
      <c r="I350" s="2">
        <f t="shared" si="46"/>
        <v>200694.86000000054</v>
      </c>
    </row>
    <row r="351" spans="1:9" x14ac:dyDescent="0.25">
      <c r="A351" s="1">
        <v>54424</v>
      </c>
      <c r="B351" s="2">
        <f t="shared" si="47"/>
        <v>14150</v>
      </c>
      <c r="C351" s="2">
        <f t="shared" si="40"/>
        <v>500</v>
      </c>
      <c r="D351" s="2">
        <f t="shared" si="41"/>
        <v>14650</v>
      </c>
      <c r="E351" s="2">
        <f t="shared" si="42"/>
        <v>586</v>
      </c>
      <c r="F351" s="2">
        <f t="shared" si="43"/>
        <v>586</v>
      </c>
      <c r="G351" s="2">
        <f t="shared" si="44"/>
        <v>0</v>
      </c>
      <c r="H351" s="2">
        <f t="shared" si="45"/>
        <v>1172</v>
      </c>
      <c r="I351" s="2">
        <f t="shared" si="46"/>
        <v>201866.86000000054</v>
      </c>
    </row>
    <row r="352" spans="1:9" x14ac:dyDescent="0.25">
      <c r="A352" s="1">
        <v>54455</v>
      </c>
      <c r="B352" s="2">
        <f t="shared" si="47"/>
        <v>14150</v>
      </c>
      <c r="C352" s="2">
        <f t="shared" si="40"/>
        <v>0</v>
      </c>
      <c r="D352" s="2">
        <f t="shared" si="41"/>
        <v>14150</v>
      </c>
      <c r="E352" s="2">
        <f t="shared" si="42"/>
        <v>566</v>
      </c>
      <c r="F352" s="2">
        <f t="shared" si="43"/>
        <v>566</v>
      </c>
      <c r="G352" s="2">
        <f t="shared" si="44"/>
        <v>0</v>
      </c>
      <c r="H352" s="2">
        <f t="shared" si="45"/>
        <v>1132</v>
      </c>
      <c r="I352" s="2">
        <f t="shared" si="46"/>
        <v>202998.86000000054</v>
      </c>
    </row>
    <row r="353" spans="1:9" x14ac:dyDescent="0.25">
      <c r="A353" s="1">
        <v>54483</v>
      </c>
      <c r="B353" s="2">
        <f t="shared" si="47"/>
        <v>14150</v>
      </c>
      <c r="C353" s="2">
        <f t="shared" si="40"/>
        <v>0</v>
      </c>
      <c r="D353" s="2">
        <f t="shared" si="41"/>
        <v>14150</v>
      </c>
      <c r="E353" s="2">
        <f t="shared" si="42"/>
        <v>566</v>
      </c>
      <c r="F353" s="2">
        <f t="shared" si="43"/>
        <v>566</v>
      </c>
      <c r="G353" s="2">
        <f t="shared" si="44"/>
        <v>0</v>
      </c>
      <c r="H353" s="2">
        <f t="shared" si="45"/>
        <v>1132</v>
      </c>
      <c r="I353" s="2">
        <f t="shared" si="46"/>
        <v>204130.86000000054</v>
      </c>
    </row>
    <row r="354" spans="1:9" x14ac:dyDescent="0.25">
      <c r="A354" s="1">
        <v>54514</v>
      </c>
      <c r="B354" s="2">
        <f t="shared" si="47"/>
        <v>14150</v>
      </c>
      <c r="C354" s="2">
        <f t="shared" si="40"/>
        <v>500</v>
      </c>
      <c r="D354" s="2">
        <f t="shared" si="41"/>
        <v>14650</v>
      </c>
      <c r="E354" s="2">
        <f t="shared" si="42"/>
        <v>586</v>
      </c>
      <c r="F354" s="2">
        <f t="shared" si="43"/>
        <v>586</v>
      </c>
      <c r="G354" s="2">
        <f t="shared" si="44"/>
        <v>0</v>
      </c>
      <c r="H354" s="2">
        <f t="shared" si="45"/>
        <v>1172</v>
      </c>
      <c r="I354" s="2">
        <f t="shared" si="46"/>
        <v>205302.86000000054</v>
      </c>
    </row>
    <row r="355" spans="1:9" x14ac:dyDescent="0.25">
      <c r="A355" s="1">
        <v>54544</v>
      </c>
      <c r="B355" s="2">
        <f t="shared" si="47"/>
        <v>14150</v>
      </c>
      <c r="C355" s="2">
        <f t="shared" si="40"/>
        <v>0</v>
      </c>
      <c r="D355" s="2">
        <f t="shared" si="41"/>
        <v>14150</v>
      </c>
      <c r="E355" s="2">
        <f t="shared" si="42"/>
        <v>566</v>
      </c>
      <c r="F355" s="2">
        <f t="shared" si="43"/>
        <v>566</v>
      </c>
      <c r="G355" s="2">
        <f t="shared" si="44"/>
        <v>0</v>
      </c>
      <c r="H355" s="2">
        <f t="shared" si="45"/>
        <v>1132</v>
      </c>
      <c r="I355" s="2">
        <f t="shared" si="46"/>
        <v>206434.86000000054</v>
      </c>
    </row>
    <row r="356" spans="1:9" x14ac:dyDescent="0.25">
      <c r="A356" s="1">
        <v>54575</v>
      </c>
      <c r="B356" s="2">
        <f t="shared" si="47"/>
        <v>14150</v>
      </c>
      <c r="C356" s="2">
        <f t="shared" si="40"/>
        <v>0</v>
      </c>
      <c r="D356" s="2">
        <f t="shared" si="41"/>
        <v>14150</v>
      </c>
      <c r="E356" s="2">
        <f t="shared" si="42"/>
        <v>566</v>
      </c>
      <c r="F356" s="2">
        <f t="shared" si="43"/>
        <v>566</v>
      </c>
      <c r="G356" s="2">
        <f t="shared" si="44"/>
        <v>0</v>
      </c>
      <c r="H356" s="2">
        <f t="shared" si="45"/>
        <v>1132</v>
      </c>
      <c r="I356" s="2">
        <f t="shared" si="46"/>
        <v>207566.86000000054</v>
      </c>
    </row>
    <row r="357" spans="1:9" x14ac:dyDescent="0.25">
      <c r="A357" s="1">
        <v>54605</v>
      </c>
      <c r="B357" s="2">
        <f t="shared" si="47"/>
        <v>14150</v>
      </c>
      <c r="C357" s="2">
        <f t="shared" si="40"/>
        <v>500</v>
      </c>
      <c r="D357" s="2">
        <f t="shared" si="41"/>
        <v>14650</v>
      </c>
      <c r="E357" s="2">
        <f t="shared" si="42"/>
        <v>586</v>
      </c>
      <c r="F357" s="2">
        <f t="shared" si="43"/>
        <v>586</v>
      </c>
      <c r="G357" s="2">
        <f t="shared" si="44"/>
        <v>0</v>
      </c>
      <c r="H357" s="2">
        <f t="shared" si="45"/>
        <v>1172</v>
      </c>
      <c r="I357" s="2">
        <f t="shared" si="46"/>
        <v>208738.86000000054</v>
      </c>
    </row>
    <row r="358" spans="1:9" x14ac:dyDescent="0.25">
      <c r="A358" s="1">
        <v>54636</v>
      </c>
      <c r="B358" s="2">
        <f t="shared" si="47"/>
        <v>14150</v>
      </c>
      <c r="C358" s="2">
        <f t="shared" si="40"/>
        <v>0</v>
      </c>
      <c r="D358" s="2">
        <f t="shared" si="41"/>
        <v>14150</v>
      </c>
      <c r="E358" s="2">
        <f t="shared" si="42"/>
        <v>566</v>
      </c>
      <c r="F358" s="2">
        <f t="shared" si="43"/>
        <v>566</v>
      </c>
      <c r="G358" s="2">
        <f t="shared" si="44"/>
        <v>0</v>
      </c>
      <c r="H358" s="2">
        <f t="shared" si="45"/>
        <v>1132</v>
      </c>
      <c r="I358" s="2">
        <f t="shared" si="46"/>
        <v>209870.86000000054</v>
      </c>
    </row>
    <row r="359" spans="1:9" x14ac:dyDescent="0.25">
      <c r="A359" s="1">
        <v>54667</v>
      </c>
      <c r="B359" s="2">
        <f t="shared" si="47"/>
        <v>14150</v>
      </c>
      <c r="C359" s="2">
        <f t="shared" si="40"/>
        <v>0</v>
      </c>
      <c r="D359" s="2">
        <f t="shared" si="41"/>
        <v>14150</v>
      </c>
      <c r="E359" s="2">
        <f t="shared" si="42"/>
        <v>566</v>
      </c>
      <c r="F359" s="2">
        <f t="shared" si="43"/>
        <v>566</v>
      </c>
      <c r="G359" s="2">
        <f t="shared" si="44"/>
        <v>0</v>
      </c>
      <c r="H359" s="2">
        <f t="shared" si="45"/>
        <v>1132</v>
      </c>
      <c r="I359" s="2">
        <f t="shared" si="46"/>
        <v>211002.86000000054</v>
      </c>
    </row>
    <row r="360" spans="1:9" x14ac:dyDescent="0.25">
      <c r="A360" s="1">
        <v>54697</v>
      </c>
      <c r="B360" s="2">
        <f t="shared" si="47"/>
        <v>14150</v>
      </c>
      <c r="C360" s="2">
        <f t="shared" si="40"/>
        <v>500</v>
      </c>
      <c r="D360" s="2">
        <f t="shared" si="41"/>
        <v>14650</v>
      </c>
      <c r="E360" s="2">
        <f t="shared" si="42"/>
        <v>586</v>
      </c>
      <c r="F360" s="2">
        <f t="shared" si="43"/>
        <v>586</v>
      </c>
      <c r="G360" s="2">
        <f t="shared" si="44"/>
        <v>0</v>
      </c>
      <c r="H360" s="2">
        <f t="shared" si="45"/>
        <v>1172</v>
      </c>
      <c r="I360" s="2">
        <f t="shared" si="46"/>
        <v>212174.86000000054</v>
      </c>
    </row>
    <row r="361" spans="1:9" x14ac:dyDescent="0.25">
      <c r="A361" s="1">
        <v>54728</v>
      </c>
      <c r="B361" s="2">
        <f t="shared" si="47"/>
        <v>14150</v>
      </c>
      <c r="C361" s="2">
        <f t="shared" si="40"/>
        <v>0</v>
      </c>
      <c r="D361" s="2">
        <f t="shared" si="41"/>
        <v>14150</v>
      </c>
      <c r="E361" s="2">
        <f t="shared" si="42"/>
        <v>566</v>
      </c>
      <c r="F361" s="2">
        <f t="shared" si="43"/>
        <v>566</v>
      </c>
      <c r="G361" s="2">
        <f t="shared" si="44"/>
        <v>0</v>
      </c>
      <c r="H361" s="2">
        <f t="shared" si="45"/>
        <v>1132</v>
      </c>
      <c r="I361" s="2">
        <f t="shared" si="46"/>
        <v>213306.86000000054</v>
      </c>
    </row>
    <row r="362" spans="1:9" x14ac:dyDescent="0.25">
      <c r="A362" s="1">
        <v>54758</v>
      </c>
      <c r="B362" s="2">
        <f t="shared" si="47"/>
        <v>14150</v>
      </c>
      <c r="C362" s="2">
        <f t="shared" si="40"/>
        <v>0</v>
      </c>
      <c r="D362" s="2">
        <f t="shared" si="41"/>
        <v>14150</v>
      </c>
      <c r="E362" s="2">
        <f t="shared" si="42"/>
        <v>566</v>
      </c>
      <c r="F362" s="2">
        <f t="shared" si="43"/>
        <v>566</v>
      </c>
      <c r="G362" s="2">
        <f t="shared" si="44"/>
        <v>240</v>
      </c>
      <c r="H362" s="2">
        <f t="shared" si="45"/>
        <v>1132</v>
      </c>
      <c r="I362" s="2">
        <f t="shared" si="46"/>
        <v>214678.86000000054</v>
      </c>
    </row>
    <row r="363" spans="1:9" x14ac:dyDescent="0.25">
      <c r="A363" s="1">
        <v>54789</v>
      </c>
      <c r="B363" s="2">
        <f t="shared" si="47"/>
        <v>14504</v>
      </c>
      <c r="C363" s="2">
        <f t="shared" si="40"/>
        <v>500</v>
      </c>
      <c r="D363" s="2">
        <f t="shared" si="41"/>
        <v>15004</v>
      </c>
      <c r="E363" s="2">
        <f t="shared" si="42"/>
        <v>600.16</v>
      </c>
      <c r="F363" s="2">
        <f t="shared" si="43"/>
        <v>600.16</v>
      </c>
      <c r="G363" s="2">
        <f t="shared" si="44"/>
        <v>0</v>
      </c>
      <c r="H363" s="2">
        <f t="shared" si="45"/>
        <v>1200.32</v>
      </c>
      <c r="I363" s="2">
        <f t="shared" si="46"/>
        <v>215879.18000000055</v>
      </c>
    </row>
    <row r="364" spans="1:9" x14ac:dyDescent="0.25">
      <c r="A364" s="1">
        <v>54820</v>
      </c>
      <c r="B364" s="2">
        <f t="shared" si="47"/>
        <v>14504</v>
      </c>
      <c r="C364" s="2">
        <f t="shared" si="40"/>
        <v>0</v>
      </c>
      <c r="D364" s="2">
        <f t="shared" si="41"/>
        <v>14504</v>
      </c>
      <c r="E364" s="2">
        <f t="shared" si="42"/>
        <v>580.16</v>
      </c>
      <c r="F364" s="2">
        <f t="shared" si="43"/>
        <v>580.16</v>
      </c>
      <c r="G364" s="2">
        <f t="shared" si="44"/>
        <v>0</v>
      </c>
      <c r="H364" s="2">
        <f t="shared" si="45"/>
        <v>1160.32</v>
      </c>
      <c r="I364" s="2">
        <f t="shared" si="46"/>
        <v>217039.50000000055</v>
      </c>
    </row>
    <row r="365" spans="1:9" x14ac:dyDescent="0.25">
      <c r="A365" s="1">
        <v>54848</v>
      </c>
      <c r="B365" s="2">
        <f t="shared" si="47"/>
        <v>14504</v>
      </c>
      <c r="C365" s="2">
        <f t="shared" si="40"/>
        <v>0</v>
      </c>
      <c r="D365" s="2">
        <f t="shared" si="41"/>
        <v>14504</v>
      </c>
      <c r="E365" s="2">
        <f t="shared" si="42"/>
        <v>580.16</v>
      </c>
      <c r="F365" s="2">
        <f t="shared" si="43"/>
        <v>580.16</v>
      </c>
      <c r="G365" s="2">
        <f t="shared" si="44"/>
        <v>0</v>
      </c>
      <c r="H365" s="2">
        <f t="shared" si="45"/>
        <v>1160.32</v>
      </c>
      <c r="I365" s="2">
        <f t="shared" si="46"/>
        <v>218199.82000000056</v>
      </c>
    </row>
    <row r="366" spans="1:9" x14ac:dyDescent="0.25">
      <c r="A366" s="1">
        <v>54879</v>
      </c>
      <c r="B366" s="2">
        <f t="shared" si="47"/>
        <v>14504</v>
      </c>
      <c r="C366" s="2">
        <f t="shared" si="40"/>
        <v>500</v>
      </c>
      <c r="D366" s="2">
        <f t="shared" si="41"/>
        <v>15004</v>
      </c>
      <c r="E366" s="2">
        <f t="shared" si="42"/>
        <v>600.16</v>
      </c>
      <c r="F366" s="2">
        <f t="shared" si="43"/>
        <v>600.16</v>
      </c>
      <c r="G366" s="2">
        <f t="shared" si="44"/>
        <v>0</v>
      </c>
      <c r="H366" s="2">
        <f t="shared" si="45"/>
        <v>1200.32</v>
      </c>
      <c r="I366" s="2">
        <f t="shared" si="46"/>
        <v>219400.14000000057</v>
      </c>
    </row>
    <row r="367" spans="1:9" x14ac:dyDescent="0.25">
      <c r="A367" s="1">
        <v>54909</v>
      </c>
      <c r="B367" s="2">
        <f t="shared" si="47"/>
        <v>14504</v>
      </c>
      <c r="C367" s="2">
        <f t="shared" si="40"/>
        <v>0</v>
      </c>
      <c r="D367" s="2">
        <f t="shared" si="41"/>
        <v>14504</v>
      </c>
      <c r="E367" s="2">
        <f t="shared" si="42"/>
        <v>580.16</v>
      </c>
      <c r="F367" s="2">
        <f t="shared" si="43"/>
        <v>580.16</v>
      </c>
      <c r="G367" s="2">
        <f t="shared" si="44"/>
        <v>0</v>
      </c>
      <c r="H367" s="2">
        <f t="shared" si="45"/>
        <v>1160.32</v>
      </c>
      <c r="I367" s="2">
        <f t="shared" si="46"/>
        <v>220560.46000000057</v>
      </c>
    </row>
    <row r="368" spans="1:9" x14ac:dyDescent="0.25">
      <c r="A368" s="1">
        <v>54940</v>
      </c>
      <c r="B368" s="2">
        <f t="shared" si="47"/>
        <v>14504</v>
      </c>
      <c r="C368" s="2">
        <f t="shared" si="40"/>
        <v>0</v>
      </c>
      <c r="D368" s="2">
        <f t="shared" si="41"/>
        <v>14504</v>
      </c>
      <c r="E368" s="2">
        <f t="shared" si="42"/>
        <v>580.16</v>
      </c>
      <c r="F368" s="2">
        <f t="shared" si="43"/>
        <v>580.16</v>
      </c>
      <c r="G368" s="2">
        <f t="shared" si="44"/>
        <v>0</v>
      </c>
      <c r="H368" s="2">
        <f t="shared" si="45"/>
        <v>1160.32</v>
      </c>
      <c r="I368" s="2">
        <f t="shared" si="46"/>
        <v>221720.78000000058</v>
      </c>
    </row>
    <row r="369" spans="1:9" x14ac:dyDescent="0.25">
      <c r="A369" s="1">
        <v>54970</v>
      </c>
      <c r="B369" s="2">
        <f t="shared" si="47"/>
        <v>14504</v>
      </c>
      <c r="C369" s="2">
        <f t="shared" si="40"/>
        <v>500</v>
      </c>
      <c r="D369" s="2">
        <f t="shared" si="41"/>
        <v>15004</v>
      </c>
      <c r="E369" s="2">
        <f t="shared" si="42"/>
        <v>600.16</v>
      </c>
      <c r="F369" s="2">
        <f t="shared" si="43"/>
        <v>600.16</v>
      </c>
      <c r="G369" s="2">
        <f t="shared" si="44"/>
        <v>0</v>
      </c>
      <c r="H369" s="2">
        <f t="shared" si="45"/>
        <v>1200.32</v>
      </c>
      <c r="I369" s="2">
        <f t="shared" si="46"/>
        <v>222921.10000000059</v>
      </c>
    </row>
    <row r="370" spans="1:9" x14ac:dyDescent="0.25">
      <c r="A370" s="1">
        <v>55001</v>
      </c>
      <c r="B370" s="2">
        <f t="shared" si="47"/>
        <v>14504</v>
      </c>
      <c r="C370" s="2">
        <f t="shared" si="40"/>
        <v>0</v>
      </c>
      <c r="D370" s="2">
        <f t="shared" si="41"/>
        <v>14504</v>
      </c>
      <c r="E370" s="2">
        <f t="shared" si="42"/>
        <v>580.16</v>
      </c>
      <c r="F370" s="2">
        <f t="shared" si="43"/>
        <v>580.16</v>
      </c>
      <c r="G370" s="2">
        <f t="shared" si="44"/>
        <v>0</v>
      </c>
      <c r="H370" s="2">
        <f t="shared" si="45"/>
        <v>1160.32</v>
      </c>
      <c r="I370" s="2">
        <f t="shared" si="46"/>
        <v>224081.42000000059</v>
      </c>
    </row>
    <row r="371" spans="1:9" x14ac:dyDescent="0.25">
      <c r="A371" s="1">
        <v>55032</v>
      </c>
      <c r="B371" s="2">
        <f t="shared" si="47"/>
        <v>14504</v>
      </c>
      <c r="C371" s="2">
        <f t="shared" si="40"/>
        <v>0</v>
      </c>
      <c r="D371" s="2">
        <f t="shared" si="41"/>
        <v>14504</v>
      </c>
      <c r="E371" s="2">
        <f t="shared" si="42"/>
        <v>580.16</v>
      </c>
      <c r="F371" s="2">
        <f t="shared" si="43"/>
        <v>580.16</v>
      </c>
      <c r="G371" s="2">
        <f t="shared" si="44"/>
        <v>0</v>
      </c>
      <c r="H371" s="2">
        <f t="shared" si="45"/>
        <v>1160.32</v>
      </c>
      <c r="I371" s="2">
        <f t="shared" si="46"/>
        <v>225241.7400000006</v>
      </c>
    </row>
    <row r="372" spans="1:9" x14ac:dyDescent="0.25">
      <c r="A372" s="1">
        <v>55062</v>
      </c>
      <c r="B372" s="2">
        <f t="shared" si="47"/>
        <v>14504</v>
      </c>
      <c r="C372" s="2">
        <f t="shared" si="40"/>
        <v>500</v>
      </c>
      <c r="D372" s="2">
        <f t="shared" si="41"/>
        <v>15004</v>
      </c>
      <c r="E372" s="2">
        <f t="shared" si="42"/>
        <v>600.16</v>
      </c>
      <c r="F372" s="2">
        <f t="shared" si="43"/>
        <v>600.16</v>
      </c>
      <c r="G372" s="2">
        <f t="shared" si="44"/>
        <v>0</v>
      </c>
      <c r="H372" s="2">
        <f t="shared" si="45"/>
        <v>1200.32</v>
      </c>
      <c r="I372" s="2">
        <f t="shared" si="46"/>
        <v>226442.06000000061</v>
      </c>
    </row>
    <row r="373" spans="1:9" x14ac:dyDescent="0.25">
      <c r="A373" s="1">
        <v>55093</v>
      </c>
      <c r="B373" s="2">
        <f t="shared" si="47"/>
        <v>14504</v>
      </c>
      <c r="C373" s="2">
        <f t="shared" si="40"/>
        <v>0</v>
      </c>
      <c r="D373" s="2">
        <f t="shared" si="41"/>
        <v>14504</v>
      </c>
      <c r="E373" s="2">
        <f t="shared" si="42"/>
        <v>580.16</v>
      </c>
      <c r="F373" s="2">
        <f t="shared" si="43"/>
        <v>580.16</v>
      </c>
      <c r="G373" s="2">
        <f t="shared" si="44"/>
        <v>0</v>
      </c>
      <c r="H373" s="2">
        <f t="shared" si="45"/>
        <v>1160.32</v>
      </c>
      <c r="I373" s="2">
        <f t="shared" si="46"/>
        <v>227602.38000000062</v>
      </c>
    </row>
    <row r="374" spans="1:9" x14ac:dyDescent="0.25">
      <c r="A374" s="1">
        <v>55123</v>
      </c>
      <c r="B374" s="2">
        <f t="shared" si="47"/>
        <v>14504</v>
      </c>
      <c r="C374" s="2">
        <f t="shared" si="40"/>
        <v>0</v>
      </c>
      <c r="D374" s="2">
        <f t="shared" si="41"/>
        <v>14504</v>
      </c>
      <c r="E374" s="2">
        <f t="shared" si="42"/>
        <v>580.16</v>
      </c>
      <c r="F374" s="2">
        <f t="shared" si="43"/>
        <v>580.16</v>
      </c>
      <c r="G374" s="2">
        <f t="shared" si="44"/>
        <v>240</v>
      </c>
      <c r="H374" s="2">
        <f t="shared" si="45"/>
        <v>1160.32</v>
      </c>
      <c r="I374" s="2">
        <f t="shared" si="46"/>
        <v>229002.70000000062</v>
      </c>
    </row>
    <row r="375" spans="1:9" x14ac:dyDescent="0.25">
      <c r="A375" s="1">
        <v>55154</v>
      </c>
      <c r="B375" s="2">
        <f t="shared" si="47"/>
        <v>14867</v>
      </c>
      <c r="C375" s="2">
        <f t="shared" si="40"/>
        <v>500</v>
      </c>
      <c r="D375" s="2">
        <f t="shared" si="41"/>
        <v>15367</v>
      </c>
      <c r="E375" s="2">
        <f t="shared" si="42"/>
        <v>614.67999999999995</v>
      </c>
      <c r="F375" s="2">
        <f t="shared" si="43"/>
        <v>614.67999999999995</v>
      </c>
      <c r="G375" s="2">
        <f t="shared" si="44"/>
        <v>0</v>
      </c>
      <c r="H375" s="2">
        <f t="shared" si="45"/>
        <v>1229.3599999999999</v>
      </c>
      <c r="I375" s="2">
        <f t="shared" si="46"/>
        <v>230232.06000000061</v>
      </c>
    </row>
    <row r="376" spans="1:9" x14ac:dyDescent="0.25">
      <c r="A376" s="1">
        <v>55185</v>
      </c>
      <c r="B376" s="2">
        <f t="shared" si="47"/>
        <v>14867</v>
      </c>
      <c r="C376" s="2">
        <f t="shared" si="40"/>
        <v>0</v>
      </c>
      <c r="D376" s="2">
        <f t="shared" si="41"/>
        <v>14867</v>
      </c>
      <c r="E376" s="2">
        <f t="shared" si="42"/>
        <v>594.67999999999995</v>
      </c>
      <c r="F376" s="2">
        <f t="shared" si="43"/>
        <v>594.67999999999995</v>
      </c>
      <c r="G376" s="2">
        <f t="shared" si="44"/>
        <v>0</v>
      </c>
      <c r="H376" s="2">
        <f t="shared" si="45"/>
        <v>1189.3599999999999</v>
      </c>
      <c r="I376" s="2">
        <f t="shared" si="46"/>
        <v>231421.42000000059</v>
      </c>
    </row>
    <row r="377" spans="1:9" x14ac:dyDescent="0.25">
      <c r="A377" s="1">
        <v>55213</v>
      </c>
      <c r="B377" s="2">
        <f t="shared" si="47"/>
        <v>14867</v>
      </c>
      <c r="C377" s="2">
        <f t="shared" si="40"/>
        <v>0</v>
      </c>
      <c r="D377" s="2">
        <f t="shared" si="41"/>
        <v>14867</v>
      </c>
      <c r="E377" s="2">
        <f t="shared" si="42"/>
        <v>594.67999999999995</v>
      </c>
      <c r="F377" s="2">
        <f t="shared" si="43"/>
        <v>594.67999999999995</v>
      </c>
      <c r="G377" s="2">
        <f t="shared" si="44"/>
        <v>0</v>
      </c>
      <c r="H377" s="2">
        <f t="shared" si="45"/>
        <v>1189.3599999999999</v>
      </c>
      <c r="I377" s="2">
        <f t="shared" si="46"/>
        <v>232610.78000000058</v>
      </c>
    </row>
    <row r="378" spans="1:9" x14ac:dyDescent="0.25">
      <c r="A378" s="1">
        <v>55244</v>
      </c>
      <c r="B378" s="2">
        <f t="shared" si="47"/>
        <v>14867</v>
      </c>
      <c r="C378" s="2">
        <f t="shared" si="40"/>
        <v>500</v>
      </c>
      <c r="D378" s="2">
        <f t="shared" si="41"/>
        <v>15367</v>
      </c>
      <c r="E378" s="2">
        <f t="shared" si="42"/>
        <v>614.67999999999995</v>
      </c>
      <c r="F378" s="2">
        <f t="shared" si="43"/>
        <v>614.67999999999995</v>
      </c>
      <c r="G378" s="2">
        <f t="shared" si="44"/>
        <v>0</v>
      </c>
      <c r="H378" s="2">
        <f t="shared" si="45"/>
        <v>1229.3599999999999</v>
      </c>
      <c r="I378" s="2">
        <f t="shared" si="46"/>
        <v>233840.14000000057</v>
      </c>
    </row>
    <row r="379" spans="1:9" x14ac:dyDescent="0.25">
      <c r="A379" s="1">
        <v>55274</v>
      </c>
      <c r="B379" s="2">
        <f t="shared" si="47"/>
        <v>14867</v>
      </c>
      <c r="C379" s="2">
        <f t="shared" si="40"/>
        <v>0</v>
      </c>
      <c r="D379" s="2">
        <f t="shared" si="41"/>
        <v>14867</v>
      </c>
      <c r="E379" s="2">
        <f t="shared" si="42"/>
        <v>594.67999999999995</v>
      </c>
      <c r="F379" s="2">
        <f t="shared" si="43"/>
        <v>594.67999999999995</v>
      </c>
      <c r="G379" s="2">
        <f t="shared" si="44"/>
        <v>0</v>
      </c>
      <c r="H379" s="2">
        <f t="shared" si="45"/>
        <v>1189.3599999999999</v>
      </c>
      <c r="I379" s="2">
        <f t="shared" si="46"/>
        <v>235029.50000000055</v>
      </c>
    </row>
    <row r="380" spans="1:9" x14ac:dyDescent="0.25">
      <c r="A380" s="1">
        <v>55305</v>
      </c>
      <c r="B380" s="2">
        <f t="shared" si="47"/>
        <v>14867</v>
      </c>
      <c r="C380" s="2">
        <f t="shared" si="40"/>
        <v>0</v>
      </c>
      <c r="D380" s="2">
        <f t="shared" si="41"/>
        <v>14867</v>
      </c>
      <c r="E380" s="2">
        <f t="shared" si="42"/>
        <v>594.67999999999995</v>
      </c>
      <c r="F380" s="2">
        <f t="shared" si="43"/>
        <v>594.67999999999995</v>
      </c>
      <c r="G380" s="2">
        <f t="shared" si="44"/>
        <v>0</v>
      </c>
      <c r="H380" s="2">
        <f t="shared" si="45"/>
        <v>1189.3599999999999</v>
      </c>
      <c r="I380" s="2">
        <f t="shared" si="46"/>
        <v>236218.86000000054</v>
      </c>
    </row>
    <row r="381" spans="1:9" x14ac:dyDescent="0.25">
      <c r="A381" s="1">
        <v>55335</v>
      </c>
      <c r="B381" s="2">
        <f t="shared" si="47"/>
        <v>14867</v>
      </c>
      <c r="C381" s="2">
        <f t="shared" si="40"/>
        <v>500</v>
      </c>
      <c r="D381" s="2">
        <f t="shared" si="41"/>
        <v>15367</v>
      </c>
      <c r="E381" s="2">
        <f t="shared" si="42"/>
        <v>614.67999999999995</v>
      </c>
      <c r="F381" s="2">
        <f t="shared" si="43"/>
        <v>614.67999999999995</v>
      </c>
      <c r="G381" s="2">
        <f t="shared" si="44"/>
        <v>0</v>
      </c>
      <c r="H381" s="2">
        <f t="shared" si="45"/>
        <v>1229.3599999999999</v>
      </c>
      <c r="I381" s="2">
        <f t="shared" si="46"/>
        <v>237448.22000000053</v>
      </c>
    </row>
    <row r="382" spans="1:9" x14ac:dyDescent="0.25">
      <c r="A382" s="1">
        <v>55366</v>
      </c>
      <c r="B382" s="2">
        <f t="shared" si="47"/>
        <v>14867</v>
      </c>
      <c r="C382" s="2">
        <f t="shared" si="40"/>
        <v>0</v>
      </c>
      <c r="D382" s="2">
        <f t="shared" si="41"/>
        <v>14867</v>
      </c>
      <c r="E382" s="2">
        <f t="shared" si="42"/>
        <v>594.67999999999995</v>
      </c>
      <c r="F382" s="2">
        <f t="shared" si="43"/>
        <v>594.67999999999995</v>
      </c>
      <c r="G382" s="2">
        <f t="shared" si="44"/>
        <v>0</v>
      </c>
      <c r="H382" s="2">
        <f t="shared" si="45"/>
        <v>1189.3599999999999</v>
      </c>
      <c r="I382" s="2">
        <f t="shared" si="46"/>
        <v>238637.58000000051</v>
      </c>
    </row>
    <row r="383" spans="1:9" x14ac:dyDescent="0.25">
      <c r="A383" s="1">
        <v>55397</v>
      </c>
      <c r="B383" s="2">
        <f t="shared" si="47"/>
        <v>14867</v>
      </c>
      <c r="C383" s="2">
        <f t="shared" si="40"/>
        <v>0</v>
      </c>
      <c r="D383" s="2">
        <f t="shared" si="41"/>
        <v>14867</v>
      </c>
      <c r="E383" s="2">
        <f t="shared" si="42"/>
        <v>594.67999999999995</v>
      </c>
      <c r="F383" s="2">
        <f t="shared" si="43"/>
        <v>594.67999999999995</v>
      </c>
      <c r="G383" s="2">
        <f t="shared" si="44"/>
        <v>0</v>
      </c>
      <c r="H383" s="2">
        <f t="shared" si="45"/>
        <v>1189.3599999999999</v>
      </c>
      <c r="I383" s="2">
        <f t="shared" si="46"/>
        <v>239826.9400000005</v>
      </c>
    </row>
    <row r="384" spans="1:9" x14ac:dyDescent="0.25">
      <c r="A384" s="1">
        <v>55427</v>
      </c>
      <c r="B384" s="2">
        <f t="shared" si="47"/>
        <v>14867</v>
      </c>
      <c r="C384" s="2">
        <f t="shared" si="40"/>
        <v>500</v>
      </c>
      <c r="D384" s="2">
        <f t="shared" si="41"/>
        <v>15367</v>
      </c>
      <c r="E384" s="2">
        <f t="shared" si="42"/>
        <v>614.67999999999995</v>
      </c>
      <c r="F384" s="2">
        <f t="shared" si="43"/>
        <v>614.67999999999995</v>
      </c>
      <c r="G384" s="2">
        <f t="shared" si="44"/>
        <v>0</v>
      </c>
      <c r="H384" s="2">
        <f t="shared" si="45"/>
        <v>1229.3599999999999</v>
      </c>
      <c r="I384" s="2">
        <f t="shared" si="46"/>
        <v>241056.30000000048</v>
      </c>
    </row>
    <row r="385" spans="1:9" x14ac:dyDescent="0.25">
      <c r="A385" s="1">
        <v>55458</v>
      </c>
      <c r="B385" s="2">
        <f t="shared" si="47"/>
        <v>14867</v>
      </c>
      <c r="C385" s="2">
        <f t="shared" si="40"/>
        <v>0</v>
      </c>
      <c r="D385" s="2">
        <f t="shared" si="41"/>
        <v>14867</v>
      </c>
      <c r="E385" s="2">
        <f t="shared" si="42"/>
        <v>594.67999999999995</v>
      </c>
      <c r="F385" s="2">
        <f t="shared" si="43"/>
        <v>594.67999999999995</v>
      </c>
      <c r="G385" s="2">
        <f t="shared" si="44"/>
        <v>0</v>
      </c>
      <c r="H385" s="2">
        <f t="shared" si="45"/>
        <v>1189.3599999999999</v>
      </c>
      <c r="I385" s="2">
        <f t="shared" si="46"/>
        <v>242245.66000000047</v>
      </c>
    </row>
    <row r="386" spans="1:9" x14ac:dyDescent="0.25">
      <c r="A386" s="1">
        <v>55488</v>
      </c>
      <c r="B386" s="2">
        <f t="shared" si="47"/>
        <v>14867</v>
      </c>
      <c r="C386" s="2">
        <f t="shared" si="40"/>
        <v>0</v>
      </c>
      <c r="D386" s="2">
        <f t="shared" si="41"/>
        <v>14867</v>
      </c>
      <c r="E386" s="2">
        <f t="shared" si="42"/>
        <v>594.67999999999995</v>
      </c>
      <c r="F386" s="2">
        <f t="shared" si="43"/>
        <v>594.67999999999995</v>
      </c>
      <c r="G386" s="2">
        <f t="shared" si="44"/>
        <v>240</v>
      </c>
      <c r="H386" s="2">
        <f t="shared" si="45"/>
        <v>1189.3599999999999</v>
      </c>
      <c r="I386" s="2">
        <f t="shared" si="46"/>
        <v>243675.02000000046</v>
      </c>
    </row>
    <row r="387" spans="1:9" x14ac:dyDescent="0.25">
      <c r="A387" s="1">
        <v>55519</v>
      </c>
      <c r="B387" s="2">
        <f t="shared" si="47"/>
        <v>15739</v>
      </c>
      <c r="C387" s="2">
        <f t="shared" si="40"/>
        <v>500</v>
      </c>
      <c r="D387" s="2">
        <f t="shared" si="41"/>
        <v>16239</v>
      </c>
      <c r="E387" s="2">
        <f t="shared" si="42"/>
        <v>649.55999999999995</v>
      </c>
      <c r="F387" s="2">
        <f t="shared" si="43"/>
        <v>649.55999999999995</v>
      </c>
      <c r="G387" s="2">
        <f t="shared" si="44"/>
        <v>0</v>
      </c>
      <c r="H387" s="2">
        <f t="shared" si="45"/>
        <v>1299.1199999999999</v>
      </c>
      <c r="I387" s="2">
        <f t="shared" si="46"/>
        <v>244974.14000000045</v>
      </c>
    </row>
    <row r="388" spans="1:9" x14ac:dyDescent="0.25">
      <c r="A388" s="1">
        <v>55550</v>
      </c>
      <c r="B388" s="2">
        <f t="shared" si="47"/>
        <v>15739</v>
      </c>
      <c r="C388" s="2">
        <f t="shared" ref="C388:C451" si="48">IF(AND(OR(MONTH(A388)=1,MONTH(A388)=4,MONTH(A388)=7,MONTH(A388)=10),DATE(2020,1,1)&lt;&gt;A388),500,0)</f>
        <v>0</v>
      </c>
      <c r="D388" s="2">
        <f t="shared" ref="D388:D451" si="49">B388+C388</f>
        <v>15739</v>
      </c>
      <c r="E388" s="2">
        <f t="shared" ref="E388:E451" si="50">IF(B388&gt;8000,ROUND(D388*(0.02+0.02),2),ROUND(D388*(0.02),2))</f>
        <v>629.55999999999995</v>
      </c>
      <c r="F388" s="2">
        <f t="shared" ref="F388:F451" si="51">IF(B388&gt;8000,ROUND(D388*0.04,2),ROUND(D388*0.015,2))</f>
        <v>629.55999999999995</v>
      </c>
      <c r="G388" s="2">
        <f t="shared" ref="G388:G451" si="52">IF(MONTH(A388)=12,240,0)</f>
        <v>0</v>
      </c>
      <c r="H388" s="2">
        <f t="shared" ref="H388:H451" si="53">E388+F388</f>
        <v>1259.1199999999999</v>
      </c>
      <c r="I388" s="2">
        <f t="shared" ref="I388:I451" si="54">I387+E388+F388+G388</f>
        <v>246233.26000000045</v>
      </c>
    </row>
    <row r="389" spans="1:9" x14ac:dyDescent="0.25">
      <c r="A389" s="1">
        <v>55579</v>
      </c>
      <c r="B389" s="2">
        <f t="shared" ref="B389:B452" si="55">IF(YEAR($A389) &gt; YEAR($A388),IF(AND(MOD(YEAR(A389),4)=0,YEAR(A389)&lt;&gt;2020),ROUNDUP($B388*1.025,0)+500,ROUNDUP($B388*1.025,0)),$B388)</f>
        <v>15739</v>
      </c>
      <c r="C389" s="2">
        <f t="shared" si="48"/>
        <v>0</v>
      </c>
      <c r="D389" s="2">
        <f t="shared" si="49"/>
        <v>15739</v>
      </c>
      <c r="E389" s="2">
        <f t="shared" si="50"/>
        <v>629.55999999999995</v>
      </c>
      <c r="F389" s="2">
        <f t="shared" si="51"/>
        <v>629.55999999999995</v>
      </c>
      <c r="G389" s="2">
        <f t="shared" si="52"/>
        <v>0</v>
      </c>
      <c r="H389" s="2">
        <f t="shared" si="53"/>
        <v>1259.1199999999999</v>
      </c>
      <c r="I389" s="2">
        <f t="shared" si="54"/>
        <v>247492.38000000044</v>
      </c>
    </row>
    <row r="390" spans="1:9" x14ac:dyDescent="0.25">
      <c r="A390" s="1">
        <v>55610</v>
      </c>
      <c r="B390" s="2">
        <f t="shared" si="55"/>
        <v>15739</v>
      </c>
      <c r="C390" s="2">
        <f t="shared" si="48"/>
        <v>500</v>
      </c>
      <c r="D390" s="2">
        <f t="shared" si="49"/>
        <v>16239</v>
      </c>
      <c r="E390" s="2">
        <f t="shared" si="50"/>
        <v>649.55999999999995</v>
      </c>
      <c r="F390" s="2">
        <f t="shared" si="51"/>
        <v>649.55999999999995</v>
      </c>
      <c r="G390" s="2">
        <f t="shared" si="52"/>
        <v>0</v>
      </c>
      <c r="H390" s="2">
        <f t="shared" si="53"/>
        <v>1299.1199999999999</v>
      </c>
      <c r="I390" s="2">
        <f t="shared" si="54"/>
        <v>248791.50000000044</v>
      </c>
    </row>
    <row r="391" spans="1:9" x14ac:dyDescent="0.25">
      <c r="A391" s="1">
        <v>55640</v>
      </c>
      <c r="B391" s="2">
        <f t="shared" si="55"/>
        <v>15739</v>
      </c>
      <c r="C391" s="2">
        <f t="shared" si="48"/>
        <v>0</v>
      </c>
      <c r="D391" s="2">
        <f t="shared" si="49"/>
        <v>15739</v>
      </c>
      <c r="E391" s="2">
        <f t="shared" si="50"/>
        <v>629.55999999999995</v>
      </c>
      <c r="F391" s="2">
        <f t="shared" si="51"/>
        <v>629.55999999999995</v>
      </c>
      <c r="G391" s="2">
        <f t="shared" si="52"/>
        <v>0</v>
      </c>
      <c r="H391" s="2">
        <f t="shared" si="53"/>
        <v>1259.1199999999999</v>
      </c>
      <c r="I391" s="2">
        <f t="shared" si="54"/>
        <v>250050.62000000043</v>
      </c>
    </row>
    <row r="392" spans="1:9" x14ac:dyDescent="0.25">
      <c r="A392" s="1">
        <v>55671</v>
      </c>
      <c r="B392" s="2">
        <f t="shared" si="55"/>
        <v>15739</v>
      </c>
      <c r="C392" s="2">
        <f t="shared" si="48"/>
        <v>0</v>
      </c>
      <c r="D392" s="2">
        <f t="shared" si="49"/>
        <v>15739</v>
      </c>
      <c r="E392" s="2">
        <f t="shared" si="50"/>
        <v>629.55999999999995</v>
      </c>
      <c r="F392" s="2">
        <f t="shared" si="51"/>
        <v>629.55999999999995</v>
      </c>
      <c r="G392" s="2">
        <f t="shared" si="52"/>
        <v>0</v>
      </c>
      <c r="H392" s="2">
        <f t="shared" si="53"/>
        <v>1259.1199999999999</v>
      </c>
      <c r="I392" s="2">
        <f t="shared" si="54"/>
        <v>251309.74000000043</v>
      </c>
    </row>
    <row r="393" spans="1:9" x14ac:dyDescent="0.25">
      <c r="A393" s="1">
        <v>55701</v>
      </c>
      <c r="B393" s="2">
        <f t="shared" si="55"/>
        <v>15739</v>
      </c>
      <c r="C393" s="2">
        <f t="shared" si="48"/>
        <v>500</v>
      </c>
      <c r="D393" s="2">
        <f t="shared" si="49"/>
        <v>16239</v>
      </c>
      <c r="E393" s="2">
        <f t="shared" si="50"/>
        <v>649.55999999999995</v>
      </c>
      <c r="F393" s="2">
        <f t="shared" si="51"/>
        <v>649.55999999999995</v>
      </c>
      <c r="G393" s="2">
        <f t="shared" si="52"/>
        <v>0</v>
      </c>
      <c r="H393" s="2">
        <f t="shared" si="53"/>
        <v>1299.1199999999999</v>
      </c>
      <c r="I393" s="2">
        <f t="shared" si="54"/>
        <v>252608.86000000042</v>
      </c>
    </row>
    <row r="394" spans="1:9" x14ac:dyDescent="0.25">
      <c r="A394" s="1">
        <v>55732</v>
      </c>
      <c r="B394" s="2">
        <f t="shared" si="55"/>
        <v>15739</v>
      </c>
      <c r="C394" s="2">
        <f t="shared" si="48"/>
        <v>0</v>
      </c>
      <c r="D394" s="2">
        <f t="shared" si="49"/>
        <v>15739</v>
      </c>
      <c r="E394" s="2">
        <f t="shared" si="50"/>
        <v>629.55999999999995</v>
      </c>
      <c r="F394" s="2">
        <f t="shared" si="51"/>
        <v>629.55999999999995</v>
      </c>
      <c r="G394" s="2">
        <f t="shared" si="52"/>
        <v>0</v>
      </c>
      <c r="H394" s="2">
        <f t="shared" si="53"/>
        <v>1259.1199999999999</v>
      </c>
      <c r="I394" s="2">
        <f t="shared" si="54"/>
        <v>253867.98000000042</v>
      </c>
    </row>
    <row r="395" spans="1:9" x14ac:dyDescent="0.25">
      <c r="A395" s="1">
        <v>55763</v>
      </c>
      <c r="B395" s="2">
        <f t="shared" si="55"/>
        <v>15739</v>
      </c>
      <c r="C395" s="2">
        <f t="shared" si="48"/>
        <v>0</v>
      </c>
      <c r="D395" s="2">
        <f t="shared" si="49"/>
        <v>15739</v>
      </c>
      <c r="E395" s="2">
        <f t="shared" si="50"/>
        <v>629.55999999999995</v>
      </c>
      <c r="F395" s="2">
        <f t="shared" si="51"/>
        <v>629.55999999999995</v>
      </c>
      <c r="G395" s="2">
        <f t="shared" si="52"/>
        <v>0</v>
      </c>
      <c r="H395" s="2">
        <f t="shared" si="53"/>
        <v>1259.1199999999999</v>
      </c>
      <c r="I395" s="2">
        <f t="shared" si="54"/>
        <v>255127.10000000041</v>
      </c>
    </row>
    <row r="396" spans="1:9" x14ac:dyDescent="0.25">
      <c r="A396" s="1">
        <v>55793</v>
      </c>
      <c r="B396" s="2">
        <f t="shared" si="55"/>
        <v>15739</v>
      </c>
      <c r="C396" s="2">
        <f t="shared" si="48"/>
        <v>500</v>
      </c>
      <c r="D396" s="2">
        <f t="shared" si="49"/>
        <v>16239</v>
      </c>
      <c r="E396" s="2">
        <f t="shared" si="50"/>
        <v>649.55999999999995</v>
      </c>
      <c r="F396" s="2">
        <f t="shared" si="51"/>
        <v>649.55999999999995</v>
      </c>
      <c r="G396" s="2">
        <f t="shared" si="52"/>
        <v>0</v>
      </c>
      <c r="H396" s="2">
        <f t="shared" si="53"/>
        <v>1299.1199999999999</v>
      </c>
      <c r="I396" s="2">
        <f t="shared" si="54"/>
        <v>256426.22000000041</v>
      </c>
    </row>
    <row r="397" spans="1:9" x14ac:dyDescent="0.25">
      <c r="A397" s="1">
        <v>55824</v>
      </c>
      <c r="B397" s="2">
        <f t="shared" si="55"/>
        <v>15739</v>
      </c>
      <c r="C397" s="2">
        <f t="shared" si="48"/>
        <v>0</v>
      </c>
      <c r="D397" s="2">
        <f t="shared" si="49"/>
        <v>15739</v>
      </c>
      <c r="E397" s="2">
        <f t="shared" si="50"/>
        <v>629.55999999999995</v>
      </c>
      <c r="F397" s="2">
        <f t="shared" si="51"/>
        <v>629.55999999999995</v>
      </c>
      <c r="G397" s="2">
        <f t="shared" si="52"/>
        <v>0</v>
      </c>
      <c r="H397" s="2">
        <f t="shared" si="53"/>
        <v>1259.1199999999999</v>
      </c>
      <c r="I397" s="2">
        <f t="shared" si="54"/>
        <v>257685.3400000004</v>
      </c>
    </row>
    <row r="398" spans="1:9" x14ac:dyDescent="0.25">
      <c r="A398" s="1">
        <v>55854</v>
      </c>
      <c r="B398" s="2">
        <f t="shared" si="55"/>
        <v>15739</v>
      </c>
      <c r="C398" s="2">
        <f t="shared" si="48"/>
        <v>0</v>
      </c>
      <c r="D398" s="2">
        <f t="shared" si="49"/>
        <v>15739</v>
      </c>
      <c r="E398" s="2">
        <f t="shared" si="50"/>
        <v>629.55999999999995</v>
      </c>
      <c r="F398" s="2">
        <f t="shared" si="51"/>
        <v>629.55999999999995</v>
      </c>
      <c r="G398" s="2">
        <f t="shared" si="52"/>
        <v>240</v>
      </c>
      <c r="H398" s="2">
        <f t="shared" si="53"/>
        <v>1259.1199999999999</v>
      </c>
      <c r="I398" s="2">
        <f t="shared" si="54"/>
        <v>259184.4600000004</v>
      </c>
    </row>
    <row r="399" spans="1:9" x14ac:dyDescent="0.25">
      <c r="A399" s="1">
        <v>55885</v>
      </c>
      <c r="B399" s="2">
        <f t="shared" si="55"/>
        <v>16133</v>
      </c>
      <c r="C399" s="2">
        <f t="shared" si="48"/>
        <v>500</v>
      </c>
      <c r="D399" s="2">
        <f t="shared" si="49"/>
        <v>16633</v>
      </c>
      <c r="E399" s="2">
        <f t="shared" si="50"/>
        <v>665.32</v>
      </c>
      <c r="F399" s="2">
        <f t="shared" si="51"/>
        <v>665.32</v>
      </c>
      <c r="G399" s="2">
        <f t="shared" si="52"/>
        <v>0</v>
      </c>
      <c r="H399" s="2">
        <f t="shared" si="53"/>
        <v>1330.64</v>
      </c>
      <c r="I399" s="2">
        <f t="shared" si="54"/>
        <v>260515.10000000041</v>
      </c>
    </row>
    <row r="400" spans="1:9" x14ac:dyDescent="0.25">
      <c r="A400" s="1">
        <v>55916</v>
      </c>
      <c r="B400" s="2">
        <f t="shared" si="55"/>
        <v>16133</v>
      </c>
      <c r="C400" s="2">
        <f t="shared" si="48"/>
        <v>0</v>
      </c>
      <c r="D400" s="2">
        <f t="shared" si="49"/>
        <v>16133</v>
      </c>
      <c r="E400" s="2">
        <f t="shared" si="50"/>
        <v>645.32000000000005</v>
      </c>
      <c r="F400" s="2">
        <f t="shared" si="51"/>
        <v>645.32000000000005</v>
      </c>
      <c r="G400" s="2">
        <f t="shared" si="52"/>
        <v>0</v>
      </c>
      <c r="H400" s="2">
        <f t="shared" si="53"/>
        <v>1290.6400000000001</v>
      </c>
      <c r="I400" s="2">
        <f t="shared" si="54"/>
        <v>261805.74000000043</v>
      </c>
    </row>
    <row r="401" spans="1:9" x14ac:dyDescent="0.25">
      <c r="A401" s="1">
        <v>55944</v>
      </c>
      <c r="B401" s="2">
        <f t="shared" si="55"/>
        <v>16133</v>
      </c>
      <c r="C401" s="2">
        <f t="shared" si="48"/>
        <v>0</v>
      </c>
      <c r="D401" s="2">
        <f t="shared" si="49"/>
        <v>16133</v>
      </c>
      <c r="E401" s="2">
        <f t="shared" si="50"/>
        <v>645.32000000000005</v>
      </c>
      <c r="F401" s="2">
        <f t="shared" si="51"/>
        <v>645.32000000000005</v>
      </c>
      <c r="G401" s="2">
        <f t="shared" si="52"/>
        <v>0</v>
      </c>
      <c r="H401" s="2">
        <f t="shared" si="53"/>
        <v>1290.6400000000001</v>
      </c>
      <c r="I401" s="2">
        <f t="shared" si="54"/>
        <v>263096.38000000041</v>
      </c>
    </row>
    <row r="402" spans="1:9" x14ac:dyDescent="0.25">
      <c r="A402" s="1">
        <v>55975</v>
      </c>
      <c r="B402" s="2">
        <f t="shared" si="55"/>
        <v>16133</v>
      </c>
      <c r="C402" s="2">
        <f t="shared" si="48"/>
        <v>500</v>
      </c>
      <c r="D402" s="2">
        <f t="shared" si="49"/>
        <v>16633</v>
      </c>
      <c r="E402" s="2">
        <f t="shared" si="50"/>
        <v>665.32</v>
      </c>
      <c r="F402" s="2">
        <f t="shared" si="51"/>
        <v>665.32</v>
      </c>
      <c r="G402" s="2">
        <f t="shared" si="52"/>
        <v>0</v>
      </c>
      <c r="H402" s="2">
        <f t="shared" si="53"/>
        <v>1330.64</v>
      </c>
      <c r="I402" s="2">
        <f t="shared" si="54"/>
        <v>264427.02000000043</v>
      </c>
    </row>
    <row r="403" spans="1:9" x14ac:dyDescent="0.25">
      <c r="A403" s="1">
        <v>56005</v>
      </c>
      <c r="B403" s="2">
        <f t="shared" si="55"/>
        <v>16133</v>
      </c>
      <c r="C403" s="2">
        <f t="shared" si="48"/>
        <v>0</v>
      </c>
      <c r="D403" s="2">
        <f t="shared" si="49"/>
        <v>16133</v>
      </c>
      <c r="E403" s="2">
        <f t="shared" si="50"/>
        <v>645.32000000000005</v>
      </c>
      <c r="F403" s="2">
        <f t="shared" si="51"/>
        <v>645.32000000000005</v>
      </c>
      <c r="G403" s="2">
        <f t="shared" si="52"/>
        <v>0</v>
      </c>
      <c r="H403" s="2">
        <f t="shared" si="53"/>
        <v>1290.6400000000001</v>
      </c>
      <c r="I403" s="2">
        <f t="shared" si="54"/>
        <v>265717.66000000044</v>
      </c>
    </row>
    <row r="404" spans="1:9" x14ac:dyDescent="0.25">
      <c r="A404" s="1">
        <v>56036</v>
      </c>
      <c r="B404" s="2">
        <f t="shared" si="55"/>
        <v>16133</v>
      </c>
      <c r="C404" s="2">
        <f t="shared" si="48"/>
        <v>0</v>
      </c>
      <c r="D404" s="2">
        <f t="shared" si="49"/>
        <v>16133</v>
      </c>
      <c r="E404" s="2">
        <f t="shared" si="50"/>
        <v>645.32000000000005</v>
      </c>
      <c r="F404" s="2">
        <f t="shared" si="51"/>
        <v>645.32000000000005</v>
      </c>
      <c r="G404" s="2">
        <f t="shared" si="52"/>
        <v>0</v>
      </c>
      <c r="H404" s="2">
        <f t="shared" si="53"/>
        <v>1290.6400000000001</v>
      </c>
      <c r="I404" s="2">
        <f t="shared" si="54"/>
        <v>267008.30000000045</v>
      </c>
    </row>
    <row r="405" spans="1:9" x14ac:dyDescent="0.25">
      <c r="A405" s="1">
        <v>56066</v>
      </c>
      <c r="B405" s="2">
        <f t="shared" si="55"/>
        <v>16133</v>
      </c>
      <c r="C405" s="2">
        <f t="shared" si="48"/>
        <v>500</v>
      </c>
      <c r="D405" s="2">
        <f t="shared" si="49"/>
        <v>16633</v>
      </c>
      <c r="E405" s="2">
        <f t="shared" si="50"/>
        <v>665.32</v>
      </c>
      <c r="F405" s="2">
        <f t="shared" si="51"/>
        <v>665.32</v>
      </c>
      <c r="G405" s="2">
        <f t="shared" si="52"/>
        <v>0</v>
      </c>
      <c r="H405" s="2">
        <f t="shared" si="53"/>
        <v>1330.64</v>
      </c>
      <c r="I405" s="2">
        <f t="shared" si="54"/>
        <v>268338.94000000047</v>
      </c>
    </row>
    <row r="406" spans="1:9" x14ac:dyDescent="0.25">
      <c r="A406" s="1">
        <v>56097</v>
      </c>
      <c r="B406" s="2">
        <f t="shared" si="55"/>
        <v>16133</v>
      </c>
      <c r="C406" s="2">
        <f t="shared" si="48"/>
        <v>0</v>
      </c>
      <c r="D406" s="2">
        <f t="shared" si="49"/>
        <v>16133</v>
      </c>
      <c r="E406" s="2">
        <f t="shared" si="50"/>
        <v>645.32000000000005</v>
      </c>
      <c r="F406" s="2">
        <f t="shared" si="51"/>
        <v>645.32000000000005</v>
      </c>
      <c r="G406" s="2">
        <f t="shared" si="52"/>
        <v>0</v>
      </c>
      <c r="H406" s="2">
        <f t="shared" si="53"/>
        <v>1290.6400000000001</v>
      </c>
      <c r="I406" s="2">
        <f t="shared" si="54"/>
        <v>269629.58000000048</v>
      </c>
    </row>
    <row r="407" spans="1:9" x14ac:dyDescent="0.25">
      <c r="A407" s="1">
        <v>56128</v>
      </c>
      <c r="B407" s="2">
        <f t="shared" si="55"/>
        <v>16133</v>
      </c>
      <c r="C407" s="2">
        <f t="shared" si="48"/>
        <v>0</v>
      </c>
      <c r="D407" s="2">
        <f t="shared" si="49"/>
        <v>16133</v>
      </c>
      <c r="E407" s="2">
        <f t="shared" si="50"/>
        <v>645.32000000000005</v>
      </c>
      <c r="F407" s="2">
        <f t="shared" si="51"/>
        <v>645.32000000000005</v>
      </c>
      <c r="G407" s="2">
        <f t="shared" si="52"/>
        <v>0</v>
      </c>
      <c r="H407" s="2">
        <f t="shared" si="53"/>
        <v>1290.6400000000001</v>
      </c>
      <c r="I407" s="2">
        <f t="shared" si="54"/>
        <v>270920.2200000005</v>
      </c>
    </row>
    <row r="408" spans="1:9" x14ac:dyDescent="0.25">
      <c r="A408" s="1">
        <v>56158</v>
      </c>
      <c r="B408" s="2">
        <f t="shared" si="55"/>
        <v>16133</v>
      </c>
      <c r="C408" s="2">
        <f t="shared" si="48"/>
        <v>500</v>
      </c>
      <c r="D408" s="2">
        <f t="shared" si="49"/>
        <v>16633</v>
      </c>
      <c r="E408" s="2">
        <f t="shared" si="50"/>
        <v>665.32</v>
      </c>
      <c r="F408" s="2">
        <f t="shared" si="51"/>
        <v>665.32</v>
      </c>
      <c r="G408" s="2">
        <f t="shared" si="52"/>
        <v>0</v>
      </c>
      <c r="H408" s="2">
        <f t="shared" si="53"/>
        <v>1330.64</v>
      </c>
      <c r="I408" s="2">
        <f t="shared" si="54"/>
        <v>272250.86000000051</v>
      </c>
    </row>
    <row r="409" spans="1:9" x14ac:dyDescent="0.25">
      <c r="A409" s="1">
        <v>56189</v>
      </c>
      <c r="B409" s="2">
        <f t="shared" si="55"/>
        <v>16133</v>
      </c>
      <c r="C409" s="2">
        <f t="shared" si="48"/>
        <v>0</v>
      </c>
      <c r="D409" s="2">
        <f t="shared" si="49"/>
        <v>16133</v>
      </c>
      <c r="E409" s="2">
        <f t="shared" si="50"/>
        <v>645.32000000000005</v>
      </c>
      <c r="F409" s="2">
        <f t="shared" si="51"/>
        <v>645.32000000000005</v>
      </c>
      <c r="G409" s="2">
        <f t="shared" si="52"/>
        <v>0</v>
      </c>
      <c r="H409" s="2">
        <f t="shared" si="53"/>
        <v>1290.6400000000001</v>
      </c>
      <c r="I409" s="2">
        <f t="shared" si="54"/>
        <v>273541.50000000052</v>
      </c>
    </row>
    <row r="410" spans="1:9" x14ac:dyDescent="0.25">
      <c r="A410" s="1">
        <v>56219</v>
      </c>
      <c r="B410" s="2">
        <f t="shared" si="55"/>
        <v>16133</v>
      </c>
      <c r="C410" s="2">
        <f t="shared" si="48"/>
        <v>0</v>
      </c>
      <c r="D410" s="2">
        <f t="shared" si="49"/>
        <v>16133</v>
      </c>
      <c r="E410" s="2">
        <f t="shared" si="50"/>
        <v>645.32000000000005</v>
      </c>
      <c r="F410" s="2">
        <f t="shared" si="51"/>
        <v>645.32000000000005</v>
      </c>
      <c r="G410" s="2">
        <f t="shared" si="52"/>
        <v>240</v>
      </c>
      <c r="H410" s="2">
        <f t="shared" si="53"/>
        <v>1290.6400000000001</v>
      </c>
      <c r="I410" s="2">
        <f t="shared" si="54"/>
        <v>275072.14000000054</v>
      </c>
    </row>
    <row r="411" spans="1:9" x14ac:dyDescent="0.25">
      <c r="A411" s="1">
        <v>56250</v>
      </c>
      <c r="B411" s="2">
        <f t="shared" si="55"/>
        <v>16537</v>
      </c>
      <c r="C411" s="2">
        <f t="shared" si="48"/>
        <v>500</v>
      </c>
      <c r="D411" s="2">
        <f t="shared" si="49"/>
        <v>17037</v>
      </c>
      <c r="E411" s="2">
        <f t="shared" si="50"/>
        <v>681.48</v>
      </c>
      <c r="F411" s="2">
        <f t="shared" si="51"/>
        <v>681.48</v>
      </c>
      <c r="G411" s="2">
        <f t="shared" si="52"/>
        <v>0</v>
      </c>
      <c r="H411" s="2">
        <f t="shared" si="53"/>
        <v>1362.96</v>
      </c>
      <c r="I411" s="2">
        <f t="shared" si="54"/>
        <v>276435.1000000005</v>
      </c>
    </row>
    <row r="412" spans="1:9" x14ac:dyDescent="0.25">
      <c r="A412" s="1">
        <v>56281</v>
      </c>
      <c r="B412" s="2">
        <f t="shared" si="55"/>
        <v>16537</v>
      </c>
      <c r="C412" s="2">
        <f t="shared" si="48"/>
        <v>0</v>
      </c>
      <c r="D412" s="2">
        <f t="shared" si="49"/>
        <v>16537</v>
      </c>
      <c r="E412" s="2">
        <f t="shared" si="50"/>
        <v>661.48</v>
      </c>
      <c r="F412" s="2">
        <f t="shared" si="51"/>
        <v>661.48</v>
      </c>
      <c r="G412" s="2">
        <f t="shared" si="52"/>
        <v>0</v>
      </c>
      <c r="H412" s="2">
        <f t="shared" si="53"/>
        <v>1322.96</v>
      </c>
      <c r="I412" s="2">
        <f t="shared" si="54"/>
        <v>277758.06000000046</v>
      </c>
    </row>
    <row r="413" spans="1:9" x14ac:dyDescent="0.25">
      <c r="A413" s="1">
        <v>56309</v>
      </c>
      <c r="B413" s="2">
        <f t="shared" si="55"/>
        <v>16537</v>
      </c>
      <c r="C413" s="2">
        <f t="shared" si="48"/>
        <v>0</v>
      </c>
      <c r="D413" s="2">
        <f t="shared" si="49"/>
        <v>16537</v>
      </c>
      <c r="E413" s="2">
        <f t="shared" si="50"/>
        <v>661.48</v>
      </c>
      <c r="F413" s="2">
        <f t="shared" si="51"/>
        <v>661.48</v>
      </c>
      <c r="G413" s="2">
        <f t="shared" si="52"/>
        <v>0</v>
      </c>
      <c r="H413" s="2">
        <f t="shared" si="53"/>
        <v>1322.96</v>
      </c>
      <c r="I413" s="2">
        <f t="shared" si="54"/>
        <v>279081.02000000043</v>
      </c>
    </row>
    <row r="414" spans="1:9" x14ac:dyDescent="0.25">
      <c r="A414" s="1">
        <v>56340</v>
      </c>
      <c r="B414" s="2">
        <f t="shared" si="55"/>
        <v>16537</v>
      </c>
      <c r="C414" s="2">
        <f t="shared" si="48"/>
        <v>500</v>
      </c>
      <c r="D414" s="2">
        <f t="shared" si="49"/>
        <v>17037</v>
      </c>
      <c r="E414" s="2">
        <f t="shared" si="50"/>
        <v>681.48</v>
      </c>
      <c r="F414" s="2">
        <f t="shared" si="51"/>
        <v>681.48</v>
      </c>
      <c r="G414" s="2">
        <f t="shared" si="52"/>
        <v>0</v>
      </c>
      <c r="H414" s="2">
        <f t="shared" si="53"/>
        <v>1362.96</v>
      </c>
      <c r="I414" s="2">
        <f t="shared" si="54"/>
        <v>280443.98000000039</v>
      </c>
    </row>
    <row r="415" spans="1:9" x14ac:dyDescent="0.25">
      <c r="A415" s="1">
        <v>56370</v>
      </c>
      <c r="B415" s="2">
        <f t="shared" si="55"/>
        <v>16537</v>
      </c>
      <c r="C415" s="2">
        <f t="shared" si="48"/>
        <v>0</v>
      </c>
      <c r="D415" s="2">
        <f t="shared" si="49"/>
        <v>16537</v>
      </c>
      <c r="E415" s="2">
        <f t="shared" si="50"/>
        <v>661.48</v>
      </c>
      <c r="F415" s="2">
        <f t="shared" si="51"/>
        <v>661.48</v>
      </c>
      <c r="G415" s="2">
        <f t="shared" si="52"/>
        <v>0</v>
      </c>
      <c r="H415" s="2">
        <f t="shared" si="53"/>
        <v>1322.96</v>
      </c>
      <c r="I415" s="2">
        <f t="shared" si="54"/>
        <v>281766.94000000035</v>
      </c>
    </row>
    <row r="416" spans="1:9" x14ac:dyDescent="0.25">
      <c r="A416" s="1">
        <v>56401</v>
      </c>
      <c r="B416" s="2">
        <f t="shared" si="55"/>
        <v>16537</v>
      </c>
      <c r="C416" s="2">
        <f t="shared" si="48"/>
        <v>0</v>
      </c>
      <c r="D416" s="2">
        <f t="shared" si="49"/>
        <v>16537</v>
      </c>
      <c r="E416" s="2">
        <f t="shared" si="50"/>
        <v>661.48</v>
      </c>
      <c r="F416" s="2">
        <f t="shared" si="51"/>
        <v>661.48</v>
      </c>
      <c r="G416" s="2">
        <f t="shared" si="52"/>
        <v>0</v>
      </c>
      <c r="H416" s="2">
        <f t="shared" si="53"/>
        <v>1322.96</v>
      </c>
      <c r="I416" s="2">
        <f t="shared" si="54"/>
        <v>283089.90000000031</v>
      </c>
    </row>
    <row r="417" spans="1:9" x14ac:dyDescent="0.25">
      <c r="A417" s="1">
        <v>56431</v>
      </c>
      <c r="B417" s="2">
        <f t="shared" si="55"/>
        <v>16537</v>
      </c>
      <c r="C417" s="2">
        <f t="shared" si="48"/>
        <v>500</v>
      </c>
      <c r="D417" s="2">
        <f t="shared" si="49"/>
        <v>17037</v>
      </c>
      <c r="E417" s="2">
        <f t="shared" si="50"/>
        <v>681.48</v>
      </c>
      <c r="F417" s="2">
        <f t="shared" si="51"/>
        <v>681.48</v>
      </c>
      <c r="G417" s="2">
        <f t="shared" si="52"/>
        <v>0</v>
      </c>
      <c r="H417" s="2">
        <f t="shared" si="53"/>
        <v>1362.96</v>
      </c>
      <c r="I417" s="2">
        <f t="shared" si="54"/>
        <v>284452.86000000028</v>
      </c>
    </row>
    <row r="418" spans="1:9" x14ac:dyDescent="0.25">
      <c r="A418" s="1">
        <v>56462</v>
      </c>
      <c r="B418" s="2">
        <f t="shared" si="55"/>
        <v>16537</v>
      </c>
      <c r="C418" s="2">
        <f t="shared" si="48"/>
        <v>0</v>
      </c>
      <c r="D418" s="2">
        <f t="shared" si="49"/>
        <v>16537</v>
      </c>
      <c r="E418" s="2">
        <f t="shared" si="50"/>
        <v>661.48</v>
      </c>
      <c r="F418" s="2">
        <f t="shared" si="51"/>
        <v>661.48</v>
      </c>
      <c r="G418" s="2">
        <f t="shared" si="52"/>
        <v>0</v>
      </c>
      <c r="H418" s="2">
        <f t="shared" si="53"/>
        <v>1322.96</v>
      </c>
      <c r="I418" s="2">
        <f t="shared" si="54"/>
        <v>285775.82000000024</v>
      </c>
    </row>
    <row r="419" spans="1:9" x14ac:dyDescent="0.25">
      <c r="A419" s="1">
        <v>56493</v>
      </c>
      <c r="B419" s="2">
        <f t="shared" si="55"/>
        <v>16537</v>
      </c>
      <c r="C419" s="2">
        <f t="shared" si="48"/>
        <v>0</v>
      </c>
      <c r="D419" s="2">
        <f t="shared" si="49"/>
        <v>16537</v>
      </c>
      <c r="E419" s="2">
        <f t="shared" si="50"/>
        <v>661.48</v>
      </c>
      <c r="F419" s="2">
        <f t="shared" si="51"/>
        <v>661.48</v>
      </c>
      <c r="G419" s="2">
        <f t="shared" si="52"/>
        <v>0</v>
      </c>
      <c r="H419" s="2">
        <f t="shared" si="53"/>
        <v>1322.96</v>
      </c>
      <c r="I419" s="2">
        <f t="shared" si="54"/>
        <v>287098.7800000002</v>
      </c>
    </row>
    <row r="420" spans="1:9" x14ac:dyDescent="0.25">
      <c r="A420" s="1">
        <v>56523</v>
      </c>
      <c r="B420" s="2">
        <f t="shared" si="55"/>
        <v>16537</v>
      </c>
      <c r="C420" s="2">
        <f t="shared" si="48"/>
        <v>500</v>
      </c>
      <c r="D420" s="2">
        <f t="shared" si="49"/>
        <v>17037</v>
      </c>
      <c r="E420" s="2">
        <f t="shared" si="50"/>
        <v>681.48</v>
      </c>
      <c r="F420" s="2">
        <f t="shared" si="51"/>
        <v>681.48</v>
      </c>
      <c r="G420" s="2">
        <f t="shared" si="52"/>
        <v>0</v>
      </c>
      <c r="H420" s="2">
        <f t="shared" si="53"/>
        <v>1362.96</v>
      </c>
      <c r="I420" s="2">
        <f t="shared" si="54"/>
        <v>288461.74000000017</v>
      </c>
    </row>
    <row r="421" spans="1:9" x14ac:dyDescent="0.25">
      <c r="A421" s="1">
        <v>56554</v>
      </c>
      <c r="B421" s="2">
        <f t="shared" si="55"/>
        <v>16537</v>
      </c>
      <c r="C421" s="2">
        <f t="shared" si="48"/>
        <v>0</v>
      </c>
      <c r="D421" s="2">
        <f t="shared" si="49"/>
        <v>16537</v>
      </c>
      <c r="E421" s="2">
        <f t="shared" si="50"/>
        <v>661.48</v>
      </c>
      <c r="F421" s="2">
        <f t="shared" si="51"/>
        <v>661.48</v>
      </c>
      <c r="G421" s="2">
        <f t="shared" si="52"/>
        <v>0</v>
      </c>
      <c r="H421" s="2">
        <f t="shared" si="53"/>
        <v>1322.96</v>
      </c>
      <c r="I421" s="2">
        <f t="shared" si="54"/>
        <v>289784.70000000013</v>
      </c>
    </row>
    <row r="422" spans="1:9" x14ac:dyDescent="0.25">
      <c r="A422" s="1">
        <v>56584</v>
      </c>
      <c r="B422" s="2">
        <f t="shared" si="55"/>
        <v>16537</v>
      </c>
      <c r="C422" s="2">
        <f t="shared" si="48"/>
        <v>0</v>
      </c>
      <c r="D422" s="2">
        <f t="shared" si="49"/>
        <v>16537</v>
      </c>
      <c r="E422" s="2">
        <f t="shared" si="50"/>
        <v>661.48</v>
      </c>
      <c r="F422" s="2">
        <f t="shared" si="51"/>
        <v>661.48</v>
      </c>
      <c r="G422" s="2">
        <f t="shared" si="52"/>
        <v>240</v>
      </c>
      <c r="H422" s="2">
        <f t="shared" si="53"/>
        <v>1322.96</v>
      </c>
      <c r="I422" s="2">
        <f t="shared" si="54"/>
        <v>291347.66000000009</v>
      </c>
    </row>
    <row r="423" spans="1:9" x14ac:dyDescent="0.25">
      <c r="A423" s="1">
        <v>56615</v>
      </c>
      <c r="B423" s="2">
        <f t="shared" si="55"/>
        <v>16951</v>
      </c>
      <c r="C423" s="2">
        <f t="shared" si="48"/>
        <v>500</v>
      </c>
      <c r="D423" s="2">
        <f t="shared" si="49"/>
        <v>17451</v>
      </c>
      <c r="E423" s="2">
        <f t="shared" si="50"/>
        <v>698.04</v>
      </c>
      <c r="F423" s="2">
        <f t="shared" si="51"/>
        <v>698.04</v>
      </c>
      <c r="G423" s="2">
        <f t="shared" si="52"/>
        <v>0</v>
      </c>
      <c r="H423" s="2">
        <f t="shared" si="53"/>
        <v>1396.08</v>
      </c>
      <c r="I423" s="2">
        <f t="shared" si="54"/>
        <v>292743.74000000005</v>
      </c>
    </row>
    <row r="424" spans="1:9" x14ac:dyDescent="0.25">
      <c r="A424" s="1">
        <v>56646</v>
      </c>
      <c r="B424" s="2">
        <f t="shared" si="55"/>
        <v>16951</v>
      </c>
      <c r="C424" s="2">
        <f t="shared" si="48"/>
        <v>0</v>
      </c>
      <c r="D424" s="2">
        <f t="shared" si="49"/>
        <v>16951</v>
      </c>
      <c r="E424" s="2">
        <f t="shared" si="50"/>
        <v>678.04</v>
      </c>
      <c r="F424" s="2">
        <f t="shared" si="51"/>
        <v>678.04</v>
      </c>
      <c r="G424" s="2">
        <f t="shared" si="52"/>
        <v>0</v>
      </c>
      <c r="H424" s="2">
        <f t="shared" si="53"/>
        <v>1356.08</v>
      </c>
      <c r="I424" s="2">
        <f t="shared" si="54"/>
        <v>294099.82</v>
      </c>
    </row>
    <row r="425" spans="1:9" x14ac:dyDescent="0.25">
      <c r="A425" s="1">
        <v>56674</v>
      </c>
      <c r="B425" s="2">
        <f t="shared" si="55"/>
        <v>16951</v>
      </c>
      <c r="C425" s="2">
        <f t="shared" si="48"/>
        <v>0</v>
      </c>
      <c r="D425" s="2">
        <f t="shared" si="49"/>
        <v>16951</v>
      </c>
      <c r="E425" s="2">
        <f t="shared" si="50"/>
        <v>678.04</v>
      </c>
      <c r="F425" s="2">
        <f t="shared" si="51"/>
        <v>678.04</v>
      </c>
      <c r="G425" s="2">
        <f t="shared" si="52"/>
        <v>0</v>
      </c>
      <c r="H425" s="2">
        <f t="shared" si="53"/>
        <v>1356.08</v>
      </c>
      <c r="I425" s="2">
        <f t="shared" si="54"/>
        <v>295455.89999999997</v>
      </c>
    </row>
    <row r="426" spans="1:9" x14ac:dyDescent="0.25">
      <c r="A426" s="1">
        <v>56705</v>
      </c>
      <c r="B426" s="2">
        <f t="shared" si="55"/>
        <v>16951</v>
      </c>
      <c r="C426" s="2">
        <f t="shared" si="48"/>
        <v>500</v>
      </c>
      <c r="D426" s="2">
        <f t="shared" si="49"/>
        <v>17451</v>
      </c>
      <c r="E426" s="2">
        <f t="shared" si="50"/>
        <v>698.04</v>
      </c>
      <c r="F426" s="2">
        <f t="shared" si="51"/>
        <v>698.04</v>
      </c>
      <c r="G426" s="2">
        <f t="shared" si="52"/>
        <v>0</v>
      </c>
      <c r="H426" s="2">
        <f t="shared" si="53"/>
        <v>1396.08</v>
      </c>
      <c r="I426" s="2">
        <f t="shared" si="54"/>
        <v>296851.97999999992</v>
      </c>
    </row>
    <row r="427" spans="1:9" x14ac:dyDescent="0.25">
      <c r="A427" s="1">
        <v>56735</v>
      </c>
      <c r="B427" s="2">
        <f t="shared" si="55"/>
        <v>16951</v>
      </c>
      <c r="C427" s="2">
        <f t="shared" si="48"/>
        <v>0</v>
      </c>
      <c r="D427" s="2">
        <f t="shared" si="49"/>
        <v>16951</v>
      </c>
      <c r="E427" s="2">
        <f t="shared" si="50"/>
        <v>678.04</v>
      </c>
      <c r="F427" s="2">
        <f t="shared" si="51"/>
        <v>678.04</v>
      </c>
      <c r="G427" s="2">
        <f t="shared" si="52"/>
        <v>0</v>
      </c>
      <c r="H427" s="2">
        <f t="shared" si="53"/>
        <v>1356.08</v>
      </c>
      <c r="I427" s="2">
        <f t="shared" si="54"/>
        <v>298208.05999999988</v>
      </c>
    </row>
    <row r="428" spans="1:9" x14ac:dyDescent="0.25">
      <c r="A428" s="1">
        <v>56766</v>
      </c>
      <c r="B428" s="2">
        <f t="shared" si="55"/>
        <v>16951</v>
      </c>
      <c r="C428" s="2">
        <f t="shared" si="48"/>
        <v>0</v>
      </c>
      <c r="D428" s="2">
        <f t="shared" si="49"/>
        <v>16951</v>
      </c>
      <c r="E428" s="2">
        <f t="shared" si="50"/>
        <v>678.04</v>
      </c>
      <c r="F428" s="2">
        <f t="shared" si="51"/>
        <v>678.04</v>
      </c>
      <c r="G428" s="2">
        <f t="shared" si="52"/>
        <v>0</v>
      </c>
      <c r="H428" s="2">
        <f t="shared" si="53"/>
        <v>1356.08</v>
      </c>
      <c r="I428" s="2">
        <f t="shared" si="54"/>
        <v>299564.13999999984</v>
      </c>
    </row>
    <row r="429" spans="1:9" x14ac:dyDescent="0.25">
      <c r="A429" s="1">
        <v>56796</v>
      </c>
      <c r="B429" s="2">
        <f t="shared" si="55"/>
        <v>16951</v>
      </c>
      <c r="C429" s="2">
        <f t="shared" si="48"/>
        <v>500</v>
      </c>
      <c r="D429" s="2">
        <f t="shared" si="49"/>
        <v>17451</v>
      </c>
      <c r="E429" s="2">
        <f t="shared" si="50"/>
        <v>698.04</v>
      </c>
      <c r="F429" s="2">
        <f t="shared" si="51"/>
        <v>698.04</v>
      </c>
      <c r="G429" s="2">
        <f t="shared" si="52"/>
        <v>0</v>
      </c>
      <c r="H429" s="2">
        <f t="shared" si="53"/>
        <v>1396.08</v>
      </c>
      <c r="I429" s="2">
        <f t="shared" si="54"/>
        <v>300960.2199999998</v>
      </c>
    </row>
    <row r="430" spans="1:9" x14ac:dyDescent="0.25">
      <c r="A430" s="1">
        <v>56827</v>
      </c>
      <c r="B430" s="2">
        <f t="shared" si="55"/>
        <v>16951</v>
      </c>
      <c r="C430" s="2">
        <f t="shared" si="48"/>
        <v>0</v>
      </c>
      <c r="D430" s="2">
        <f t="shared" si="49"/>
        <v>16951</v>
      </c>
      <c r="E430" s="2">
        <f t="shared" si="50"/>
        <v>678.04</v>
      </c>
      <c r="F430" s="2">
        <f t="shared" si="51"/>
        <v>678.04</v>
      </c>
      <c r="G430" s="2">
        <f t="shared" si="52"/>
        <v>0</v>
      </c>
      <c r="H430" s="2">
        <f t="shared" si="53"/>
        <v>1356.08</v>
      </c>
      <c r="I430" s="2">
        <f t="shared" si="54"/>
        <v>302316.29999999976</v>
      </c>
    </row>
    <row r="431" spans="1:9" x14ac:dyDescent="0.25">
      <c r="A431" s="1">
        <v>56858</v>
      </c>
      <c r="B431" s="2">
        <f t="shared" si="55"/>
        <v>16951</v>
      </c>
      <c r="C431" s="2">
        <f t="shared" si="48"/>
        <v>0</v>
      </c>
      <c r="D431" s="2">
        <f t="shared" si="49"/>
        <v>16951</v>
      </c>
      <c r="E431" s="2">
        <f t="shared" si="50"/>
        <v>678.04</v>
      </c>
      <c r="F431" s="2">
        <f t="shared" si="51"/>
        <v>678.04</v>
      </c>
      <c r="G431" s="2">
        <f t="shared" si="52"/>
        <v>0</v>
      </c>
      <c r="H431" s="2">
        <f t="shared" si="53"/>
        <v>1356.08</v>
      </c>
      <c r="I431" s="2">
        <f t="shared" si="54"/>
        <v>303672.37999999971</v>
      </c>
    </row>
    <row r="432" spans="1:9" x14ac:dyDescent="0.25">
      <c r="A432" s="1">
        <v>56888</v>
      </c>
      <c r="B432" s="2">
        <f t="shared" si="55"/>
        <v>16951</v>
      </c>
      <c r="C432" s="2">
        <f t="shared" si="48"/>
        <v>500</v>
      </c>
      <c r="D432" s="2">
        <f t="shared" si="49"/>
        <v>17451</v>
      </c>
      <c r="E432" s="2">
        <f t="shared" si="50"/>
        <v>698.04</v>
      </c>
      <c r="F432" s="2">
        <f t="shared" si="51"/>
        <v>698.04</v>
      </c>
      <c r="G432" s="2">
        <f t="shared" si="52"/>
        <v>0</v>
      </c>
      <c r="H432" s="2">
        <f t="shared" si="53"/>
        <v>1396.08</v>
      </c>
      <c r="I432" s="2">
        <f t="shared" si="54"/>
        <v>305068.45999999967</v>
      </c>
    </row>
    <row r="433" spans="1:9" x14ac:dyDescent="0.25">
      <c r="A433" s="1">
        <v>56919</v>
      </c>
      <c r="B433" s="2">
        <f t="shared" si="55"/>
        <v>16951</v>
      </c>
      <c r="C433" s="2">
        <f t="shared" si="48"/>
        <v>0</v>
      </c>
      <c r="D433" s="2">
        <f t="shared" si="49"/>
        <v>16951</v>
      </c>
      <c r="E433" s="2">
        <f t="shared" si="50"/>
        <v>678.04</v>
      </c>
      <c r="F433" s="2">
        <f t="shared" si="51"/>
        <v>678.04</v>
      </c>
      <c r="G433" s="2">
        <f t="shared" si="52"/>
        <v>0</v>
      </c>
      <c r="H433" s="2">
        <f t="shared" si="53"/>
        <v>1356.08</v>
      </c>
      <c r="I433" s="2">
        <f t="shared" si="54"/>
        <v>306424.53999999963</v>
      </c>
    </row>
    <row r="434" spans="1:9" x14ac:dyDescent="0.25">
      <c r="A434" s="1">
        <v>56949</v>
      </c>
      <c r="B434" s="2">
        <f t="shared" si="55"/>
        <v>16951</v>
      </c>
      <c r="C434" s="2">
        <f t="shared" si="48"/>
        <v>0</v>
      </c>
      <c r="D434" s="2">
        <f t="shared" si="49"/>
        <v>16951</v>
      </c>
      <c r="E434" s="2">
        <f t="shared" si="50"/>
        <v>678.04</v>
      </c>
      <c r="F434" s="2">
        <f t="shared" si="51"/>
        <v>678.04</v>
      </c>
      <c r="G434" s="2">
        <f t="shared" si="52"/>
        <v>240</v>
      </c>
      <c r="H434" s="2">
        <f t="shared" si="53"/>
        <v>1356.08</v>
      </c>
      <c r="I434" s="2">
        <f t="shared" si="54"/>
        <v>308020.61999999959</v>
      </c>
    </row>
    <row r="435" spans="1:9" x14ac:dyDescent="0.25">
      <c r="A435" s="1">
        <v>56980</v>
      </c>
      <c r="B435" s="2">
        <f t="shared" si="55"/>
        <v>17875</v>
      </c>
      <c r="C435" s="2">
        <f t="shared" si="48"/>
        <v>500</v>
      </c>
      <c r="D435" s="2">
        <f t="shared" si="49"/>
        <v>18375</v>
      </c>
      <c r="E435" s="2">
        <f t="shared" si="50"/>
        <v>735</v>
      </c>
      <c r="F435" s="2">
        <f t="shared" si="51"/>
        <v>735</v>
      </c>
      <c r="G435" s="2">
        <f t="shared" si="52"/>
        <v>0</v>
      </c>
      <c r="H435" s="2">
        <f t="shared" si="53"/>
        <v>1470</v>
      </c>
      <c r="I435" s="2">
        <f t="shared" si="54"/>
        <v>309490.61999999959</v>
      </c>
    </row>
    <row r="436" spans="1:9" x14ac:dyDescent="0.25">
      <c r="A436" s="1">
        <v>57011</v>
      </c>
      <c r="B436" s="2">
        <f t="shared" si="55"/>
        <v>17875</v>
      </c>
      <c r="C436" s="2">
        <f t="shared" si="48"/>
        <v>0</v>
      </c>
      <c r="D436" s="2">
        <f t="shared" si="49"/>
        <v>17875</v>
      </c>
      <c r="E436" s="2">
        <f t="shared" si="50"/>
        <v>715</v>
      </c>
      <c r="F436" s="2">
        <f t="shared" si="51"/>
        <v>715</v>
      </c>
      <c r="G436" s="2">
        <f t="shared" si="52"/>
        <v>0</v>
      </c>
      <c r="H436" s="2">
        <f t="shared" si="53"/>
        <v>1430</v>
      </c>
      <c r="I436" s="2">
        <f t="shared" si="54"/>
        <v>310920.61999999959</v>
      </c>
    </row>
    <row r="437" spans="1:9" x14ac:dyDescent="0.25">
      <c r="A437" s="1">
        <v>57040</v>
      </c>
      <c r="B437" s="2">
        <f t="shared" si="55"/>
        <v>17875</v>
      </c>
      <c r="C437" s="2">
        <f t="shared" si="48"/>
        <v>0</v>
      </c>
      <c r="D437" s="2">
        <f t="shared" si="49"/>
        <v>17875</v>
      </c>
      <c r="E437" s="2">
        <f t="shared" si="50"/>
        <v>715</v>
      </c>
      <c r="F437" s="2">
        <f t="shared" si="51"/>
        <v>715</v>
      </c>
      <c r="G437" s="2">
        <f t="shared" si="52"/>
        <v>0</v>
      </c>
      <c r="H437" s="2">
        <f t="shared" si="53"/>
        <v>1430</v>
      </c>
      <c r="I437" s="2">
        <f t="shared" si="54"/>
        <v>312350.61999999959</v>
      </c>
    </row>
    <row r="438" spans="1:9" x14ac:dyDescent="0.25">
      <c r="A438" s="1">
        <v>57071</v>
      </c>
      <c r="B438" s="2">
        <f t="shared" si="55"/>
        <v>17875</v>
      </c>
      <c r="C438" s="2">
        <f t="shared" si="48"/>
        <v>500</v>
      </c>
      <c r="D438" s="2">
        <f t="shared" si="49"/>
        <v>18375</v>
      </c>
      <c r="E438" s="2">
        <f t="shared" si="50"/>
        <v>735</v>
      </c>
      <c r="F438" s="2">
        <f t="shared" si="51"/>
        <v>735</v>
      </c>
      <c r="G438" s="2">
        <f t="shared" si="52"/>
        <v>0</v>
      </c>
      <c r="H438" s="2">
        <f t="shared" si="53"/>
        <v>1470</v>
      </c>
      <c r="I438" s="2">
        <f t="shared" si="54"/>
        <v>313820.61999999959</v>
      </c>
    </row>
    <row r="439" spans="1:9" x14ac:dyDescent="0.25">
      <c r="A439" s="1">
        <v>57101</v>
      </c>
      <c r="B439" s="2">
        <f t="shared" si="55"/>
        <v>17875</v>
      </c>
      <c r="C439" s="2">
        <f t="shared" si="48"/>
        <v>0</v>
      </c>
      <c r="D439" s="2">
        <f t="shared" si="49"/>
        <v>17875</v>
      </c>
      <c r="E439" s="2">
        <f t="shared" si="50"/>
        <v>715</v>
      </c>
      <c r="F439" s="2">
        <f t="shared" si="51"/>
        <v>715</v>
      </c>
      <c r="G439" s="2">
        <f t="shared" si="52"/>
        <v>0</v>
      </c>
      <c r="H439" s="2">
        <f t="shared" si="53"/>
        <v>1430</v>
      </c>
      <c r="I439" s="2">
        <f t="shared" si="54"/>
        <v>315250.61999999959</v>
      </c>
    </row>
    <row r="440" spans="1:9" x14ac:dyDescent="0.25">
      <c r="A440" s="1">
        <v>57132</v>
      </c>
      <c r="B440" s="2">
        <f t="shared" si="55"/>
        <v>17875</v>
      </c>
      <c r="C440" s="2">
        <f t="shared" si="48"/>
        <v>0</v>
      </c>
      <c r="D440" s="2">
        <f t="shared" si="49"/>
        <v>17875</v>
      </c>
      <c r="E440" s="2">
        <f t="shared" si="50"/>
        <v>715</v>
      </c>
      <c r="F440" s="2">
        <f t="shared" si="51"/>
        <v>715</v>
      </c>
      <c r="G440" s="2">
        <f t="shared" si="52"/>
        <v>0</v>
      </c>
      <c r="H440" s="2">
        <f t="shared" si="53"/>
        <v>1430</v>
      </c>
      <c r="I440" s="2">
        <f t="shared" si="54"/>
        <v>316680.61999999959</v>
      </c>
    </row>
    <row r="441" spans="1:9" x14ac:dyDescent="0.25">
      <c r="A441" s="1">
        <v>57162</v>
      </c>
      <c r="B441" s="2">
        <f t="shared" si="55"/>
        <v>17875</v>
      </c>
      <c r="C441" s="2">
        <f t="shared" si="48"/>
        <v>500</v>
      </c>
      <c r="D441" s="2">
        <f t="shared" si="49"/>
        <v>18375</v>
      </c>
      <c r="E441" s="2">
        <f t="shared" si="50"/>
        <v>735</v>
      </c>
      <c r="F441" s="2">
        <f t="shared" si="51"/>
        <v>735</v>
      </c>
      <c r="G441" s="2">
        <f t="shared" si="52"/>
        <v>0</v>
      </c>
      <c r="H441" s="2">
        <f t="shared" si="53"/>
        <v>1470</v>
      </c>
      <c r="I441" s="2">
        <f t="shared" si="54"/>
        <v>318150.61999999959</v>
      </c>
    </row>
    <row r="442" spans="1:9" x14ac:dyDescent="0.25">
      <c r="A442" s="1">
        <v>57193</v>
      </c>
      <c r="B442" s="2">
        <f t="shared" si="55"/>
        <v>17875</v>
      </c>
      <c r="C442" s="2">
        <f t="shared" si="48"/>
        <v>0</v>
      </c>
      <c r="D442" s="2">
        <f t="shared" si="49"/>
        <v>17875</v>
      </c>
      <c r="E442" s="2">
        <f t="shared" si="50"/>
        <v>715</v>
      </c>
      <c r="F442" s="2">
        <f t="shared" si="51"/>
        <v>715</v>
      </c>
      <c r="G442" s="2">
        <f t="shared" si="52"/>
        <v>0</v>
      </c>
      <c r="H442" s="2">
        <f t="shared" si="53"/>
        <v>1430</v>
      </c>
      <c r="I442" s="2">
        <f t="shared" si="54"/>
        <v>319580.61999999959</v>
      </c>
    </row>
    <row r="443" spans="1:9" x14ac:dyDescent="0.25">
      <c r="A443" s="1">
        <v>57224</v>
      </c>
      <c r="B443" s="2">
        <f t="shared" si="55"/>
        <v>17875</v>
      </c>
      <c r="C443" s="2">
        <f t="shared" si="48"/>
        <v>0</v>
      </c>
      <c r="D443" s="2">
        <f t="shared" si="49"/>
        <v>17875</v>
      </c>
      <c r="E443" s="2">
        <f t="shared" si="50"/>
        <v>715</v>
      </c>
      <c r="F443" s="2">
        <f t="shared" si="51"/>
        <v>715</v>
      </c>
      <c r="G443" s="2">
        <f t="shared" si="52"/>
        <v>0</v>
      </c>
      <c r="H443" s="2">
        <f t="shared" si="53"/>
        <v>1430</v>
      </c>
      <c r="I443" s="2">
        <f t="shared" si="54"/>
        <v>321010.61999999959</v>
      </c>
    </row>
    <row r="444" spans="1:9" x14ac:dyDescent="0.25">
      <c r="A444" s="1">
        <v>57254</v>
      </c>
      <c r="B444" s="2">
        <f t="shared" si="55"/>
        <v>17875</v>
      </c>
      <c r="C444" s="2">
        <f t="shared" si="48"/>
        <v>500</v>
      </c>
      <c r="D444" s="2">
        <f t="shared" si="49"/>
        <v>18375</v>
      </c>
      <c r="E444" s="2">
        <f t="shared" si="50"/>
        <v>735</v>
      </c>
      <c r="F444" s="2">
        <f t="shared" si="51"/>
        <v>735</v>
      </c>
      <c r="G444" s="2">
        <f t="shared" si="52"/>
        <v>0</v>
      </c>
      <c r="H444" s="2">
        <f t="shared" si="53"/>
        <v>1470</v>
      </c>
      <c r="I444" s="2">
        <f t="shared" si="54"/>
        <v>322480.61999999959</v>
      </c>
    </row>
    <row r="445" spans="1:9" x14ac:dyDescent="0.25">
      <c r="A445" s="1">
        <v>57285</v>
      </c>
      <c r="B445" s="2">
        <f t="shared" si="55"/>
        <v>17875</v>
      </c>
      <c r="C445" s="2">
        <f t="shared" si="48"/>
        <v>0</v>
      </c>
      <c r="D445" s="2">
        <f t="shared" si="49"/>
        <v>17875</v>
      </c>
      <c r="E445" s="2">
        <f t="shared" si="50"/>
        <v>715</v>
      </c>
      <c r="F445" s="2">
        <f t="shared" si="51"/>
        <v>715</v>
      </c>
      <c r="G445" s="2">
        <f t="shared" si="52"/>
        <v>0</v>
      </c>
      <c r="H445" s="2">
        <f t="shared" si="53"/>
        <v>1430</v>
      </c>
      <c r="I445" s="2">
        <f t="shared" si="54"/>
        <v>323910.61999999959</v>
      </c>
    </row>
    <row r="446" spans="1:9" x14ac:dyDescent="0.25">
      <c r="A446" s="1">
        <v>57315</v>
      </c>
      <c r="B446" s="2">
        <f t="shared" si="55"/>
        <v>17875</v>
      </c>
      <c r="C446" s="2">
        <f t="shared" si="48"/>
        <v>0</v>
      </c>
      <c r="D446" s="2">
        <f t="shared" si="49"/>
        <v>17875</v>
      </c>
      <c r="E446" s="2">
        <f t="shared" si="50"/>
        <v>715</v>
      </c>
      <c r="F446" s="2">
        <f t="shared" si="51"/>
        <v>715</v>
      </c>
      <c r="G446" s="2">
        <f t="shared" si="52"/>
        <v>240</v>
      </c>
      <c r="H446" s="2">
        <f t="shared" si="53"/>
        <v>1430</v>
      </c>
      <c r="I446" s="2">
        <f t="shared" si="54"/>
        <v>325580.61999999959</v>
      </c>
    </row>
    <row r="447" spans="1:9" x14ac:dyDescent="0.25">
      <c r="A447" s="1">
        <v>57346</v>
      </c>
      <c r="B447" s="2">
        <f t="shared" si="55"/>
        <v>18322</v>
      </c>
      <c r="C447" s="2">
        <f t="shared" si="48"/>
        <v>500</v>
      </c>
      <c r="D447" s="2">
        <f t="shared" si="49"/>
        <v>18822</v>
      </c>
      <c r="E447" s="2">
        <f t="shared" si="50"/>
        <v>752.88</v>
      </c>
      <c r="F447" s="2">
        <f t="shared" si="51"/>
        <v>752.88</v>
      </c>
      <c r="G447" s="2">
        <f t="shared" si="52"/>
        <v>0</v>
      </c>
      <c r="H447" s="2">
        <f t="shared" si="53"/>
        <v>1505.76</v>
      </c>
      <c r="I447" s="2">
        <f t="shared" si="54"/>
        <v>327086.3799999996</v>
      </c>
    </row>
    <row r="448" spans="1:9" x14ac:dyDescent="0.25">
      <c r="A448" s="1">
        <v>57377</v>
      </c>
      <c r="B448" s="2">
        <f t="shared" si="55"/>
        <v>18322</v>
      </c>
      <c r="C448" s="2">
        <f t="shared" si="48"/>
        <v>0</v>
      </c>
      <c r="D448" s="2">
        <f t="shared" si="49"/>
        <v>18322</v>
      </c>
      <c r="E448" s="2">
        <f t="shared" si="50"/>
        <v>732.88</v>
      </c>
      <c r="F448" s="2">
        <f t="shared" si="51"/>
        <v>732.88</v>
      </c>
      <c r="G448" s="2">
        <f t="shared" si="52"/>
        <v>0</v>
      </c>
      <c r="H448" s="2">
        <f t="shared" si="53"/>
        <v>1465.76</v>
      </c>
      <c r="I448" s="2">
        <f t="shared" si="54"/>
        <v>328552.13999999961</v>
      </c>
    </row>
    <row r="449" spans="1:9" x14ac:dyDescent="0.25">
      <c r="A449" s="1">
        <v>57405</v>
      </c>
      <c r="B449" s="2">
        <f t="shared" si="55"/>
        <v>18322</v>
      </c>
      <c r="C449" s="2">
        <f t="shared" si="48"/>
        <v>0</v>
      </c>
      <c r="D449" s="2">
        <f t="shared" si="49"/>
        <v>18322</v>
      </c>
      <c r="E449" s="2">
        <f t="shared" si="50"/>
        <v>732.88</v>
      </c>
      <c r="F449" s="2">
        <f t="shared" si="51"/>
        <v>732.88</v>
      </c>
      <c r="G449" s="2">
        <f t="shared" si="52"/>
        <v>0</v>
      </c>
      <c r="H449" s="2">
        <f t="shared" si="53"/>
        <v>1465.76</v>
      </c>
      <c r="I449" s="2">
        <f t="shared" si="54"/>
        <v>330017.89999999962</v>
      </c>
    </row>
    <row r="450" spans="1:9" x14ac:dyDescent="0.25">
      <c r="A450" s="1">
        <v>57436</v>
      </c>
      <c r="B450" s="2">
        <f t="shared" si="55"/>
        <v>18322</v>
      </c>
      <c r="C450" s="2">
        <f t="shared" si="48"/>
        <v>500</v>
      </c>
      <c r="D450" s="2">
        <f t="shared" si="49"/>
        <v>18822</v>
      </c>
      <c r="E450" s="2">
        <f t="shared" si="50"/>
        <v>752.88</v>
      </c>
      <c r="F450" s="2">
        <f t="shared" si="51"/>
        <v>752.88</v>
      </c>
      <c r="G450" s="2">
        <f t="shared" si="52"/>
        <v>0</v>
      </c>
      <c r="H450" s="2">
        <f t="shared" si="53"/>
        <v>1505.76</v>
      </c>
      <c r="I450" s="2">
        <f t="shared" si="54"/>
        <v>331523.65999999963</v>
      </c>
    </row>
    <row r="451" spans="1:9" x14ac:dyDescent="0.25">
      <c r="A451" s="1">
        <v>57466</v>
      </c>
      <c r="B451" s="2">
        <f t="shared" si="55"/>
        <v>18322</v>
      </c>
      <c r="C451" s="2">
        <f t="shared" si="48"/>
        <v>0</v>
      </c>
      <c r="D451" s="2">
        <f t="shared" si="49"/>
        <v>18322</v>
      </c>
      <c r="E451" s="2">
        <f t="shared" si="50"/>
        <v>732.88</v>
      </c>
      <c r="F451" s="2">
        <f t="shared" si="51"/>
        <v>732.88</v>
      </c>
      <c r="G451" s="2">
        <f t="shared" si="52"/>
        <v>0</v>
      </c>
      <c r="H451" s="2">
        <f t="shared" si="53"/>
        <v>1465.76</v>
      </c>
      <c r="I451" s="2">
        <f t="shared" si="54"/>
        <v>332989.41999999963</v>
      </c>
    </row>
    <row r="452" spans="1:9" x14ac:dyDescent="0.25">
      <c r="A452" s="1">
        <v>57497</v>
      </c>
      <c r="B452" s="2">
        <f t="shared" si="55"/>
        <v>18322</v>
      </c>
      <c r="C452" s="2">
        <f t="shared" ref="C452:C483" si="56">IF(AND(OR(MONTH(A452)=1,MONTH(A452)=4,MONTH(A452)=7,MONTH(A452)=10),DATE(2020,1,1)&lt;&gt;A452),500,0)</f>
        <v>0</v>
      </c>
      <c r="D452" s="2">
        <f t="shared" ref="D452:D483" si="57">B452+C452</f>
        <v>18322</v>
      </c>
      <c r="E452" s="2">
        <f t="shared" ref="E452:E483" si="58">IF(B452&gt;8000,ROUND(D452*(0.02+0.02),2),ROUND(D452*(0.02),2))</f>
        <v>732.88</v>
      </c>
      <c r="F452" s="2">
        <f t="shared" ref="F452:F483" si="59">IF(B452&gt;8000,ROUND(D452*0.04,2),ROUND(D452*0.015,2))</f>
        <v>732.88</v>
      </c>
      <c r="G452" s="2">
        <f t="shared" ref="G452:G483" si="60">IF(MONTH(A452)=12,240,0)</f>
        <v>0</v>
      </c>
      <c r="H452" s="2">
        <f t="shared" ref="H452:H483" si="61">E452+F452</f>
        <v>1465.76</v>
      </c>
      <c r="I452" s="2">
        <f t="shared" ref="I452:I483" si="62">I451+E452+F452+G452</f>
        <v>334455.17999999964</v>
      </c>
    </row>
    <row r="453" spans="1:9" x14ac:dyDescent="0.25">
      <c r="A453" s="1">
        <v>57527</v>
      </c>
      <c r="B453" s="2">
        <f t="shared" ref="B453:B483" si="63">IF(YEAR($A453) &gt; YEAR($A452),IF(AND(MOD(YEAR(A453),4)=0,YEAR(A453)&lt;&gt;2020),ROUNDUP($B452*1.025,0)+500,ROUNDUP($B452*1.025,0)),$B452)</f>
        <v>18322</v>
      </c>
      <c r="C453" s="2">
        <f t="shared" si="56"/>
        <v>500</v>
      </c>
      <c r="D453" s="2">
        <f t="shared" si="57"/>
        <v>18822</v>
      </c>
      <c r="E453" s="2">
        <f t="shared" si="58"/>
        <v>752.88</v>
      </c>
      <c r="F453" s="2">
        <f t="shared" si="59"/>
        <v>752.88</v>
      </c>
      <c r="G453" s="2">
        <f t="shared" si="60"/>
        <v>0</v>
      </c>
      <c r="H453" s="2">
        <f t="shared" si="61"/>
        <v>1505.76</v>
      </c>
      <c r="I453" s="2">
        <f t="shared" si="62"/>
        <v>335960.93999999965</v>
      </c>
    </row>
    <row r="454" spans="1:9" x14ac:dyDescent="0.25">
      <c r="A454" s="1">
        <v>57558</v>
      </c>
      <c r="B454" s="2">
        <f t="shared" si="63"/>
        <v>18322</v>
      </c>
      <c r="C454" s="2">
        <f t="shared" si="56"/>
        <v>0</v>
      </c>
      <c r="D454" s="2">
        <f t="shared" si="57"/>
        <v>18322</v>
      </c>
      <c r="E454" s="2">
        <f t="shared" si="58"/>
        <v>732.88</v>
      </c>
      <c r="F454" s="2">
        <f t="shared" si="59"/>
        <v>732.88</v>
      </c>
      <c r="G454" s="2">
        <f t="shared" si="60"/>
        <v>0</v>
      </c>
      <c r="H454" s="2">
        <f t="shared" si="61"/>
        <v>1465.76</v>
      </c>
      <c r="I454" s="2">
        <f t="shared" si="62"/>
        <v>337426.69999999966</v>
      </c>
    </row>
    <row r="455" spans="1:9" x14ac:dyDescent="0.25">
      <c r="A455" s="1">
        <v>57589</v>
      </c>
      <c r="B455" s="2">
        <f t="shared" si="63"/>
        <v>18322</v>
      </c>
      <c r="C455" s="2">
        <f t="shared" si="56"/>
        <v>0</v>
      </c>
      <c r="D455" s="2">
        <f t="shared" si="57"/>
        <v>18322</v>
      </c>
      <c r="E455" s="2">
        <f t="shared" si="58"/>
        <v>732.88</v>
      </c>
      <c r="F455" s="2">
        <f t="shared" si="59"/>
        <v>732.88</v>
      </c>
      <c r="G455" s="2">
        <f t="shared" si="60"/>
        <v>0</v>
      </c>
      <c r="H455" s="2">
        <f t="shared" si="61"/>
        <v>1465.76</v>
      </c>
      <c r="I455" s="2">
        <f t="shared" si="62"/>
        <v>338892.45999999967</v>
      </c>
    </row>
    <row r="456" spans="1:9" x14ac:dyDescent="0.25">
      <c r="A456" s="1">
        <v>57619</v>
      </c>
      <c r="B456" s="2">
        <f t="shared" si="63"/>
        <v>18322</v>
      </c>
      <c r="C456" s="2">
        <f t="shared" si="56"/>
        <v>500</v>
      </c>
      <c r="D456" s="2">
        <f t="shared" si="57"/>
        <v>18822</v>
      </c>
      <c r="E456" s="2">
        <f t="shared" si="58"/>
        <v>752.88</v>
      </c>
      <c r="F456" s="2">
        <f t="shared" si="59"/>
        <v>752.88</v>
      </c>
      <c r="G456" s="2">
        <f t="shared" si="60"/>
        <v>0</v>
      </c>
      <c r="H456" s="2">
        <f t="shared" si="61"/>
        <v>1505.76</v>
      </c>
      <c r="I456" s="2">
        <f t="shared" si="62"/>
        <v>340398.21999999968</v>
      </c>
    </row>
    <row r="457" spans="1:9" x14ac:dyDescent="0.25">
      <c r="A457" s="1">
        <v>57650</v>
      </c>
      <c r="B457" s="2">
        <f t="shared" si="63"/>
        <v>18322</v>
      </c>
      <c r="C457" s="2">
        <f t="shared" si="56"/>
        <v>0</v>
      </c>
      <c r="D457" s="2">
        <f t="shared" si="57"/>
        <v>18322</v>
      </c>
      <c r="E457" s="2">
        <f t="shared" si="58"/>
        <v>732.88</v>
      </c>
      <c r="F457" s="2">
        <f t="shared" si="59"/>
        <v>732.88</v>
      </c>
      <c r="G457" s="2">
        <f t="shared" si="60"/>
        <v>0</v>
      </c>
      <c r="H457" s="2">
        <f t="shared" si="61"/>
        <v>1465.76</v>
      </c>
      <c r="I457" s="2">
        <f t="shared" si="62"/>
        <v>341863.97999999969</v>
      </c>
    </row>
    <row r="458" spans="1:9" x14ac:dyDescent="0.25">
      <c r="A458" s="1">
        <v>57680</v>
      </c>
      <c r="B458" s="2">
        <f t="shared" si="63"/>
        <v>18322</v>
      </c>
      <c r="C458" s="2">
        <f t="shared" si="56"/>
        <v>0</v>
      </c>
      <c r="D458" s="2">
        <f t="shared" si="57"/>
        <v>18322</v>
      </c>
      <c r="E458" s="2">
        <f t="shared" si="58"/>
        <v>732.88</v>
      </c>
      <c r="F458" s="2">
        <f t="shared" si="59"/>
        <v>732.88</v>
      </c>
      <c r="G458" s="2">
        <f t="shared" si="60"/>
        <v>240</v>
      </c>
      <c r="H458" s="2">
        <f t="shared" si="61"/>
        <v>1465.76</v>
      </c>
      <c r="I458" s="2">
        <f t="shared" si="62"/>
        <v>343569.7399999997</v>
      </c>
    </row>
    <row r="459" spans="1:9" x14ac:dyDescent="0.25">
      <c r="A459" s="1">
        <v>57711</v>
      </c>
      <c r="B459" s="2">
        <f t="shared" si="63"/>
        <v>18781</v>
      </c>
      <c r="C459" s="2">
        <f t="shared" si="56"/>
        <v>500</v>
      </c>
      <c r="D459" s="2">
        <f t="shared" si="57"/>
        <v>19281</v>
      </c>
      <c r="E459" s="2">
        <f t="shared" si="58"/>
        <v>771.24</v>
      </c>
      <c r="F459" s="2">
        <f t="shared" si="59"/>
        <v>771.24</v>
      </c>
      <c r="G459" s="2">
        <f t="shared" si="60"/>
        <v>0</v>
      </c>
      <c r="H459" s="2">
        <f t="shared" si="61"/>
        <v>1542.48</v>
      </c>
      <c r="I459" s="2">
        <f t="shared" si="62"/>
        <v>345112.21999999968</v>
      </c>
    </row>
    <row r="460" spans="1:9" x14ac:dyDescent="0.25">
      <c r="A460" s="1">
        <v>57742</v>
      </c>
      <c r="B460" s="2">
        <f t="shared" si="63"/>
        <v>18781</v>
      </c>
      <c r="C460" s="2">
        <f t="shared" si="56"/>
        <v>0</v>
      </c>
      <c r="D460" s="2">
        <f t="shared" si="57"/>
        <v>18781</v>
      </c>
      <c r="E460" s="2">
        <f t="shared" si="58"/>
        <v>751.24</v>
      </c>
      <c r="F460" s="2">
        <f t="shared" si="59"/>
        <v>751.24</v>
      </c>
      <c r="G460" s="2">
        <f t="shared" si="60"/>
        <v>0</v>
      </c>
      <c r="H460" s="2">
        <f t="shared" si="61"/>
        <v>1502.48</v>
      </c>
      <c r="I460" s="2">
        <f t="shared" si="62"/>
        <v>346614.69999999966</v>
      </c>
    </row>
    <row r="461" spans="1:9" x14ac:dyDescent="0.25">
      <c r="A461" s="1">
        <v>57770</v>
      </c>
      <c r="B461" s="2">
        <f t="shared" si="63"/>
        <v>18781</v>
      </c>
      <c r="C461" s="2">
        <f t="shared" si="56"/>
        <v>0</v>
      </c>
      <c r="D461" s="2">
        <f t="shared" si="57"/>
        <v>18781</v>
      </c>
      <c r="E461" s="2">
        <f t="shared" si="58"/>
        <v>751.24</v>
      </c>
      <c r="F461" s="2">
        <f t="shared" si="59"/>
        <v>751.24</v>
      </c>
      <c r="G461" s="2">
        <f t="shared" si="60"/>
        <v>0</v>
      </c>
      <c r="H461" s="2">
        <f t="shared" si="61"/>
        <v>1502.48</v>
      </c>
      <c r="I461" s="2">
        <f t="shared" si="62"/>
        <v>348117.17999999964</v>
      </c>
    </row>
    <row r="462" spans="1:9" x14ac:dyDescent="0.25">
      <c r="A462" s="1">
        <v>57801</v>
      </c>
      <c r="B462" s="2">
        <f t="shared" si="63"/>
        <v>18781</v>
      </c>
      <c r="C462" s="2">
        <f t="shared" si="56"/>
        <v>500</v>
      </c>
      <c r="D462" s="2">
        <f t="shared" si="57"/>
        <v>19281</v>
      </c>
      <c r="E462" s="2">
        <f t="shared" si="58"/>
        <v>771.24</v>
      </c>
      <c r="F462" s="2">
        <f t="shared" si="59"/>
        <v>771.24</v>
      </c>
      <c r="G462" s="2">
        <f t="shared" si="60"/>
        <v>0</v>
      </c>
      <c r="H462" s="2">
        <f t="shared" si="61"/>
        <v>1542.48</v>
      </c>
      <c r="I462" s="2">
        <f t="shared" si="62"/>
        <v>349659.65999999963</v>
      </c>
    </row>
    <row r="463" spans="1:9" x14ac:dyDescent="0.25">
      <c r="A463" s="1">
        <v>57831</v>
      </c>
      <c r="B463" s="2">
        <f t="shared" si="63"/>
        <v>18781</v>
      </c>
      <c r="C463" s="2">
        <f t="shared" si="56"/>
        <v>0</v>
      </c>
      <c r="D463" s="2">
        <f t="shared" si="57"/>
        <v>18781</v>
      </c>
      <c r="E463" s="2">
        <f t="shared" si="58"/>
        <v>751.24</v>
      </c>
      <c r="F463" s="2">
        <f t="shared" si="59"/>
        <v>751.24</v>
      </c>
      <c r="G463" s="2">
        <f t="shared" si="60"/>
        <v>0</v>
      </c>
      <c r="H463" s="2">
        <f t="shared" si="61"/>
        <v>1502.48</v>
      </c>
      <c r="I463" s="2">
        <f t="shared" si="62"/>
        <v>351162.13999999961</v>
      </c>
    </row>
    <row r="464" spans="1:9" x14ac:dyDescent="0.25">
      <c r="A464" s="1">
        <v>57862</v>
      </c>
      <c r="B464" s="2">
        <f t="shared" si="63"/>
        <v>18781</v>
      </c>
      <c r="C464" s="2">
        <f t="shared" si="56"/>
        <v>0</v>
      </c>
      <c r="D464" s="2">
        <f t="shared" si="57"/>
        <v>18781</v>
      </c>
      <c r="E464" s="2">
        <f t="shared" si="58"/>
        <v>751.24</v>
      </c>
      <c r="F464" s="2">
        <f t="shared" si="59"/>
        <v>751.24</v>
      </c>
      <c r="G464" s="2">
        <f t="shared" si="60"/>
        <v>0</v>
      </c>
      <c r="H464" s="2">
        <f t="shared" si="61"/>
        <v>1502.48</v>
      </c>
      <c r="I464" s="2">
        <f t="shared" si="62"/>
        <v>352664.61999999959</v>
      </c>
    </row>
    <row r="465" spans="1:9" x14ac:dyDescent="0.25">
      <c r="A465" s="1">
        <v>57892</v>
      </c>
      <c r="B465" s="2">
        <f t="shared" si="63"/>
        <v>18781</v>
      </c>
      <c r="C465" s="2">
        <f t="shared" si="56"/>
        <v>500</v>
      </c>
      <c r="D465" s="2">
        <f t="shared" si="57"/>
        <v>19281</v>
      </c>
      <c r="E465" s="2">
        <f t="shared" si="58"/>
        <v>771.24</v>
      </c>
      <c r="F465" s="2">
        <f t="shared" si="59"/>
        <v>771.24</v>
      </c>
      <c r="G465" s="2">
        <f t="shared" si="60"/>
        <v>0</v>
      </c>
      <c r="H465" s="2">
        <f t="shared" si="61"/>
        <v>1542.48</v>
      </c>
      <c r="I465" s="2">
        <f t="shared" si="62"/>
        <v>354207.09999999957</v>
      </c>
    </row>
    <row r="466" spans="1:9" x14ac:dyDescent="0.25">
      <c r="A466" s="1">
        <v>57923</v>
      </c>
      <c r="B466" s="2">
        <f t="shared" si="63"/>
        <v>18781</v>
      </c>
      <c r="C466" s="2">
        <f t="shared" si="56"/>
        <v>0</v>
      </c>
      <c r="D466" s="2">
        <f t="shared" si="57"/>
        <v>18781</v>
      </c>
      <c r="E466" s="2">
        <f t="shared" si="58"/>
        <v>751.24</v>
      </c>
      <c r="F466" s="2">
        <f t="shared" si="59"/>
        <v>751.24</v>
      </c>
      <c r="G466" s="2">
        <f t="shared" si="60"/>
        <v>0</v>
      </c>
      <c r="H466" s="2">
        <f t="shared" si="61"/>
        <v>1502.48</v>
      </c>
      <c r="I466" s="2">
        <f t="shared" si="62"/>
        <v>355709.57999999955</v>
      </c>
    </row>
    <row r="467" spans="1:9" x14ac:dyDescent="0.25">
      <c r="A467" s="1">
        <v>57954</v>
      </c>
      <c r="B467" s="2">
        <f t="shared" si="63"/>
        <v>18781</v>
      </c>
      <c r="C467" s="2">
        <f t="shared" si="56"/>
        <v>0</v>
      </c>
      <c r="D467" s="2">
        <f t="shared" si="57"/>
        <v>18781</v>
      </c>
      <c r="E467" s="2">
        <f t="shared" si="58"/>
        <v>751.24</v>
      </c>
      <c r="F467" s="2">
        <f t="shared" si="59"/>
        <v>751.24</v>
      </c>
      <c r="G467" s="2">
        <f t="shared" si="60"/>
        <v>0</v>
      </c>
      <c r="H467" s="2">
        <f t="shared" si="61"/>
        <v>1502.48</v>
      </c>
      <c r="I467" s="2">
        <f t="shared" si="62"/>
        <v>357212.05999999953</v>
      </c>
    </row>
    <row r="468" spans="1:9" x14ac:dyDescent="0.25">
      <c r="A468" s="1">
        <v>57984</v>
      </c>
      <c r="B468" s="2">
        <f t="shared" si="63"/>
        <v>18781</v>
      </c>
      <c r="C468" s="2">
        <f t="shared" si="56"/>
        <v>500</v>
      </c>
      <c r="D468" s="2">
        <f t="shared" si="57"/>
        <v>19281</v>
      </c>
      <c r="E468" s="2">
        <f t="shared" si="58"/>
        <v>771.24</v>
      </c>
      <c r="F468" s="2">
        <f t="shared" si="59"/>
        <v>771.24</v>
      </c>
      <c r="G468" s="2">
        <f t="shared" si="60"/>
        <v>0</v>
      </c>
      <c r="H468" s="2">
        <f t="shared" si="61"/>
        <v>1542.48</v>
      </c>
      <c r="I468" s="2">
        <f t="shared" si="62"/>
        <v>358754.53999999951</v>
      </c>
    </row>
    <row r="469" spans="1:9" x14ac:dyDescent="0.25">
      <c r="A469" s="1">
        <v>58015</v>
      </c>
      <c r="B469" s="2">
        <f t="shared" si="63"/>
        <v>18781</v>
      </c>
      <c r="C469" s="2">
        <f t="shared" si="56"/>
        <v>0</v>
      </c>
      <c r="D469" s="2">
        <f t="shared" si="57"/>
        <v>18781</v>
      </c>
      <c r="E469" s="2">
        <f t="shared" si="58"/>
        <v>751.24</v>
      </c>
      <c r="F469" s="2">
        <f t="shared" si="59"/>
        <v>751.24</v>
      </c>
      <c r="G469" s="2">
        <f t="shared" si="60"/>
        <v>0</v>
      </c>
      <c r="H469" s="2">
        <f t="shared" si="61"/>
        <v>1502.48</v>
      </c>
      <c r="I469" s="2">
        <f t="shared" si="62"/>
        <v>360257.01999999949</v>
      </c>
    </row>
    <row r="470" spans="1:9" x14ac:dyDescent="0.25">
      <c r="A470" s="1">
        <v>58045</v>
      </c>
      <c r="B470" s="2">
        <f t="shared" si="63"/>
        <v>18781</v>
      </c>
      <c r="C470" s="2">
        <f t="shared" si="56"/>
        <v>0</v>
      </c>
      <c r="D470" s="2">
        <f t="shared" si="57"/>
        <v>18781</v>
      </c>
      <c r="E470" s="2">
        <f t="shared" si="58"/>
        <v>751.24</v>
      </c>
      <c r="F470" s="2">
        <f t="shared" si="59"/>
        <v>751.24</v>
      </c>
      <c r="G470" s="2">
        <f t="shared" si="60"/>
        <v>240</v>
      </c>
      <c r="H470" s="2">
        <f t="shared" si="61"/>
        <v>1502.48</v>
      </c>
      <c r="I470" s="2">
        <f t="shared" si="62"/>
        <v>361999.49999999948</v>
      </c>
    </row>
    <row r="471" spans="1:9" x14ac:dyDescent="0.25">
      <c r="A471" s="1">
        <v>58076</v>
      </c>
      <c r="B471" s="2">
        <f t="shared" si="63"/>
        <v>19251</v>
      </c>
      <c r="C471" s="2">
        <f t="shared" si="56"/>
        <v>500</v>
      </c>
      <c r="D471" s="2">
        <f t="shared" si="57"/>
        <v>19751</v>
      </c>
      <c r="E471" s="2">
        <f t="shared" si="58"/>
        <v>790.04</v>
      </c>
      <c r="F471" s="2">
        <f t="shared" si="59"/>
        <v>790.04</v>
      </c>
      <c r="G471" s="2">
        <f t="shared" si="60"/>
        <v>0</v>
      </c>
      <c r="H471" s="2">
        <f t="shared" si="61"/>
        <v>1580.08</v>
      </c>
      <c r="I471" s="2">
        <f t="shared" si="62"/>
        <v>363579.57999999943</v>
      </c>
    </row>
    <row r="472" spans="1:9" x14ac:dyDescent="0.25">
      <c r="A472" s="1">
        <v>58107</v>
      </c>
      <c r="B472" s="2">
        <f t="shared" si="63"/>
        <v>19251</v>
      </c>
      <c r="C472" s="2">
        <f t="shared" si="56"/>
        <v>0</v>
      </c>
      <c r="D472" s="2">
        <f t="shared" si="57"/>
        <v>19251</v>
      </c>
      <c r="E472" s="2">
        <f t="shared" si="58"/>
        <v>770.04</v>
      </c>
      <c r="F472" s="2">
        <f t="shared" si="59"/>
        <v>770.04</v>
      </c>
      <c r="G472" s="2">
        <f t="shared" si="60"/>
        <v>0</v>
      </c>
      <c r="H472" s="2">
        <f t="shared" si="61"/>
        <v>1540.08</v>
      </c>
      <c r="I472" s="2">
        <f t="shared" si="62"/>
        <v>365119.65999999939</v>
      </c>
    </row>
    <row r="473" spans="1:9" x14ac:dyDescent="0.25">
      <c r="A473" s="1">
        <v>58135</v>
      </c>
      <c r="B473" s="2">
        <f t="shared" si="63"/>
        <v>19251</v>
      </c>
      <c r="C473" s="2">
        <f t="shared" si="56"/>
        <v>0</v>
      </c>
      <c r="D473" s="2">
        <f t="shared" si="57"/>
        <v>19251</v>
      </c>
      <c r="E473" s="2">
        <f t="shared" si="58"/>
        <v>770.04</v>
      </c>
      <c r="F473" s="2">
        <f t="shared" si="59"/>
        <v>770.04</v>
      </c>
      <c r="G473" s="2">
        <f t="shared" si="60"/>
        <v>0</v>
      </c>
      <c r="H473" s="2">
        <f t="shared" si="61"/>
        <v>1540.08</v>
      </c>
      <c r="I473" s="2">
        <f t="shared" si="62"/>
        <v>366659.73999999935</v>
      </c>
    </row>
    <row r="474" spans="1:9" x14ac:dyDescent="0.25">
      <c r="A474" s="1">
        <v>58166</v>
      </c>
      <c r="B474" s="2">
        <f t="shared" si="63"/>
        <v>19251</v>
      </c>
      <c r="C474" s="2">
        <f t="shared" si="56"/>
        <v>500</v>
      </c>
      <c r="D474" s="2">
        <f t="shared" si="57"/>
        <v>19751</v>
      </c>
      <c r="E474" s="2">
        <f t="shared" si="58"/>
        <v>790.04</v>
      </c>
      <c r="F474" s="2">
        <f t="shared" si="59"/>
        <v>790.04</v>
      </c>
      <c r="G474" s="2">
        <f t="shared" si="60"/>
        <v>0</v>
      </c>
      <c r="H474" s="2">
        <f t="shared" si="61"/>
        <v>1580.08</v>
      </c>
      <c r="I474" s="2">
        <f t="shared" si="62"/>
        <v>368239.81999999931</v>
      </c>
    </row>
    <row r="475" spans="1:9" x14ac:dyDescent="0.25">
      <c r="A475" s="1">
        <v>58196</v>
      </c>
      <c r="B475" s="2">
        <f t="shared" si="63"/>
        <v>19251</v>
      </c>
      <c r="C475" s="2">
        <f t="shared" si="56"/>
        <v>0</v>
      </c>
      <c r="D475" s="2">
        <f t="shared" si="57"/>
        <v>19251</v>
      </c>
      <c r="E475" s="2">
        <f t="shared" si="58"/>
        <v>770.04</v>
      </c>
      <c r="F475" s="2">
        <f t="shared" si="59"/>
        <v>770.04</v>
      </c>
      <c r="G475" s="2">
        <f t="shared" si="60"/>
        <v>0</v>
      </c>
      <c r="H475" s="2">
        <f t="shared" si="61"/>
        <v>1540.08</v>
      </c>
      <c r="I475" s="2">
        <f t="shared" si="62"/>
        <v>369779.89999999927</v>
      </c>
    </row>
    <row r="476" spans="1:9" x14ac:dyDescent="0.25">
      <c r="A476" s="1">
        <v>58227</v>
      </c>
      <c r="B476" s="2">
        <f t="shared" si="63"/>
        <v>19251</v>
      </c>
      <c r="C476" s="2">
        <f t="shared" si="56"/>
        <v>0</v>
      </c>
      <c r="D476" s="2">
        <f t="shared" si="57"/>
        <v>19251</v>
      </c>
      <c r="E476" s="2">
        <f t="shared" si="58"/>
        <v>770.04</v>
      </c>
      <c r="F476" s="2">
        <f t="shared" si="59"/>
        <v>770.04</v>
      </c>
      <c r="G476" s="2">
        <f t="shared" si="60"/>
        <v>0</v>
      </c>
      <c r="H476" s="2">
        <f t="shared" si="61"/>
        <v>1540.08</v>
      </c>
      <c r="I476" s="2">
        <f t="shared" si="62"/>
        <v>371319.97999999922</v>
      </c>
    </row>
    <row r="477" spans="1:9" x14ac:dyDescent="0.25">
      <c r="A477" s="1">
        <v>58257</v>
      </c>
      <c r="B477" s="2">
        <f t="shared" si="63"/>
        <v>19251</v>
      </c>
      <c r="C477" s="2">
        <f t="shared" si="56"/>
        <v>500</v>
      </c>
      <c r="D477" s="2">
        <f t="shared" si="57"/>
        <v>19751</v>
      </c>
      <c r="E477" s="2">
        <f t="shared" si="58"/>
        <v>790.04</v>
      </c>
      <c r="F477" s="2">
        <f t="shared" si="59"/>
        <v>790.04</v>
      </c>
      <c r="G477" s="2">
        <f t="shared" si="60"/>
        <v>0</v>
      </c>
      <c r="H477" s="2">
        <f t="shared" si="61"/>
        <v>1580.08</v>
      </c>
      <c r="I477" s="2">
        <f t="shared" si="62"/>
        <v>372900.05999999918</v>
      </c>
    </row>
    <row r="478" spans="1:9" x14ac:dyDescent="0.25">
      <c r="A478" s="1">
        <v>58288</v>
      </c>
      <c r="B478" s="2">
        <f t="shared" si="63"/>
        <v>19251</v>
      </c>
      <c r="C478" s="2">
        <f t="shared" si="56"/>
        <v>0</v>
      </c>
      <c r="D478" s="2">
        <f t="shared" si="57"/>
        <v>19251</v>
      </c>
      <c r="E478" s="2">
        <f t="shared" si="58"/>
        <v>770.04</v>
      </c>
      <c r="F478" s="2">
        <f t="shared" si="59"/>
        <v>770.04</v>
      </c>
      <c r="G478" s="2">
        <f t="shared" si="60"/>
        <v>0</v>
      </c>
      <c r="H478" s="2">
        <f t="shared" si="61"/>
        <v>1540.08</v>
      </c>
      <c r="I478" s="2">
        <f t="shared" si="62"/>
        <v>374440.13999999914</v>
      </c>
    </row>
    <row r="479" spans="1:9" x14ac:dyDescent="0.25">
      <c r="A479" s="1">
        <v>58319</v>
      </c>
      <c r="B479" s="2">
        <f t="shared" si="63"/>
        <v>19251</v>
      </c>
      <c r="C479" s="2">
        <f t="shared" si="56"/>
        <v>0</v>
      </c>
      <c r="D479" s="2">
        <f t="shared" si="57"/>
        <v>19251</v>
      </c>
      <c r="E479" s="2">
        <f t="shared" si="58"/>
        <v>770.04</v>
      </c>
      <c r="F479" s="2">
        <f t="shared" si="59"/>
        <v>770.04</v>
      </c>
      <c r="G479" s="2">
        <f t="shared" si="60"/>
        <v>0</v>
      </c>
      <c r="H479" s="2">
        <f t="shared" si="61"/>
        <v>1540.08</v>
      </c>
      <c r="I479" s="2">
        <f t="shared" si="62"/>
        <v>375980.2199999991</v>
      </c>
    </row>
    <row r="480" spans="1:9" x14ac:dyDescent="0.25">
      <c r="A480" s="1">
        <v>58349</v>
      </c>
      <c r="B480" s="2">
        <f t="shared" si="63"/>
        <v>19251</v>
      </c>
      <c r="C480" s="2">
        <f t="shared" si="56"/>
        <v>500</v>
      </c>
      <c r="D480" s="2">
        <f t="shared" si="57"/>
        <v>19751</v>
      </c>
      <c r="E480" s="2">
        <f t="shared" si="58"/>
        <v>790.04</v>
      </c>
      <c r="F480" s="2">
        <f t="shared" si="59"/>
        <v>790.04</v>
      </c>
      <c r="G480" s="2">
        <f t="shared" si="60"/>
        <v>0</v>
      </c>
      <c r="H480" s="2">
        <f t="shared" si="61"/>
        <v>1580.08</v>
      </c>
      <c r="I480" s="2">
        <f t="shared" si="62"/>
        <v>377560.29999999906</v>
      </c>
    </row>
    <row r="481" spans="1:9" x14ac:dyDescent="0.25">
      <c r="A481" s="1">
        <v>58380</v>
      </c>
      <c r="B481" s="2">
        <f t="shared" si="63"/>
        <v>19251</v>
      </c>
      <c r="C481" s="2">
        <f t="shared" si="56"/>
        <v>0</v>
      </c>
      <c r="D481" s="2">
        <f t="shared" si="57"/>
        <v>19251</v>
      </c>
      <c r="E481" s="2">
        <f t="shared" si="58"/>
        <v>770.04</v>
      </c>
      <c r="F481" s="2">
        <f t="shared" si="59"/>
        <v>770.04</v>
      </c>
      <c r="G481" s="2">
        <f t="shared" si="60"/>
        <v>0</v>
      </c>
      <c r="H481" s="2">
        <f t="shared" si="61"/>
        <v>1540.08</v>
      </c>
      <c r="I481" s="2">
        <f t="shared" si="62"/>
        <v>379100.37999999902</v>
      </c>
    </row>
    <row r="482" spans="1:9" x14ac:dyDescent="0.25">
      <c r="A482" s="1">
        <v>58410</v>
      </c>
      <c r="B482" s="2">
        <f t="shared" si="63"/>
        <v>19251</v>
      </c>
      <c r="C482" s="2">
        <f t="shared" si="56"/>
        <v>0</v>
      </c>
      <c r="D482" s="2">
        <f t="shared" si="57"/>
        <v>19251</v>
      </c>
      <c r="E482" s="2">
        <f t="shared" si="58"/>
        <v>770.04</v>
      </c>
      <c r="F482" s="2">
        <f t="shared" si="59"/>
        <v>770.04</v>
      </c>
      <c r="G482" s="2">
        <f t="shared" si="60"/>
        <v>240</v>
      </c>
      <c r="H482" s="2">
        <f t="shared" si="61"/>
        <v>1540.08</v>
      </c>
      <c r="I482" s="2">
        <f t="shared" si="62"/>
        <v>380880.45999999897</v>
      </c>
    </row>
    <row r="483" spans="1:9" x14ac:dyDescent="0.25">
      <c r="A483" s="1">
        <v>58441</v>
      </c>
      <c r="B483" s="2">
        <f t="shared" si="63"/>
        <v>20233</v>
      </c>
      <c r="C483" s="2">
        <f t="shared" si="56"/>
        <v>500</v>
      </c>
      <c r="D483" s="2">
        <f t="shared" si="57"/>
        <v>20733</v>
      </c>
      <c r="E483" s="2">
        <f t="shared" si="58"/>
        <v>829.32</v>
      </c>
      <c r="F483" s="2">
        <f t="shared" si="59"/>
        <v>829.32</v>
      </c>
      <c r="G483" s="2">
        <f t="shared" si="60"/>
        <v>0</v>
      </c>
      <c r="H483" s="2">
        <f t="shared" si="61"/>
        <v>1658.64</v>
      </c>
      <c r="I483" s="2">
        <f t="shared" si="62"/>
        <v>382539.09999999899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5_1 i 5_2 i 5_4</vt:lpstr>
      <vt:lpstr>5_3</vt:lpstr>
      <vt:lpstr>5_5</vt:lpstr>
      <vt:lpstr>5_6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2015-06-05T18:19:34Z</dcterms:created>
  <dcterms:modified xsi:type="dcterms:W3CDTF">2020-03-02T17:49:34Z</dcterms:modified>
</cp:coreProperties>
</file>