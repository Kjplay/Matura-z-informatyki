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MEGA\INFA_TODO\2018S\"/>
    </mc:Choice>
  </mc:AlternateContent>
  <xr:revisionPtr revIDLastSave="0" documentId="13_ncr:1_{614E0352-4F6E-47B3-AAB3-E2A989CEFF36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Dane" sheetId="2" r:id="rId1"/>
    <sheet name="4_2" sheetId="3" r:id="rId2"/>
    <sheet name="4_1" sheetId="1" r:id="rId3"/>
    <sheet name="4_3_pom" sheetId="4" r:id="rId4"/>
    <sheet name="4_3" sheetId="8" r:id="rId5"/>
    <sheet name="4_4" sheetId="9" r:id="rId6"/>
  </sheets>
  <definedNames>
    <definedName name="DaneZewnętrzne_1" localSheetId="1" hidden="1">'4_2'!$A$1:$C$501</definedName>
    <definedName name="DaneZewnętrzne_1" localSheetId="3" hidden="1">'4_3_pom'!$A$1:$C$501</definedName>
    <definedName name="DaneZewnętrzne_1" localSheetId="0" hidden="1">Dane!$A$1:$C$501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9" l="1"/>
  <c r="E4" i="9"/>
  <c r="E5" i="9"/>
  <c r="E6" i="9"/>
  <c r="E7" i="9"/>
  <c r="E8" i="9"/>
  <c r="E9" i="9"/>
  <c r="E252" i="9"/>
  <c r="E361" i="9"/>
  <c r="E3" i="9"/>
  <c r="D3" i="9"/>
  <c r="D4" i="9" s="1"/>
  <c r="C3" i="9"/>
  <c r="C4" i="9" s="1"/>
  <c r="D6" i="9"/>
  <c r="D7" i="9"/>
  <c r="D8" i="9"/>
  <c r="D9" i="9"/>
  <c r="D10" i="9"/>
  <c r="D13" i="9"/>
  <c r="D14" i="9"/>
  <c r="E14" i="9" s="1"/>
  <c r="D15" i="9"/>
  <c r="D18" i="9"/>
  <c r="D19" i="9"/>
  <c r="E19" i="9" s="1"/>
  <c r="D20" i="9"/>
  <c r="D73" i="9"/>
  <c r="D74" i="9"/>
  <c r="D95" i="9"/>
  <c r="D104" i="9"/>
  <c r="D105" i="9"/>
  <c r="D106" i="9"/>
  <c r="E106" i="9" s="1"/>
  <c r="D107" i="9"/>
  <c r="D108" i="9"/>
  <c r="D109" i="9" s="1"/>
  <c r="E109" i="9" s="1"/>
  <c r="D110" i="9"/>
  <c r="D111" i="9"/>
  <c r="E111" i="9" s="1"/>
  <c r="D112" i="9"/>
  <c r="D115" i="9"/>
  <c r="D116" i="9"/>
  <c r="E116" i="9" s="1"/>
  <c r="D117" i="9"/>
  <c r="E117" i="9" s="1"/>
  <c r="D118" i="9"/>
  <c r="E118" i="9" s="1"/>
  <c r="D119" i="9"/>
  <c r="D120" i="9"/>
  <c r="E120" i="9" s="1"/>
  <c r="D121" i="9"/>
  <c r="D124" i="9"/>
  <c r="D125" i="9"/>
  <c r="D136" i="9"/>
  <c r="D137" i="9"/>
  <c r="D139" i="9"/>
  <c r="D140" i="9"/>
  <c r="D141" i="9"/>
  <c r="D143" i="9"/>
  <c r="D144" i="9"/>
  <c r="E144" i="9" s="1"/>
  <c r="D145" i="9"/>
  <c r="D158" i="9"/>
  <c r="D160" i="9"/>
  <c r="D161" i="9"/>
  <c r="E161" i="9" s="1"/>
  <c r="D162" i="9"/>
  <c r="D163" i="9"/>
  <c r="D164" i="9"/>
  <c r="E164" i="9" s="1"/>
  <c r="D165" i="9"/>
  <c r="E165" i="9" s="1"/>
  <c r="D166" i="9"/>
  <c r="D167" i="9"/>
  <c r="D168" i="9"/>
  <c r="D169" i="9" s="1"/>
  <c r="E169" i="9" s="1"/>
  <c r="D170" i="9"/>
  <c r="E170" i="9" s="1"/>
  <c r="D171" i="9"/>
  <c r="D172" i="9" s="1"/>
  <c r="D199" i="9"/>
  <c r="D200" i="9"/>
  <c r="E200" i="9" s="1"/>
  <c r="D201" i="9"/>
  <c r="D202" i="9"/>
  <c r="D203" i="9"/>
  <c r="D222" i="9"/>
  <c r="D223" i="9"/>
  <c r="D231" i="9"/>
  <c r="D232" i="9"/>
  <c r="E232" i="9" s="1"/>
  <c r="D233" i="9"/>
  <c r="E233" i="9" s="1"/>
  <c r="D234" i="9"/>
  <c r="D235" i="9"/>
  <c r="D240" i="9"/>
  <c r="D241" i="9"/>
  <c r="E241" i="9" s="1"/>
  <c r="D242" i="9"/>
  <c r="D243" i="9"/>
  <c r="D246" i="9"/>
  <c r="D249" i="9"/>
  <c r="D250" i="9"/>
  <c r="D251" i="9"/>
  <c r="D252" i="9"/>
  <c r="D253" i="9" s="1"/>
  <c r="D269" i="9"/>
  <c r="D270" i="9"/>
  <c r="D271" i="9"/>
  <c r="D314" i="9"/>
  <c r="D315" i="9"/>
  <c r="D316" i="9"/>
  <c r="D317" i="9" s="1"/>
  <c r="E317" i="9" s="1"/>
  <c r="D323" i="9"/>
  <c r="D324" i="9"/>
  <c r="D325" i="9" s="1"/>
  <c r="D327" i="9"/>
  <c r="D328" i="9"/>
  <c r="D329" i="9" s="1"/>
  <c r="D332" i="9"/>
  <c r="D333" i="9"/>
  <c r="E333" i="9" s="1"/>
  <c r="D334" i="9"/>
  <c r="D336" i="9"/>
  <c r="D337" i="9"/>
  <c r="D339" i="9"/>
  <c r="D340" i="9"/>
  <c r="D341" i="9"/>
  <c r="D358" i="9"/>
  <c r="D359" i="9"/>
  <c r="E359" i="9" s="1"/>
  <c r="D360" i="9"/>
  <c r="D361" i="9"/>
  <c r="D362" i="9" s="1"/>
  <c r="E362" i="9" s="1"/>
  <c r="D5" i="9"/>
  <c r="E206" i="8"/>
  <c r="E475" i="8"/>
  <c r="G8" i="4"/>
  <c r="B5" i="8" s="1"/>
  <c r="E5" i="8" s="1"/>
  <c r="G40" i="4"/>
  <c r="B40" i="8" s="1"/>
  <c r="E40" i="8" s="1"/>
  <c r="G72" i="4"/>
  <c r="B72" i="8" s="1"/>
  <c r="E72" i="8" s="1"/>
  <c r="G104" i="4"/>
  <c r="B104" i="8" s="1"/>
  <c r="E104" i="8" s="1"/>
  <c r="G136" i="4"/>
  <c r="B136" i="8" s="1"/>
  <c r="E136" i="8" s="1"/>
  <c r="G168" i="4"/>
  <c r="B168" i="8" s="1"/>
  <c r="E168" i="8" s="1"/>
  <c r="G200" i="4"/>
  <c r="B200" i="8" s="1"/>
  <c r="E200" i="8" s="1"/>
  <c r="G232" i="4"/>
  <c r="B232" i="8" s="1"/>
  <c r="E232" i="8" s="1"/>
  <c r="G264" i="4"/>
  <c r="B264" i="8" s="1"/>
  <c r="E264" i="8" s="1"/>
  <c r="G296" i="4"/>
  <c r="B296" i="8" s="1"/>
  <c r="E296" i="8" s="1"/>
  <c r="G312" i="4"/>
  <c r="B312" i="8" s="1"/>
  <c r="E312" i="8" s="1"/>
  <c r="G320" i="4"/>
  <c r="B320" i="8" s="1"/>
  <c r="E320" i="8" s="1"/>
  <c r="G328" i="4"/>
  <c r="B328" i="8" s="1"/>
  <c r="E328" i="8" s="1"/>
  <c r="G336" i="4"/>
  <c r="B336" i="8" s="1"/>
  <c r="E336" i="8" s="1"/>
  <c r="G344" i="4"/>
  <c r="B344" i="8" s="1"/>
  <c r="E344" i="8" s="1"/>
  <c r="G352" i="4"/>
  <c r="B352" i="8" s="1"/>
  <c r="E352" i="8" s="1"/>
  <c r="G360" i="4"/>
  <c r="B360" i="8" s="1"/>
  <c r="E360" i="8" s="1"/>
  <c r="G368" i="4"/>
  <c r="B368" i="8" s="1"/>
  <c r="E368" i="8" s="1"/>
  <c r="G376" i="4"/>
  <c r="B376" i="8" s="1"/>
  <c r="E376" i="8" s="1"/>
  <c r="G384" i="4"/>
  <c r="B384" i="8" s="1"/>
  <c r="E384" i="8" s="1"/>
  <c r="G392" i="4"/>
  <c r="B392" i="8" s="1"/>
  <c r="E392" i="8" s="1"/>
  <c r="G400" i="4"/>
  <c r="B400" i="8" s="1"/>
  <c r="E400" i="8" s="1"/>
  <c r="G408" i="4"/>
  <c r="B408" i="8" s="1"/>
  <c r="E408" i="8" s="1"/>
  <c r="G416" i="4"/>
  <c r="B416" i="8" s="1"/>
  <c r="E416" i="8" s="1"/>
  <c r="G424" i="4"/>
  <c r="B424" i="8" s="1"/>
  <c r="E424" i="8" s="1"/>
  <c r="G432" i="4"/>
  <c r="B432" i="8" s="1"/>
  <c r="E432" i="8" s="1"/>
  <c r="G440" i="4"/>
  <c r="B440" i="8" s="1"/>
  <c r="E440" i="8" s="1"/>
  <c r="G448" i="4"/>
  <c r="B448" i="8" s="1"/>
  <c r="E448" i="8" s="1"/>
  <c r="G456" i="4"/>
  <c r="B456" i="8" s="1"/>
  <c r="E456" i="8" s="1"/>
  <c r="G464" i="4"/>
  <c r="B464" i="8" s="1"/>
  <c r="E464" i="8" s="1"/>
  <c r="G472" i="4"/>
  <c r="B472" i="8" s="1"/>
  <c r="E472" i="8" s="1"/>
  <c r="G480" i="4"/>
  <c r="B480" i="8" s="1"/>
  <c r="E480" i="8" s="1"/>
  <c r="G488" i="4"/>
  <c r="B488" i="8" s="1"/>
  <c r="E488" i="8" s="1"/>
  <c r="G496" i="4"/>
  <c r="B496" i="8" s="1"/>
  <c r="E496" i="8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G16" i="4" s="1"/>
  <c r="B17" i="8" s="1"/>
  <c r="E17" i="8" s="1"/>
  <c r="E17" i="4"/>
  <c r="E18" i="4"/>
  <c r="E19" i="4"/>
  <c r="E20" i="4"/>
  <c r="E21" i="4"/>
  <c r="E22" i="4"/>
  <c r="E23" i="4"/>
  <c r="E24" i="4"/>
  <c r="G24" i="4" s="1"/>
  <c r="B24" i="8" s="1"/>
  <c r="E24" i="8" s="1"/>
  <c r="E25" i="4"/>
  <c r="E26" i="4"/>
  <c r="E27" i="4"/>
  <c r="E28" i="4"/>
  <c r="E29" i="4"/>
  <c r="E30" i="4"/>
  <c r="E31" i="4"/>
  <c r="E32" i="4"/>
  <c r="G32" i="4" s="1"/>
  <c r="B32" i="8" s="1"/>
  <c r="E32" i="8" s="1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G48" i="4" s="1"/>
  <c r="B48" i="8" s="1"/>
  <c r="E48" i="8" s="1"/>
  <c r="E49" i="4"/>
  <c r="E50" i="4"/>
  <c r="E51" i="4"/>
  <c r="E52" i="4"/>
  <c r="E53" i="4"/>
  <c r="E54" i="4"/>
  <c r="E55" i="4"/>
  <c r="E56" i="4"/>
  <c r="G56" i="4" s="1"/>
  <c r="B56" i="8" s="1"/>
  <c r="E56" i="8" s="1"/>
  <c r="E57" i="4"/>
  <c r="E58" i="4"/>
  <c r="E59" i="4"/>
  <c r="E60" i="4"/>
  <c r="E61" i="4"/>
  <c r="E62" i="4"/>
  <c r="E63" i="4"/>
  <c r="E64" i="4"/>
  <c r="G64" i="4" s="1"/>
  <c r="B64" i="8" s="1"/>
  <c r="E64" i="8" s="1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G80" i="4" s="1"/>
  <c r="B80" i="8" s="1"/>
  <c r="E80" i="8" s="1"/>
  <c r="E81" i="4"/>
  <c r="E82" i="4"/>
  <c r="E83" i="4"/>
  <c r="E84" i="4"/>
  <c r="E85" i="4"/>
  <c r="E86" i="4"/>
  <c r="E87" i="4"/>
  <c r="E88" i="4"/>
  <c r="G88" i="4" s="1"/>
  <c r="B88" i="8" s="1"/>
  <c r="E88" i="8" s="1"/>
  <c r="E89" i="4"/>
  <c r="E90" i="4"/>
  <c r="E91" i="4"/>
  <c r="E92" i="4"/>
  <c r="E93" i="4"/>
  <c r="E94" i="4"/>
  <c r="E95" i="4"/>
  <c r="E96" i="4"/>
  <c r="G96" i="4" s="1"/>
  <c r="B96" i="8" s="1"/>
  <c r="E96" i="8" s="1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G112" i="4" s="1"/>
  <c r="B112" i="8" s="1"/>
  <c r="E112" i="8" s="1"/>
  <c r="E113" i="4"/>
  <c r="E114" i="4"/>
  <c r="E115" i="4"/>
  <c r="E116" i="4"/>
  <c r="E117" i="4"/>
  <c r="E118" i="4"/>
  <c r="E119" i="4"/>
  <c r="E120" i="4"/>
  <c r="G120" i="4" s="1"/>
  <c r="B120" i="8" s="1"/>
  <c r="E120" i="8" s="1"/>
  <c r="E121" i="4"/>
  <c r="E122" i="4"/>
  <c r="E123" i="4"/>
  <c r="E124" i="4"/>
  <c r="E125" i="4"/>
  <c r="E126" i="4"/>
  <c r="E127" i="4"/>
  <c r="E128" i="4"/>
  <c r="G128" i="4" s="1"/>
  <c r="B128" i="8" s="1"/>
  <c r="E128" i="8" s="1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G144" i="4" s="1"/>
  <c r="B144" i="8" s="1"/>
  <c r="E144" i="8" s="1"/>
  <c r="E145" i="4"/>
  <c r="E146" i="4"/>
  <c r="E147" i="4"/>
  <c r="E148" i="4"/>
  <c r="E149" i="4"/>
  <c r="E150" i="4"/>
  <c r="E151" i="4"/>
  <c r="E152" i="4"/>
  <c r="G152" i="4" s="1"/>
  <c r="B152" i="8" s="1"/>
  <c r="E152" i="8" s="1"/>
  <c r="E153" i="4"/>
  <c r="E154" i="4"/>
  <c r="E155" i="4"/>
  <c r="E156" i="4"/>
  <c r="E157" i="4"/>
  <c r="E158" i="4"/>
  <c r="E159" i="4"/>
  <c r="E160" i="4"/>
  <c r="G160" i="4" s="1"/>
  <c r="B160" i="8" s="1"/>
  <c r="E160" i="8" s="1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G176" i="4" s="1"/>
  <c r="B176" i="8" s="1"/>
  <c r="E176" i="8" s="1"/>
  <c r="E177" i="4"/>
  <c r="E178" i="4"/>
  <c r="E179" i="4"/>
  <c r="E180" i="4"/>
  <c r="E181" i="4"/>
  <c r="E182" i="4"/>
  <c r="E183" i="4"/>
  <c r="E184" i="4"/>
  <c r="G184" i="4" s="1"/>
  <c r="B184" i="8" s="1"/>
  <c r="E184" i="8" s="1"/>
  <c r="E185" i="4"/>
  <c r="E186" i="4"/>
  <c r="E187" i="4"/>
  <c r="E188" i="4"/>
  <c r="E189" i="4"/>
  <c r="E190" i="4"/>
  <c r="E191" i="4"/>
  <c r="E192" i="4"/>
  <c r="G192" i="4" s="1"/>
  <c r="B192" i="8" s="1"/>
  <c r="E192" i="8" s="1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G208" i="4" s="1"/>
  <c r="B208" i="8" s="1"/>
  <c r="E208" i="8" s="1"/>
  <c r="E209" i="4"/>
  <c r="E210" i="4"/>
  <c r="E211" i="4"/>
  <c r="E212" i="4"/>
  <c r="E213" i="4"/>
  <c r="E214" i="4"/>
  <c r="E215" i="4"/>
  <c r="E216" i="4"/>
  <c r="G216" i="4" s="1"/>
  <c r="B216" i="8" s="1"/>
  <c r="E216" i="8" s="1"/>
  <c r="E217" i="4"/>
  <c r="E218" i="4"/>
  <c r="E219" i="4"/>
  <c r="E220" i="4"/>
  <c r="E221" i="4"/>
  <c r="E222" i="4"/>
  <c r="E223" i="4"/>
  <c r="E224" i="4"/>
  <c r="G224" i="4" s="1"/>
  <c r="B224" i="8" s="1"/>
  <c r="E224" i="8" s="1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G240" i="4" s="1"/>
  <c r="B240" i="8" s="1"/>
  <c r="E240" i="8" s="1"/>
  <c r="E241" i="4"/>
  <c r="E242" i="4"/>
  <c r="E243" i="4"/>
  <c r="E244" i="4"/>
  <c r="E245" i="4"/>
  <c r="E246" i="4"/>
  <c r="E247" i="4"/>
  <c r="E248" i="4"/>
  <c r="G248" i="4" s="1"/>
  <c r="B248" i="8" s="1"/>
  <c r="E248" i="8" s="1"/>
  <c r="E249" i="4"/>
  <c r="E250" i="4"/>
  <c r="E251" i="4"/>
  <c r="E252" i="4"/>
  <c r="E253" i="4"/>
  <c r="E254" i="4"/>
  <c r="E255" i="4"/>
  <c r="E256" i="4"/>
  <c r="G256" i="4" s="1"/>
  <c r="B256" i="8" s="1"/>
  <c r="E256" i="8" s="1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G272" i="4" s="1"/>
  <c r="B272" i="8" s="1"/>
  <c r="E272" i="8" s="1"/>
  <c r="E273" i="4"/>
  <c r="E274" i="4"/>
  <c r="E275" i="4"/>
  <c r="E276" i="4"/>
  <c r="E277" i="4"/>
  <c r="E278" i="4"/>
  <c r="E279" i="4"/>
  <c r="E280" i="4"/>
  <c r="G280" i="4" s="1"/>
  <c r="B280" i="8" s="1"/>
  <c r="E280" i="8" s="1"/>
  <c r="E281" i="4"/>
  <c r="E282" i="4"/>
  <c r="E283" i="4"/>
  <c r="E284" i="4"/>
  <c r="E285" i="4"/>
  <c r="E286" i="4"/>
  <c r="E287" i="4"/>
  <c r="E288" i="4"/>
  <c r="G288" i="4" s="1"/>
  <c r="B288" i="8" s="1"/>
  <c r="E288" i="8" s="1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G304" i="4" s="1"/>
  <c r="B304" i="8" s="1"/>
  <c r="E304" i="8" s="1"/>
  <c r="E305" i="4"/>
  <c r="E306" i="4"/>
  <c r="E307" i="4"/>
  <c r="E308" i="4"/>
  <c r="G308" i="4" s="1"/>
  <c r="B308" i="8" s="1"/>
  <c r="E308" i="8" s="1"/>
  <c r="E309" i="4"/>
  <c r="G309" i="4" s="1"/>
  <c r="B309" i="8" s="1"/>
  <c r="E309" i="8" s="1"/>
  <c r="E310" i="4"/>
  <c r="E311" i="4"/>
  <c r="E312" i="4"/>
  <c r="E313" i="4"/>
  <c r="G313" i="4" s="1"/>
  <c r="B313" i="8" s="1"/>
  <c r="E313" i="8" s="1"/>
  <c r="E314" i="4"/>
  <c r="E315" i="4"/>
  <c r="E316" i="4"/>
  <c r="G316" i="4" s="1"/>
  <c r="B316" i="8" s="1"/>
  <c r="E316" i="8" s="1"/>
  <c r="E317" i="4"/>
  <c r="G317" i="4" s="1"/>
  <c r="B317" i="8" s="1"/>
  <c r="E317" i="8" s="1"/>
  <c r="E318" i="4"/>
  <c r="E319" i="4"/>
  <c r="E320" i="4"/>
  <c r="E321" i="4"/>
  <c r="G321" i="4" s="1"/>
  <c r="B321" i="8" s="1"/>
  <c r="E321" i="8" s="1"/>
  <c r="E322" i="4"/>
  <c r="E323" i="4"/>
  <c r="E324" i="4"/>
  <c r="G324" i="4" s="1"/>
  <c r="B324" i="8" s="1"/>
  <c r="E324" i="8" s="1"/>
  <c r="E325" i="4"/>
  <c r="G325" i="4" s="1"/>
  <c r="B325" i="8" s="1"/>
  <c r="E325" i="8" s="1"/>
  <c r="E326" i="4"/>
  <c r="E327" i="4"/>
  <c r="E328" i="4"/>
  <c r="E329" i="4"/>
  <c r="G329" i="4" s="1"/>
  <c r="B329" i="8" s="1"/>
  <c r="E329" i="8" s="1"/>
  <c r="E330" i="4"/>
  <c r="E331" i="4"/>
  <c r="E332" i="4"/>
  <c r="G332" i="4" s="1"/>
  <c r="B332" i="8" s="1"/>
  <c r="E332" i="8" s="1"/>
  <c r="E333" i="4"/>
  <c r="G333" i="4" s="1"/>
  <c r="B333" i="8" s="1"/>
  <c r="E333" i="8" s="1"/>
  <c r="E334" i="4"/>
  <c r="E335" i="4"/>
  <c r="E336" i="4"/>
  <c r="E337" i="4"/>
  <c r="G337" i="4" s="1"/>
  <c r="B337" i="8" s="1"/>
  <c r="E337" i="8" s="1"/>
  <c r="E338" i="4"/>
  <c r="E339" i="4"/>
  <c r="E340" i="4"/>
  <c r="G340" i="4" s="1"/>
  <c r="B340" i="8" s="1"/>
  <c r="E340" i="8" s="1"/>
  <c r="E341" i="4"/>
  <c r="G341" i="4" s="1"/>
  <c r="B341" i="8" s="1"/>
  <c r="E341" i="8" s="1"/>
  <c r="E342" i="4"/>
  <c r="E343" i="4"/>
  <c r="E344" i="4"/>
  <c r="E345" i="4"/>
  <c r="G345" i="4" s="1"/>
  <c r="B345" i="8" s="1"/>
  <c r="E345" i="8" s="1"/>
  <c r="E346" i="4"/>
  <c r="E347" i="4"/>
  <c r="E348" i="4"/>
  <c r="G348" i="4" s="1"/>
  <c r="B348" i="8" s="1"/>
  <c r="E348" i="8" s="1"/>
  <c r="E349" i="4"/>
  <c r="G349" i="4" s="1"/>
  <c r="B349" i="8" s="1"/>
  <c r="E349" i="8" s="1"/>
  <c r="E350" i="4"/>
  <c r="E351" i="4"/>
  <c r="E352" i="4"/>
  <c r="E353" i="4"/>
  <c r="G353" i="4" s="1"/>
  <c r="B353" i="8" s="1"/>
  <c r="E353" i="8" s="1"/>
  <c r="E354" i="4"/>
  <c r="E355" i="4"/>
  <c r="E356" i="4"/>
  <c r="G356" i="4" s="1"/>
  <c r="B356" i="8" s="1"/>
  <c r="E356" i="8" s="1"/>
  <c r="E357" i="4"/>
  <c r="G357" i="4" s="1"/>
  <c r="B357" i="8" s="1"/>
  <c r="E357" i="8" s="1"/>
  <c r="E358" i="4"/>
  <c r="E359" i="4"/>
  <c r="E360" i="4"/>
  <c r="E361" i="4"/>
  <c r="G361" i="4" s="1"/>
  <c r="B361" i="8" s="1"/>
  <c r="E361" i="8" s="1"/>
  <c r="E362" i="4"/>
  <c r="E363" i="4"/>
  <c r="E364" i="4"/>
  <c r="G364" i="4" s="1"/>
  <c r="B364" i="8" s="1"/>
  <c r="E364" i="8" s="1"/>
  <c r="E365" i="4"/>
  <c r="G365" i="4" s="1"/>
  <c r="B365" i="8" s="1"/>
  <c r="E365" i="8" s="1"/>
  <c r="E366" i="4"/>
  <c r="E367" i="4"/>
  <c r="E368" i="4"/>
  <c r="E369" i="4"/>
  <c r="G369" i="4" s="1"/>
  <c r="B369" i="8" s="1"/>
  <c r="E369" i="8" s="1"/>
  <c r="E370" i="4"/>
  <c r="E371" i="4"/>
  <c r="E372" i="4"/>
  <c r="G372" i="4" s="1"/>
  <c r="B372" i="8" s="1"/>
  <c r="E372" i="8" s="1"/>
  <c r="E373" i="4"/>
  <c r="G373" i="4" s="1"/>
  <c r="B373" i="8" s="1"/>
  <c r="E373" i="8" s="1"/>
  <c r="E374" i="4"/>
  <c r="E375" i="4"/>
  <c r="E376" i="4"/>
  <c r="E377" i="4"/>
  <c r="G377" i="4" s="1"/>
  <c r="B377" i="8" s="1"/>
  <c r="E377" i="8" s="1"/>
  <c r="E378" i="4"/>
  <c r="E379" i="4"/>
  <c r="E380" i="4"/>
  <c r="G380" i="4" s="1"/>
  <c r="B380" i="8" s="1"/>
  <c r="E380" i="8" s="1"/>
  <c r="E381" i="4"/>
  <c r="G381" i="4" s="1"/>
  <c r="B381" i="8" s="1"/>
  <c r="E381" i="8" s="1"/>
  <c r="E382" i="4"/>
  <c r="E383" i="4"/>
  <c r="E384" i="4"/>
  <c r="E385" i="4"/>
  <c r="G385" i="4" s="1"/>
  <c r="B385" i="8" s="1"/>
  <c r="E385" i="8" s="1"/>
  <c r="E386" i="4"/>
  <c r="E387" i="4"/>
  <c r="E388" i="4"/>
  <c r="G388" i="4" s="1"/>
  <c r="B388" i="8" s="1"/>
  <c r="E388" i="8" s="1"/>
  <c r="E389" i="4"/>
  <c r="G389" i="4" s="1"/>
  <c r="B389" i="8" s="1"/>
  <c r="E389" i="8" s="1"/>
  <c r="E390" i="4"/>
  <c r="E391" i="4"/>
  <c r="E392" i="4"/>
  <c r="E393" i="4"/>
  <c r="G393" i="4" s="1"/>
  <c r="B393" i="8" s="1"/>
  <c r="E393" i="8" s="1"/>
  <c r="E394" i="4"/>
  <c r="E395" i="4"/>
  <c r="E396" i="4"/>
  <c r="G396" i="4" s="1"/>
  <c r="B396" i="8" s="1"/>
  <c r="E396" i="8" s="1"/>
  <c r="E397" i="4"/>
  <c r="G397" i="4" s="1"/>
  <c r="B397" i="8" s="1"/>
  <c r="E397" i="8" s="1"/>
  <c r="E398" i="4"/>
  <c r="E399" i="4"/>
  <c r="E400" i="4"/>
  <c r="E401" i="4"/>
  <c r="G401" i="4" s="1"/>
  <c r="B401" i="8" s="1"/>
  <c r="E401" i="8" s="1"/>
  <c r="E402" i="4"/>
  <c r="E403" i="4"/>
  <c r="E404" i="4"/>
  <c r="G404" i="4" s="1"/>
  <c r="B404" i="8" s="1"/>
  <c r="E404" i="8" s="1"/>
  <c r="E405" i="4"/>
  <c r="G405" i="4" s="1"/>
  <c r="B405" i="8" s="1"/>
  <c r="E405" i="8" s="1"/>
  <c r="E406" i="4"/>
  <c r="E407" i="4"/>
  <c r="E408" i="4"/>
  <c r="E409" i="4"/>
  <c r="G409" i="4" s="1"/>
  <c r="B409" i="8" s="1"/>
  <c r="E409" i="8" s="1"/>
  <c r="E410" i="4"/>
  <c r="E411" i="4"/>
  <c r="E412" i="4"/>
  <c r="G412" i="4" s="1"/>
  <c r="B412" i="8" s="1"/>
  <c r="E412" i="8" s="1"/>
  <c r="E413" i="4"/>
  <c r="G413" i="4" s="1"/>
  <c r="B413" i="8" s="1"/>
  <c r="E413" i="8" s="1"/>
  <c r="E414" i="4"/>
  <c r="E415" i="4"/>
  <c r="E416" i="4"/>
  <c r="E417" i="4"/>
  <c r="G417" i="4" s="1"/>
  <c r="B417" i="8" s="1"/>
  <c r="E417" i="8" s="1"/>
  <c r="E418" i="4"/>
  <c r="E419" i="4"/>
  <c r="E420" i="4"/>
  <c r="G420" i="4" s="1"/>
  <c r="B420" i="8" s="1"/>
  <c r="E420" i="8" s="1"/>
  <c r="E421" i="4"/>
  <c r="G421" i="4" s="1"/>
  <c r="B421" i="8" s="1"/>
  <c r="E421" i="8" s="1"/>
  <c r="E422" i="4"/>
  <c r="E423" i="4"/>
  <c r="E424" i="4"/>
  <c r="E425" i="4"/>
  <c r="G425" i="4" s="1"/>
  <c r="B425" i="8" s="1"/>
  <c r="E425" i="8" s="1"/>
  <c r="E426" i="4"/>
  <c r="E427" i="4"/>
  <c r="E428" i="4"/>
  <c r="G428" i="4" s="1"/>
  <c r="B428" i="8" s="1"/>
  <c r="E428" i="8" s="1"/>
  <c r="E429" i="4"/>
  <c r="G429" i="4" s="1"/>
  <c r="B429" i="8" s="1"/>
  <c r="E429" i="8" s="1"/>
  <c r="E430" i="4"/>
  <c r="E431" i="4"/>
  <c r="E432" i="4"/>
  <c r="E433" i="4"/>
  <c r="G433" i="4" s="1"/>
  <c r="B433" i="8" s="1"/>
  <c r="E433" i="8" s="1"/>
  <c r="E434" i="4"/>
  <c r="E435" i="4"/>
  <c r="E436" i="4"/>
  <c r="G436" i="4" s="1"/>
  <c r="B436" i="8" s="1"/>
  <c r="E436" i="8" s="1"/>
  <c r="E437" i="4"/>
  <c r="G437" i="4" s="1"/>
  <c r="B437" i="8" s="1"/>
  <c r="E437" i="8" s="1"/>
  <c r="E438" i="4"/>
  <c r="E439" i="4"/>
  <c r="E440" i="4"/>
  <c r="E441" i="4"/>
  <c r="G441" i="4" s="1"/>
  <c r="B441" i="8" s="1"/>
  <c r="E441" i="8" s="1"/>
  <c r="E442" i="4"/>
  <c r="E443" i="4"/>
  <c r="E444" i="4"/>
  <c r="G444" i="4" s="1"/>
  <c r="B444" i="8" s="1"/>
  <c r="E444" i="8" s="1"/>
  <c r="E445" i="4"/>
  <c r="G445" i="4" s="1"/>
  <c r="B445" i="8" s="1"/>
  <c r="E445" i="8" s="1"/>
  <c r="E446" i="4"/>
  <c r="E447" i="4"/>
  <c r="E448" i="4"/>
  <c r="E449" i="4"/>
  <c r="G449" i="4" s="1"/>
  <c r="B449" i="8" s="1"/>
  <c r="E449" i="8" s="1"/>
  <c r="E450" i="4"/>
  <c r="E451" i="4"/>
  <c r="E452" i="4"/>
  <c r="G452" i="4" s="1"/>
  <c r="B452" i="8" s="1"/>
  <c r="E452" i="8" s="1"/>
  <c r="E453" i="4"/>
  <c r="G453" i="4" s="1"/>
  <c r="B453" i="8" s="1"/>
  <c r="E453" i="8" s="1"/>
  <c r="E454" i="4"/>
  <c r="E455" i="4"/>
  <c r="E456" i="4"/>
  <c r="E457" i="4"/>
  <c r="E458" i="4"/>
  <c r="E459" i="4"/>
  <c r="E460" i="4"/>
  <c r="G460" i="4" s="1"/>
  <c r="B460" i="8" s="1"/>
  <c r="E460" i="8" s="1"/>
  <c r="E461" i="4"/>
  <c r="G461" i="4" s="1"/>
  <c r="B461" i="8" s="1"/>
  <c r="E461" i="8" s="1"/>
  <c r="E462" i="4"/>
  <c r="E463" i="4"/>
  <c r="E464" i="4"/>
  <c r="E465" i="4"/>
  <c r="E466" i="4"/>
  <c r="E467" i="4"/>
  <c r="E468" i="4"/>
  <c r="G468" i="4" s="1"/>
  <c r="B468" i="8" s="1"/>
  <c r="E468" i="8" s="1"/>
  <c r="E469" i="4"/>
  <c r="G469" i="4" s="1"/>
  <c r="B469" i="8" s="1"/>
  <c r="E469" i="8" s="1"/>
  <c r="E470" i="4"/>
  <c r="E471" i="4"/>
  <c r="E472" i="4"/>
  <c r="E473" i="4"/>
  <c r="E474" i="4"/>
  <c r="E475" i="4"/>
  <c r="E476" i="4"/>
  <c r="G476" i="4" s="1"/>
  <c r="B476" i="8" s="1"/>
  <c r="E476" i="8" s="1"/>
  <c r="E477" i="4"/>
  <c r="G477" i="4" s="1"/>
  <c r="B477" i="8" s="1"/>
  <c r="E477" i="8" s="1"/>
  <c r="E478" i="4"/>
  <c r="E479" i="4"/>
  <c r="E480" i="4"/>
  <c r="E481" i="4"/>
  <c r="E482" i="4"/>
  <c r="E483" i="4"/>
  <c r="E484" i="4"/>
  <c r="G484" i="4" s="1"/>
  <c r="B484" i="8" s="1"/>
  <c r="E484" i="8" s="1"/>
  <c r="E485" i="4"/>
  <c r="E486" i="4"/>
  <c r="E487" i="4"/>
  <c r="E488" i="4"/>
  <c r="E489" i="4"/>
  <c r="E490" i="4"/>
  <c r="E491" i="4"/>
  <c r="E492" i="4"/>
  <c r="G492" i="4" s="1"/>
  <c r="B492" i="8" s="1"/>
  <c r="E492" i="8" s="1"/>
  <c r="E493" i="4"/>
  <c r="E494" i="4"/>
  <c r="E495" i="4"/>
  <c r="E496" i="4"/>
  <c r="E497" i="4"/>
  <c r="E498" i="4"/>
  <c r="E499" i="4"/>
  <c r="E500" i="4"/>
  <c r="G500" i="4" s="1"/>
  <c r="B500" i="8" s="1"/>
  <c r="E500" i="8" s="1"/>
  <c r="E501" i="4"/>
  <c r="D4" i="4"/>
  <c r="G4" i="4" s="1"/>
  <c r="B2" i="8" s="1"/>
  <c r="E2" i="8" s="1"/>
  <c r="D5" i="4"/>
  <c r="D6" i="4"/>
  <c r="G6" i="4" s="1"/>
  <c r="B4" i="8" s="1"/>
  <c r="E4" i="8" s="1"/>
  <c r="D7" i="4"/>
  <c r="G7" i="4" s="1"/>
  <c r="B12" i="8" s="1"/>
  <c r="E12" i="8" s="1"/>
  <c r="D8" i="4"/>
  <c r="D9" i="4"/>
  <c r="D10" i="4"/>
  <c r="G10" i="4" s="1"/>
  <c r="B14" i="8" s="1"/>
  <c r="E14" i="8" s="1"/>
  <c r="D11" i="4"/>
  <c r="G11" i="4" s="1"/>
  <c r="B6" i="8" s="1"/>
  <c r="E6" i="8" s="1"/>
  <c r="D12" i="4"/>
  <c r="G12" i="4" s="1"/>
  <c r="B7" i="8" s="1"/>
  <c r="E7" i="8" s="1"/>
  <c r="D13" i="4"/>
  <c r="D14" i="4"/>
  <c r="G14" i="4" s="1"/>
  <c r="B15" i="8" s="1"/>
  <c r="E15" i="8" s="1"/>
  <c r="D15" i="4"/>
  <c r="G15" i="4" s="1"/>
  <c r="B16" i="8" s="1"/>
  <c r="E16" i="8" s="1"/>
  <c r="D16" i="4"/>
  <c r="D17" i="4"/>
  <c r="D18" i="4"/>
  <c r="G18" i="4" s="1"/>
  <c r="B18" i="8" s="1"/>
  <c r="E18" i="8" s="1"/>
  <c r="D19" i="4"/>
  <c r="G19" i="4" s="1"/>
  <c r="B19" i="8" s="1"/>
  <c r="E19" i="8" s="1"/>
  <c r="D20" i="4"/>
  <c r="G20" i="4" s="1"/>
  <c r="B20" i="8" s="1"/>
  <c r="E20" i="8" s="1"/>
  <c r="D21" i="4"/>
  <c r="D22" i="4"/>
  <c r="G22" i="4" s="1"/>
  <c r="B22" i="8" s="1"/>
  <c r="E22" i="8" s="1"/>
  <c r="D23" i="4"/>
  <c r="G23" i="4" s="1"/>
  <c r="B23" i="8" s="1"/>
  <c r="E23" i="8" s="1"/>
  <c r="D24" i="4"/>
  <c r="D25" i="4"/>
  <c r="D26" i="4"/>
  <c r="G26" i="4" s="1"/>
  <c r="B26" i="8" s="1"/>
  <c r="E26" i="8" s="1"/>
  <c r="D27" i="4"/>
  <c r="G27" i="4" s="1"/>
  <c r="B27" i="8" s="1"/>
  <c r="E27" i="8" s="1"/>
  <c r="D28" i="4"/>
  <c r="G28" i="4" s="1"/>
  <c r="B28" i="8" s="1"/>
  <c r="E28" i="8" s="1"/>
  <c r="D29" i="4"/>
  <c r="D30" i="4"/>
  <c r="G30" i="4" s="1"/>
  <c r="B30" i="8" s="1"/>
  <c r="E30" i="8" s="1"/>
  <c r="D31" i="4"/>
  <c r="G31" i="4" s="1"/>
  <c r="B31" i="8" s="1"/>
  <c r="E31" i="8" s="1"/>
  <c r="D32" i="4"/>
  <c r="D33" i="4"/>
  <c r="D34" i="4"/>
  <c r="G34" i="4" s="1"/>
  <c r="B34" i="8" s="1"/>
  <c r="E34" i="8" s="1"/>
  <c r="D35" i="4"/>
  <c r="G35" i="4" s="1"/>
  <c r="B35" i="8" s="1"/>
  <c r="E35" i="8" s="1"/>
  <c r="D36" i="4"/>
  <c r="G36" i="4" s="1"/>
  <c r="B36" i="8" s="1"/>
  <c r="E36" i="8" s="1"/>
  <c r="D37" i="4"/>
  <c r="D38" i="4"/>
  <c r="G38" i="4" s="1"/>
  <c r="B38" i="8" s="1"/>
  <c r="E38" i="8" s="1"/>
  <c r="D39" i="4"/>
  <c r="G39" i="4" s="1"/>
  <c r="B39" i="8" s="1"/>
  <c r="E39" i="8" s="1"/>
  <c r="D40" i="4"/>
  <c r="D41" i="4"/>
  <c r="D42" i="4"/>
  <c r="G42" i="4" s="1"/>
  <c r="B42" i="8" s="1"/>
  <c r="E42" i="8" s="1"/>
  <c r="D43" i="4"/>
  <c r="G43" i="4" s="1"/>
  <c r="B43" i="8" s="1"/>
  <c r="E43" i="8" s="1"/>
  <c r="D44" i="4"/>
  <c r="G44" i="4" s="1"/>
  <c r="B44" i="8" s="1"/>
  <c r="E44" i="8" s="1"/>
  <c r="D45" i="4"/>
  <c r="D46" i="4"/>
  <c r="G46" i="4" s="1"/>
  <c r="B46" i="8" s="1"/>
  <c r="E46" i="8" s="1"/>
  <c r="D47" i="4"/>
  <c r="G47" i="4" s="1"/>
  <c r="B47" i="8" s="1"/>
  <c r="E47" i="8" s="1"/>
  <c r="D48" i="4"/>
  <c r="D49" i="4"/>
  <c r="D50" i="4"/>
  <c r="G50" i="4" s="1"/>
  <c r="B50" i="8" s="1"/>
  <c r="E50" i="8" s="1"/>
  <c r="D51" i="4"/>
  <c r="G51" i="4" s="1"/>
  <c r="B51" i="8" s="1"/>
  <c r="E51" i="8" s="1"/>
  <c r="D52" i="4"/>
  <c r="G52" i="4" s="1"/>
  <c r="B52" i="8" s="1"/>
  <c r="E52" i="8" s="1"/>
  <c r="D53" i="4"/>
  <c r="D54" i="4"/>
  <c r="G54" i="4" s="1"/>
  <c r="B54" i="8" s="1"/>
  <c r="E54" i="8" s="1"/>
  <c r="D55" i="4"/>
  <c r="G55" i="4" s="1"/>
  <c r="B55" i="8" s="1"/>
  <c r="E55" i="8" s="1"/>
  <c r="D56" i="4"/>
  <c r="D57" i="4"/>
  <c r="D58" i="4"/>
  <c r="G58" i="4" s="1"/>
  <c r="B58" i="8" s="1"/>
  <c r="E58" i="8" s="1"/>
  <c r="D59" i="4"/>
  <c r="G59" i="4" s="1"/>
  <c r="B59" i="8" s="1"/>
  <c r="E59" i="8" s="1"/>
  <c r="D60" i="4"/>
  <c r="G60" i="4" s="1"/>
  <c r="B60" i="8" s="1"/>
  <c r="E60" i="8" s="1"/>
  <c r="D61" i="4"/>
  <c r="D62" i="4"/>
  <c r="G62" i="4" s="1"/>
  <c r="B62" i="8" s="1"/>
  <c r="E62" i="8" s="1"/>
  <c r="D63" i="4"/>
  <c r="G63" i="4" s="1"/>
  <c r="B63" i="8" s="1"/>
  <c r="E63" i="8" s="1"/>
  <c r="D64" i="4"/>
  <c r="D65" i="4"/>
  <c r="D66" i="4"/>
  <c r="G66" i="4" s="1"/>
  <c r="B66" i="8" s="1"/>
  <c r="E66" i="8" s="1"/>
  <c r="D67" i="4"/>
  <c r="G67" i="4" s="1"/>
  <c r="B67" i="8" s="1"/>
  <c r="E67" i="8" s="1"/>
  <c r="D68" i="4"/>
  <c r="G68" i="4" s="1"/>
  <c r="B68" i="8" s="1"/>
  <c r="E68" i="8" s="1"/>
  <c r="D69" i="4"/>
  <c r="D70" i="4"/>
  <c r="G70" i="4" s="1"/>
  <c r="B70" i="8" s="1"/>
  <c r="E70" i="8" s="1"/>
  <c r="D71" i="4"/>
  <c r="G71" i="4" s="1"/>
  <c r="B71" i="8" s="1"/>
  <c r="E71" i="8" s="1"/>
  <c r="D72" i="4"/>
  <c r="D73" i="4"/>
  <c r="D74" i="4"/>
  <c r="G74" i="4" s="1"/>
  <c r="B74" i="8" s="1"/>
  <c r="E74" i="8" s="1"/>
  <c r="D75" i="4"/>
  <c r="G75" i="4" s="1"/>
  <c r="B75" i="8" s="1"/>
  <c r="E75" i="8" s="1"/>
  <c r="D76" i="4"/>
  <c r="G76" i="4" s="1"/>
  <c r="B76" i="8" s="1"/>
  <c r="E76" i="8" s="1"/>
  <c r="D77" i="4"/>
  <c r="D78" i="4"/>
  <c r="G78" i="4" s="1"/>
  <c r="B78" i="8" s="1"/>
  <c r="E78" i="8" s="1"/>
  <c r="D79" i="4"/>
  <c r="G79" i="4" s="1"/>
  <c r="B79" i="8" s="1"/>
  <c r="E79" i="8" s="1"/>
  <c r="D80" i="4"/>
  <c r="D81" i="4"/>
  <c r="D82" i="4"/>
  <c r="G82" i="4" s="1"/>
  <c r="B82" i="8" s="1"/>
  <c r="E82" i="8" s="1"/>
  <c r="D83" i="4"/>
  <c r="G83" i="4" s="1"/>
  <c r="B83" i="8" s="1"/>
  <c r="E83" i="8" s="1"/>
  <c r="D84" i="4"/>
  <c r="G84" i="4" s="1"/>
  <c r="B84" i="8" s="1"/>
  <c r="E84" i="8" s="1"/>
  <c r="D85" i="4"/>
  <c r="D86" i="4"/>
  <c r="G86" i="4" s="1"/>
  <c r="B86" i="8" s="1"/>
  <c r="E86" i="8" s="1"/>
  <c r="D87" i="4"/>
  <c r="G87" i="4" s="1"/>
  <c r="B87" i="8" s="1"/>
  <c r="E87" i="8" s="1"/>
  <c r="D88" i="4"/>
  <c r="D89" i="4"/>
  <c r="D90" i="4"/>
  <c r="G90" i="4" s="1"/>
  <c r="B90" i="8" s="1"/>
  <c r="E90" i="8" s="1"/>
  <c r="D91" i="4"/>
  <c r="G91" i="4" s="1"/>
  <c r="B91" i="8" s="1"/>
  <c r="E91" i="8" s="1"/>
  <c r="D92" i="4"/>
  <c r="G92" i="4" s="1"/>
  <c r="B92" i="8" s="1"/>
  <c r="E92" i="8" s="1"/>
  <c r="D93" i="4"/>
  <c r="D94" i="4"/>
  <c r="G94" i="4" s="1"/>
  <c r="B94" i="8" s="1"/>
  <c r="E94" i="8" s="1"/>
  <c r="D95" i="4"/>
  <c r="G95" i="4" s="1"/>
  <c r="B95" i="8" s="1"/>
  <c r="E95" i="8" s="1"/>
  <c r="D96" i="4"/>
  <c r="D97" i="4"/>
  <c r="D98" i="4"/>
  <c r="G98" i="4" s="1"/>
  <c r="B98" i="8" s="1"/>
  <c r="E98" i="8" s="1"/>
  <c r="D99" i="4"/>
  <c r="G99" i="4" s="1"/>
  <c r="B99" i="8" s="1"/>
  <c r="E99" i="8" s="1"/>
  <c r="D100" i="4"/>
  <c r="G100" i="4" s="1"/>
  <c r="B100" i="8" s="1"/>
  <c r="E100" i="8" s="1"/>
  <c r="D101" i="4"/>
  <c r="D102" i="4"/>
  <c r="G102" i="4" s="1"/>
  <c r="B102" i="8" s="1"/>
  <c r="E102" i="8" s="1"/>
  <c r="D103" i="4"/>
  <c r="G103" i="4" s="1"/>
  <c r="B103" i="8" s="1"/>
  <c r="E103" i="8" s="1"/>
  <c r="D104" i="4"/>
  <c r="D105" i="4"/>
  <c r="D106" i="4"/>
  <c r="G106" i="4" s="1"/>
  <c r="B106" i="8" s="1"/>
  <c r="E106" i="8" s="1"/>
  <c r="D107" i="4"/>
  <c r="G107" i="4" s="1"/>
  <c r="B107" i="8" s="1"/>
  <c r="E107" i="8" s="1"/>
  <c r="D108" i="4"/>
  <c r="G108" i="4" s="1"/>
  <c r="B108" i="8" s="1"/>
  <c r="E108" i="8" s="1"/>
  <c r="D109" i="4"/>
  <c r="D110" i="4"/>
  <c r="G110" i="4" s="1"/>
  <c r="B110" i="8" s="1"/>
  <c r="E110" i="8" s="1"/>
  <c r="D111" i="4"/>
  <c r="G111" i="4" s="1"/>
  <c r="B111" i="8" s="1"/>
  <c r="E111" i="8" s="1"/>
  <c r="D112" i="4"/>
  <c r="D113" i="4"/>
  <c r="D114" i="4"/>
  <c r="G114" i="4" s="1"/>
  <c r="B114" i="8" s="1"/>
  <c r="E114" i="8" s="1"/>
  <c r="D115" i="4"/>
  <c r="G115" i="4" s="1"/>
  <c r="B115" i="8" s="1"/>
  <c r="E115" i="8" s="1"/>
  <c r="D116" i="4"/>
  <c r="G116" i="4" s="1"/>
  <c r="B116" i="8" s="1"/>
  <c r="E116" i="8" s="1"/>
  <c r="D117" i="4"/>
  <c r="D118" i="4"/>
  <c r="G118" i="4" s="1"/>
  <c r="B118" i="8" s="1"/>
  <c r="E118" i="8" s="1"/>
  <c r="D119" i="4"/>
  <c r="G119" i="4" s="1"/>
  <c r="B119" i="8" s="1"/>
  <c r="E119" i="8" s="1"/>
  <c r="D120" i="4"/>
  <c r="D121" i="4"/>
  <c r="D122" i="4"/>
  <c r="G122" i="4" s="1"/>
  <c r="B122" i="8" s="1"/>
  <c r="E122" i="8" s="1"/>
  <c r="D123" i="4"/>
  <c r="G123" i="4" s="1"/>
  <c r="B123" i="8" s="1"/>
  <c r="E123" i="8" s="1"/>
  <c r="D124" i="4"/>
  <c r="G124" i="4" s="1"/>
  <c r="B124" i="8" s="1"/>
  <c r="E124" i="8" s="1"/>
  <c r="D125" i="4"/>
  <c r="D126" i="4"/>
  <c r="G126" i="4" s="1"/>
  <c r="B126" i="8" s="1"/>
  <c r="E126" i="8" s="1"/>
  <c r="D127" i="4"/>
  <c r="G127" i="4" s="1"/>
  <c r="B127" i="8" s="1"/>
  <c r="E127" i="8" s="1"/>
  <c r="D128" i="4"/>
  <c r="D129" i="4"/>
  <c r="D130" i="4"/>
  <c r="G130" i="4" s="1"/>
  <c r="B130" i="8" s="1"/>
  <c r="E130" i="8" s="1"/>
  <c r="D131" i="4"/>
  <c r="G131" i="4" s="1"/>
  <c r="B131" i="8" s="1"/>
  <c r="E131" i="8" s="1"/>
  <c r="D132" i="4"/>
  <c r="G132" i="4" s="1"/>
  <c r="B132" i="8" s="1"/>
  <c r="E132" i="8" s="1"/>
  <c r="D133" i="4"/>
  <c r="D134" i="4"/>
  <c r="G134" i="4" s="1"/>
  <c r="B134" i="8" s="1"/>
  <c r="E134" i="8" s="1"/>
  <c r="D135" i="4"/>
  <c r="G135" i="4" s="1"/>
  <c r="B135" i="8" s="1"/>
  <c r="E135" i="8" s="1"/>
  <c r="D136" i="4"/>
  <c r="D137" i="4"/>
  <c r="D138" i="4"/>
  <c r="G138" i="4" s="1"/>
  <c r="B138" i="8" s="1"/>
  <c r="E138" i="8" s="1"/>
  <c r="D139" i="4"/>
  <c r="G139" i="4" s="1"/>
  <c r="B139" i="8" s="1"/>
  <c r="E139" i="8" s="1"/>
  <c r="D140" i="4"/>
  <c r="G140" i="4" s="1"/>
  <c r="B140" i="8" s="1"/>
  <c r="E140" i="8" s="1"/>
  <c r="D141" i="4"/>
  <c r="D142" i="4"/>
  <c r="G142" i="4" s="1"/>
  <c r="B142" i="8" s="1"/>
  <c r="E142" i="8" s="1"/>
  <c r="D143" i="4"/>
  <c r="G143" i="4" s="1"/>
  <c r="B143" i="8" s="1"/>
  <c r="E143" i="8" s="1"/>
  <c r="D144" i="4"/>
  <c r="D145" i="4"/>
  <c r="D146" i="4"/>
  <c r="G146" i="4" s="1"/>
  <c r="B146" i="8" s="1"/>
  <c r="E146" i="8" s="1"/>
  <c r="D147" i="4"/>
  <c r="G147" i="4" s="1"/>
  <c r="B147" i="8" s="1"/>
  <c r="E147" i="8" s="1"/>
  <c r="D148" i="4"/>
  <c r="G148" i="4" s="1"/>
  <c r="B148" i="8" s="1"/>
  <c r="E148" i="8" s="1"/>
  <c r="D149" i="4"/>
  <c r="D150" i="4"/>
  <c r="G150" i="4" s="1"/>
  <c r="B150" i="8" s="1"/>
  <c r="E150" i="8" s="1"/>
  <c r="D151" i="4"/>
  <c r="G151" i="4" s="1"/>
  <c r="B151" i="8" s="1"/>
  <c r="E151" i="8" s="1"/>
  <c r="D152" i="4"/>
  <c r="D153" i="4"/>
  <c r="D154" i="4"/>
  <c r="G154" i="4" s="1"/>
  <c r="B154" i="8" s="1"/>
  <c r="E154" i="8" s="1"/>
  <c r="D155" i="4"/>
  <c r="G155" i="4" s="1"/>
  <c r="B155" i="8" s="1"/>
  <c r="E155" i="8" s="1"/>
  <c r="D156" i="4"/>
  <c r="G156" i="4" s="1"/>
  <c r="B156" i="8" s="1"/>
  <c r="E156" i="8" s="1"/>
  <c r="D157" i="4"/>
  <c r="D158" i="4"/>
  <c r="G158" i="4" s="1"/>
  <c r="B158" i="8" s="1"/>
  <c r="E158" i="8" s="1"/>
  <c r="D159" i="4"/>
  <c r="G159" i="4" s="1"/>
  <c r="B159" i="8" s="1"/>
  <c r="E159" i="8" s="1"/>
  <c r="D160" i="4"/>
  <c r="D161" i="4"/>
  <c r="D162" i="4"/>
  <c r="G162" i="4" s="1"/>
  <c r="B162" i="8" s="1"/>
  <c r="E162" i="8" s="1"/>
  <c r="D163" i="4"/>
  <c r="G163" i="4" s="1"/>
  <c r="B163" i="8" s="1"/>
  <c r="E163" i="8" s="1"/>
  <c r="D164" i="4"/>
  <c r="G164" i="4" s="1"/>
  <c r="B164" i="8" s="1"/>
  <c r="E164" i="8" s="1"/>
  <c r="D165" i="4"/>
  <c r="D166" i="4"/>
  <c r="G166" i="4" s="1"/>
  <c r="B166" i="8" s="1"/>
  <c r="E166" i="8" s="1"/>
  <c r="D167" i="4"/>
  <c r="G167" i="4" s="1"/>
  <c r="B167" i="8" s="1"/>
  <c r="E167" i="8" s="1"/>
  <c r="D168" i="4"/>
  <c r="D169" i="4"/>
  <c r="D170" i="4"/>
  <c r="G170" i="4" s="1"/>
  <c r="B170" i="8" s="1"/>
  <c r="E170" i="8" s="1"/>
  <c r="D171" i="4"/>
  <c r="G171" i="4" s="1"/>
  <c r="B171" i="8" s="1"/>
  <c r="E171" i="8" s="1"/>
  <c r="D172" i="4"/>
  <c r="G172" i="4" s="1"/>
  <c r="B172" i="8" s="1"/>
  <c r="E172" i="8" s="1"/>
  <c r="D173" i="4"/>
  <c r="D174" i="4"/>
  <c r="G174" i="4" s="1"/>
  <c r="B174" i="8" s="1"/>
  <c r="E174" i="8" s="1"/>
  <c r="D175" i="4"/>
  <c r="G175" i="4" s="1"/>
  <c r="B175" i="8" s="1"/>
  <c r="E175" i="8" s="1"/>
  <c r="D176" i="4"/>
  <c r="D177" i="4"/>
  <c r="D178" i="4"/>
  <c r="G178" i="4" s="1"/>
  <c r="B178" i="8" s="1"/>
  <c r="E178" i="8" s="1"/>
  <c r="D179" i="4"/>
  <c r="G179" i="4" s="1"/>
  <c r="B179" i="8" s="1"/>
  <c r="E179" i="8" s="1"/>
  <c r="D180" i="4"/>
  <c r="G180" i="4" s="1"/>
  <c r="B180" i="8" s="1"/>
  <c r="E180" i="8" s="1"/>
  <c r="D181" i="4"/>
  <c r="D182" i="4"/>
  <c r="G182" i="4" s="1"/>
  <c r="B182" i="8" s="1"/>
  <c r="E182" i="8" s="1"/>
  <c r="D183" i="4"/>
  <c r="G183" i="4" s="1"/>
  <c r="B183" i="8" s="1"/>
  <c r="E183" i="8" s="1"/>
  <c r="D184" i="4"/>
  <c r="D185" i="4"/>
  <c r="D186" i="4"/>
  <c r="G186" i="4" s="1"/>
  <c r="B186" i="8" s="1"/>
  <c r="E186" i="8" s="1"/>
  <c r="D187" i="4"/>
  <c r="G187" i="4" s="1"/>
  <c r="B187" i="8" s="1"/>
  <c r="E187" i="8" s="1"/>
  <c r="D188" i="4"/>
  <c r="G188" i="4" s="1"/>
  <c r="B188" i="8" s="1"/>
  <c r="E188" i="8" s="1"/>
  <c r="D189" i="4"/>
  <c r="D190" i="4"/>
  <c r="G190" i="4" s="1"/>
  <c r="B190" i="8" s="1"/>
  <c r="E190" i="8" s="1"/>
  <c r="D191" i="4"/>
  <c r="G191" i="4" s="1"/>
  <c r="B191" i="8" s="1"/>
  <c r="E191" i="8" s="1"/>
  <c r="D192" i="4"/>
  <c r="D193" i="4"/>
  <c r="D194" i="4"/>
  <c r="G194" i="4" s="1"/>
  <c r="B194" i="8" s="1"/>
  <c r="E194" i="8" s="1"/>
  <c r="D195" i="4"/>
  <c r="G195" i="4" s="1"/>
  <c r="B195" i="8" s="1"/>
  <c r="E195" i="8" s="1"/>
  <c r="D196" i="4"/>
  <c r="G196" i="4" s="1"/>
  <c r="B196" i="8" s="1"/>
  <c r="E196" i="8" s="1"/>
  <c r="D197" i="4"/>
  <c r="D198" i="4"/>
  <c r="G198" i="4" s="1"/>
  <c r="B198" i="8" s="1"/>
  <c r="E198" i="8" s="1"/>
  <c r="D199" i="4"/>
  <c r="G199" i="4" s="1"/>
  <c r="B199" i="8" s="1"/>
  <c r="E199" i="8" s="1"/>
  <c r="D200" i="4"/>
  <c r="D201" i="4"/>
  <c r="D202" i="4"/>
  <c r="G202" i="4" s="1"/>
  <c r="B202" i="8" s="1"/>
  <c r="E202" i="8" s="1"/>
  <c r="D203" i="4"/>
  <c r="G203" i="4" s="1"/>
  <c r="B203" i="8" s="1"/>
  <c r="E203" i="8" s="1"/>
  <c r="D204" i="4"/>
  <c r="G204" i="4" s="1"/>
  <c r="B204" i="8" s="1"/>
  <c r="E204" i="8" s="1"/>
  <c r="D205" i="4"/>
  <c r="D206" i="4"/>
  <c r="G206" i="4" s="1"/>
  <c r="B206" i="8" s="1"/>
  <c r="D207" i="4"/>
  <c r="G207" i="4" s="1"/>
  <c r="B207" i="8" s="1"/>
  <c r="E207" i="8" s="1"/>
  <c r="D208" i="4"/>
  <c r="D209" i="4"/>
  <c r="D210" i="4"/>
  <c r="G210" i="4" s="1"/>
  <c r="B210" i="8" s="1"/>
  <c r="E210" i="8" s="1"/>
  <c r="D211" i="4"/>
  <c r="G211" i="4" s="1"/>
  <c r="B211" i="8" s="1"/>
  <c r="E211" i="8" s="1"/>
  <c r="D212" i="4"/>
  <c r="G212" i="4" s="1"/>
  <c r="B212" i="8" s="1"/>
  <c r="E212" i="8" s="1"/>
  <c r="D213" i="4"/>
  <c r="D214" i="4"/>
  <c r="G214" i="4" s="1"/>
  <c r="B214" i="8" s="1"/>
  <c r="E214" i="8" s="1"/>
  <c r="D215" i="4"/>
  <c r="G215" i="4" s="1"/>
  <c r="B215" i="8" s="1"/>
  <c r="E215" i="8" s="1"/>
  <c r="D216" i="4"/>
  <c r="D217" i="4"/>
  <c r="D218" i="4"/>
  <c r="G218" i="4" s="1"/>
  <c r="B218" i="8" s="1"/>
  <c r="E218" i="8" s="1"/>
  <c r="D219" i="4"/>
  <c r="G219" i="4" s="1"/>
  <c r="B219" i="8" s="1"/>
  <c r="E219" i="8" s="1"/>
  <c r="D220" i="4"/>
  <c r="G220" i="4" s="1"/>
  <c r="B220" i="8" s="1"/>
  <c r="E220" i="8" s="1"/>
  <c r="D221" i="4"/>
  <c r="D222" i="4"/>
  <c r="G222" i="4" s="1"/>
  <c r="B222" i="8" s="1"/>
  <c r="E222" i="8" s="1"/>
  <c r="D223" i="4"/>
  <c r="G223" i="4" s="1"/>
  <c r="B223" i="8" s="1"/>
  <c r="E223" i="8" s="1"/>
  <c r="D224" i="4"/>
  <c r="D225" i="4"/>
  <c r="D226" i="4"/>
  <c r="G226" i="4" s="1"/>
  <c r="B226" i="8" s="1"/>
  <c r="E226" i="8" s="1"/>
  <c r="D227" i="4"/>
  <c r="G227" i="4" s="1"/>
  <c r="B227" i="8" s="1"/>
  <c r="E227" i="8" s="1"/>
  <c r="D228" i="4"/>
  <c r="G228" i="4" s="1"/>
  <c r="B228" i="8" s="1"/>
  <c r="E228" i="8" s="1"/>
  <c r="D229" i="4"/>
  <c r="D230" i="4"/>
  <c r="G230" i="4" s="1"/>
  <c r="B230" i="8" s="1"/>
  <c r="E230" i="8" s="1"/>
  <c r="D231" i="4"/>
  <c r="G231" i="4" s="1"/>
  <c r="B231" i="8" s="1"/>
  <c r="E231" i="8" s="1"/>
  <c r="D232" i="4"/>
  <c r="D233" i="4"/>
  <c r="D234" i="4"/>
  <c r="G234" i="4" s="1"/>
  <c r="B234" i="8" s="1"/>
  <c r="E234" i="8" s="1"/>
  <c r="D235" i="4"/>
  <c r="G235" i="4" s="1"/>
  <c r="B235" i="8" s="1"/>
  <c r="E235" i="8" s="1"/>
  <c r="D236" i="4"/>
  <c r="G236" i="4" s="1"/>
  <c r="B236" i="8" s="1"/>
  <c r="E236" i="8" s="1"/>
  <c r="D237" i="4"/>
  <c r="D238" i="4"/>
  <c r="G238" i="4" s="1"/>
  <c r="B238" i="8" s="1"/>
  <c r="E238" i="8" s="1"/>
  <c r="D239" i="4"/>
  <c r="G239" i="4" s="1"/>
  <c r="B239" i="8" s="1"/>
  <c r="E239" i="8" s="1"/>
  <c r="D240" i="4"/>
  <c r="D241" i="4"/>
  <c r="D242" i="4"/>
  <c r="G242" i="4" s="1"/>
  <c r="B242" i="8" s="1"/>
  <c r="E242" i="8" s="1"/>
  <c r="D243" i="4"/>
  <c r="G243" i="4" s="1"/>
  <c r="B243" i="8" s="1"/>
  <c r="E243" i="8" s="1"/>
  <c r="D244" i="4"/>
  <c r="G244" i="4" s="1"/>
  <c r="B244" i="8" s="1"/>
  <c r="E244" i="8" s="1"/>
  <c r="D245" i="4"/>
  <c r="D246" i="4"/>
  <c r="G246" i="4" s="1"/>
  <c r="B246" i="8" s="1"/>
  <c r="E246" i="8" s="1"/>
  <c r="D247" i="4"/>
  <c r="G247" i="4" s="1"/>
  <c r="B247" i="8" s="1"/>
  <c r="E247" i="8" s="1"/>
  <c r="D248" i="4"/>
  <c r="D249" i="4"/>
  <c r="D250" i="4"/>
  <c r="G250" i="4" s="1"/>
  <c r="B250" i="8" s="1"/>
  <c r="E250" i="8" s="1"/>
  <c r="D251" i="4"/>
  <c r="G251" i="4" s="1"/>
  <c r="B251" i="8" s="1"/>
  <c r="E251" i="8" s="1"/>
  <c r="D252" i="4"/>
  <c r="G252" i="4" s="1"/>
  <c r="B252" i="8" s="1"/>
  <c r="E252" i="8" s="1"/>
  <c r="D253" i="4"/>
  <c r="D254" i="4"/>
  <c r="G254" i="4" s="1"/>
  <c r="B254" i="8" s="1"/>
  <c r="E254" i="8" s="1"/>
  <c r="D255" i="4"/>
  <c r="G255" i="4" s="1"/>
  <c r="B255" i="8" s="1"/>
  <c r="E255" i="8" s="1"/>
  <c r="D256" i="4"/>
  <c r="D257" i="4"/>
  <c r="D258" i="4"/>
  <c r="G258" i="4" s="1"/>
  <c r="B258" i="8" s="1"/>
  <c r="E258" i="8" s="1"/>
  <c r="D259" i="4"/>
  <c r="G259" i="4" s="1"/>
  <c r="B259" i="8" s="1"/>
  <c r="E259" i="8" s="1"/>
  <c r="D260" i="4"/>
  <c r="G260" i="4" s="1"/>
  <c r="B260" i="8" s="1"/>
  <c r="E260" i="8" s="1"/>
  <c r="D261" i="4"/>
  <c r="D262" i="4"/>
  <c r="G262" i="4" s="1"/>
  <c r="B262" i="8" s="1"/>
  <c r="E262" i="8" s="1"/>
  <c r="D263" i="4"/>
  <c r="G263" i="4" s="1"/>
  <c r="B263" i="8" s="1"/>
  <c r="E263" i="8" s="1"/>
  <c r="D264" i="4"/>
  <c r="D265" i="4"/>
  <c r="D266" i="4"/>
  <c r="G266" i="4" s="1"/>
  <c r="B266" i="8" s="1"/>
  <c r="E266" i="8" s="1"/>
  <c r="D267" i="4"/>
  <c r="G267" i="4" s="1"/>
  <c r="B267" i="8" s="1"/>
  <c r="E267" i="8" s="1"/>
  <c r="D268" i="4"/>
  <c r="G268" i="4" s="1"/>
  <c r="B268" i="8" s="1"/>
  <c r="E268" i="8" s="1"/>
  <c r="D269" i="4"/>
  <c r="D270" i="4"/>
  <c r="G270" i="4" s="1"/>
  <c r="B270" i="8" s="1"/>
  <c r="E270" i="8" s="1"/>
  <c r="D271" i="4"/>
  <c r="G271" i="4" s="1"/>
  <c r="B271" i="8" s="1"/>
  <c r="E271" i="8" s="1"/>
  <c r="D272" i="4"/>
  <c r="D273" i="4"/>
  <c r="D274" i="4"/>
  <c r="G274" i="4" s="1"/>
  <c r="B274" i="8" s="1"/>
  <c r="E274" i="8" s="1"/>
  <c r="D275" i="4"/>
  <c r="G275" i="4" s="1"/>
  <c r="B275" i="8" s="1"/>
  <c r="E275" i="8" s="1"/>
  <c r="D276" i="4"/>
  <c r="G276" i="4" s="1"/>
  <c r="B276" i="8" s="1"/>
  <c r="E276" i="8" s="1"/>
  <c r="D277" i="4"/>
  <c r="D278" i="4"/>
  <c r="G278" i="4" s="1"/>
  <c r="B278" i="8" s="1"/>
  <c r="E278" i="8" s="1"/>
  <c r="D279" i="4"/>
  <c r="G279" i="4" s="1"/>
  <c r="B279" i="8" s="1"/>
  <c r="E279" i="8" s="1"/>
  <c r="D280" i="4"/>
  <c r="D281" i="4"/>
  <c r="D282" i="4"/>
  <c r="G282" i="4" s="1"/>
  <c r="B282" i="8" s="1"/>
  <c r="E282" i="8" s="1"/>
  <c r="D283" i="4"/>
  <c r="G283" i="4" s="1"/>
  <c r="B283" i="8" s="1"/>
  <c r="E283" i="8" s="1"/>
  <c r="D284" i="4"/>
  <c r="G284" i="4" s="1"/>
  <c r="B284" i="8" s="1"/>
  <c r="E284" i="8" s="1"/>
  <c r="D285" i="4"/>
  <c r="D286" i="4"/>
  <c r="G286" i="4" s="1"/>
  <c r="B286" i="8" s="1"/>
  <c r="E286" i="8" s="1"/>
  <c r="D287" i="4"/>
  <c r="G287" i="4" s="1"/>
  <c r="B287" i="8" s="1"/>
  <c r="E287" i="8" s="1"/>
  <c r="D288" i="4"/>
  <c r="D289" i="4"/>
  <c r="D290" i="4"/>
  <c r="G290" i="4" s="1"/>
  <c r="B290" i="8" s="1"/>
  <c r="E290" i="8" s="1"/>
  <c r="D291" i="4"/>
  <c r="G291" i="4" s="1"/>
  <c r="B291" i="8" s="1"/>
  <c r="E291" i="8" s="1"/>
  <c r="D292" i="4"/>
  <c r="G292" i="4" s="1"/>
  <c r="B292" i="8" s="1"/>
  <c r="E292" i="8" s="1"/>
  <c r="D293" i="4"/>
  <c r="D294" i="4"/>
  <c r="G294" i="4" s="1"/>
  <c r="B294" i="8" s="1"/>
  <c r="E294" i="8" s="1"/>
  <c r="D295" i="4"/>
  <c r="G295" i="4" s="1"/>
  <c r="B295" i="8" s="1"/>
  <c r="E295" i="8" s="1"/>
  <c r="D296" i="4"/>
  <c r="D297" i="4"/>
  <c r="D298" i="4"/>
  <c r="G298" i="4" s="1"/>
  <c r="B298" i="8" s="1"/>
  <c r="E298" i="8" s="1"/>
  <c r="D299" i="4"/>
  <c r="G299" i="4" s="1"/>
  <c r="B299" i="8" s="1"/>
  <c r="E299" i="8" s="1"/>
  <c r="D300" i="4"/>
  <c r="G300" i="4" s="1"/>
  <c r="B300" i="8" s="1"/>
  <c r="E300" i="8" s="1"/>
  <c r="D301" i="4"/>
  <c r="D302" i="4"/>
  <c r="G302" i="4" s="1"/>
  <c r="B302" i="8" s="1"/>
  <c r="E302" i="8" s="1"/>
  <c r="D303" i="4"/>
  <c r="G303" i="4" s="1"/>
  <c r="B303" i="8" s="1"/>
  <c r="E303" i="8" s="1"/>
  <c r="D304" i="4"/>
  <c r="D305" i="4"/>
  <c r="D306" i="4"/>
  <c r="G306" i="4" s="1"/>
  <c r="B306" i="8" s="1"/>
  <c r="E306" i="8" s="1"/>
  <c r="D307" i="4"/>
  <c r="G307" i="4" s="1"/>
  <c r="B307" i="8" s="1"/>
  <c r="E307" i="8" s="1"/>
  <c r="D308" i="4"/>
  <c r="D309" i="4"/>
  <c r="D310" i="4"/>
  <c r="G310" i="4" s="1"/>
  <c r="B310" i="8" s="1"/>
  <c r="E310" i="8" s="1"/>
  <c r="D311" i="4"/>
  <c r="G311" i="4" s="1"/>
  <c r="B311" i="8" s="1"/>
  <c r="E311" i="8" s="1"/>
  <c r="D312" i="4"/>
  <c r="D313" i="4"/>
  <c r="D314" i="4"/>
  <c r="G314" i="4" s="1"/>
  <c r="B314" i="8" s="1"/>
  <c r="E314" i="8" s="1"/>
  <c r="D315" i="4"/>
  <c r="G315" i="4" s="1"/>
  <c r="B315" i="8" s="1"/>
  <c r="E315" i="8" s="1"/>
  <c r="D316" i="4"/>
  <c r="D317" i="4"/>
  <c r="D318" i="4"/>
  <c r="G318" i="4" s="1"/>
  <c r="B318" i="8" s="1"/>
  <c r="E318" i="8" s="1"/>
  <c r="D319" i="4"/>
  <c r="G319" i="4" s="1"/>
  <c r="B319" i="8" s="1"/>
  <c r="E319" i="8" s="1"/>
  <c r="D320" i="4"/>
  <c r="D321" i="4"/>
  <c r="D322" i="4"/>
  <c r="G322" i="4" s="1"/>
  <c r="B322" i="8" s="1"/>
  <c r="E322" i="8" s="1"/>
  <c r="D323" i="4"/>
  <c r="G323" i="4" s="1"/>
  <c r="B323" i="8" s="1"/>
  <c r="E323" i="8" s="1"/>
  <c r="D324" i="4"/>
  <c r="D325" i="4"/>
  <c r="D326" i="4"/>
  <c r="G326" i="4" s="1"/>
  <c r="B326" i="8" s="1"/>
  <c r="E326" i="8" s="1"/>
  <c r="D327" i="4"/>
  <c r="G327" i="4" s="1"/>
  <c r="B327" i="8" s="1"/>
  <c r="E327" i="8" s="1"/>
  <c r="D328" i="4"/>
  <c r="D329" i="4"/>
  <c r="D330" i="4"/>
  <c r="G330" i="4" s="1"/>
  <c r="B330" i="8" s="1"/>
  <c r="E330" i="8" s="1"/>
  <c r="D331" i="4"/>
  <c r="G331" i="4" s="1"/>
  <c r="B331" i="8" s="1"/>
  <c r="E331" i="8" s="1"/>
  <c r="D332" i="4"/>
  <c r="D333" i="4"/>
  <c r="D334" i="4"/>
  <c r="G334" i="4" s="1"/>
  <c r="B334" i="8" s="1"/>
  <c r="E334" i="8" s="1"/>
  <c r="D335" i="4"/>
  <c r="G335" i="4" s="1"/>
  <c r="B335" i="8" s="1"/>
  <c r="E335" i="8" s="1"/>
  <c r="D336" i="4"/>
  <c r="D337" i="4"/>
  <c r="D338" i="4"/>
  <c r="G338" i="4" s="1"/>
  <c r="B338" i="8" s="1"/>
  <c r="E338" i="8" s="1"/>
  <c r="D339" i="4"/>
  <c r="G339" i="4" s="1"/>
  <c r="B339" i="8" s="1"/>
  <c r="E339" i="8" s="1"/>
  <c r="D340" i="4"/>
  <c r="D341" i="4"/>
  <c r="D342" i="4"/>
  <c r="G342" i="4" s="1"/>
  <c r="B342" i="8" s="1"/>
  <c r="E342" i="8" s="1"/>
  <c r="D343" i="4"/>
  <c r="G343" i="4" s="1"/>
  <c r="B343" i="8" s="1"/>
  <c r="E343" i="8" s="1"/>
  <c r="D344" i="4"/>
  <c r="D345" i="4"/>
  <c r="D346" i="4"/>
  <c r="G346" i="4" s="1"/>
  <c r="B346" i="8" s="1"/>
  <c r="E346" i="8" s="1"/>
  <c r="D347" i="4"/>
  <c r="G347" i="4" s="1"/>
  <c r="B347" i="8" s="1"/>
  <c r="E347" i="8" s="1"/>
  <c r="D348" i="4"/>
  <c r="D349" i="4"/>
  <c r="D350" i="4"/>
  <c r="G350" i="4" s="1"/>
  <c r="B350" i="8" s="1"/>
  <c r="E350" i="8" s="1"/>
  <c r="D351" i="4"/>
  <c r="G351" i="4" s="1"/>
  <c r="B351" i="8" s="1"/>
  <c r="E351" i="8" s="1"/>
  <c r="D352" i="4"/>
  <c r="D353" i="4"/>
  <c r="D354" i="4"/>
  <c r="G354" i="4" s="1"/>
  <c r="B354" i="8" s="1"/>
  <c r="E354" i="8" s="1"/>
  <c r="D355" i="4"/>
  <c r="G355" i="4" s="1"/>
  <c r="B355" i="8" s="1"/>
  <c r="E355" i="8" s="1"/>
  <c r="D356" i="4"/>
  <c r="D357" i="4"/>
  <c r="D358" i="4"/>
  <c r="G358" i="4" s="1"/>
  <c r="B358" i="8" s="1"/>
  <c r="E358" i="8" s="1"/>
  <c r="D359" i="4"/>
  <c r="G359" i="4" s="1"/>
  <c r="B359" i="8" s="1"/>
  <c r="E359" i="8" s="1"/>
  <c r="D360" i="4"/>
  <c r="D361" i="4"/>
  <c r="D362" i="4"/>
  <c r="G362" i="4" s="1"/>
  <c r="B362" i="8" s="1"/>
  <c r="E362" i="8" s="1"/>
  <c r="D363" i="4"/>
  <c r="G363" i="4" s="1"/>
  <c r="B363" i="8" s="1"/>
  <c r="E363" i="8" s="1"/>
  <c r="D364" i="4"/>
  <c r="D365" i="4"/>
  <c r="D366" i="4"/>
  <c r="G366" i="4" s="1"/>
  <c r="B366" i="8" s="1"/>
  <c r="E366" i="8" s="1"/>
  <c r="D367" i="4"/>
  <c r="G367" i="4" s="1"/>
  <c r="B367" i="8" s="1"/>
  <c r="E367" i="8" s="1"/>
  <c r="D368" i="4"/>
  <c r="D369" i="4"/>
  <c r="D370" i="4"/>
  <c r="D371" i="4"/>
  <c r="G371" i="4" s="1"/>
  <c r="B371" i="8" s="1"/>
  <c r="E371" i="8" s="1"/>
  <c r="D372" i="4"/>
  <c r="D373" i="4"/>
  <c r="D374" i="4"/>
  <c r="G374" i="4" s="1"/>
  <c r="B374" i="8" s="1"/>
  <c r="E374" i="8" s="1"/>
  <c r="D375" i="4"/>
  <c r="G375" i="4" s="1"/>
  <c r="B375" i="8" s="1"/>
  <c r="E375" i="8" s="1"/>
  <c r="D376" i="4"/>
  <c r="D377" i="4"/>
  <c r="D378" i="4"/>
  <c r="G378" i="4" s="1"/>
  <c r="B378" i="8" s="1"/>
  <c r="E378" i="8" s="1"/>
  <c r="D379" i="4"/>
  <c r="G379" i="4" s="1"/>
  <c r="B379" i="8" s="1"/>
  <c r="E379" i="8" s="1"/>
  <c r="D380" i="4"/>
  <c r="D381" i="4"/>
  <c r="D382" i="4"/>
  <c r="G382" i="4" s="1"/>
  <c r="B382" i="8" s="1"/>
  <c r="E382" i="8" s="1"/>
  <c r="D383" i="4"/>
  <c r="G383" i="4" s="1"/>
  <c r="B383" i="8" s="1"/>
  <c r="E383" i="8" s="1"/>
  <c r="D384" i="4"/>
  <c r="D385" i="4"/>
  <c r="D386" i="4"/>
  <c r="G386" i="4" s="1"/>
  <c r="B386" i="8" s="1"/>
  <c r="E386" i="8" s="1"/>
  <c r="D387" i="4"/>
  <c r="G387" i="4" s="1"/>
  <c r="B387" i="8" s="1"/>
  <c r="E387" i="8" s="1"/>
  <c r="D388" i="4"/>
  <c r="D389" i="4"/>
  <c r="D390" i="4"/>
  <c r="G390" i="4" s="1"/>
  <c r="B390" i="8" s="1"/>
  <c r="E390" i="8" s="1"/>
  <c r="D391" i="4"/>
  <c r="G391" i="4" s="1"/>
  <c r="B391" i="8" s="1"/>
  <c r="E391" i="8" s="1"/>
  <c r="D392" i="4"/>
  <c r="D393" i="4"/>
  <c r="D394" i="4"/>
  <c r="G394" i="4" s="1"/>
  <c r="B394" i="8" s="1"/>
  <c r="E394" i="8" s="1"/>
  <c r="D395" i="4"/>
  <c r="G395" i="4" s="1"/>
  <c r="B395" i="8" s="1"/>
  <c r="E395" i="8" s="1"/>
  <c r="D396" i="4"/>
  <c r="D397" i="4"/>
  <c r="D398" i="4"/>
  <c r="G398" i="4" s="1"/>
  <c r="B398" i="8" s="1"/>
  <c r="E398" i="8" s="1"/>
  <c r="D399" i="4"/>
  <c r="G399" i="4" s="1"/>
  <c r="B399" i="8" s="1"/>
  <c r="E399" i="8" s="1"/>
  <c r="D400" i="4"/>
  <c r="D401" i="4"/>
  <c r="D402" i="4"/>
  <c r="G402" i="4" s="1"/>
  <c r="B402" i="8" s="1"/>
  <c r="E402" i="8" s="1"/>
  <c r="D403" i="4"/>
  <c r="G403" i="4" s="1"/>
  <c r="B403" i="8" s="1"/>
  <c r="E403" i="8" s="1"/>
  <c r="D404" i="4"/>
  <c r="D405" i="4"/>
  <c r="D406" i="4"/>
  <c r="G406" i="4" s="1"/>
  <c r="B406" i="8" s="1"/>
  <c r="E406" i="8" s="1"/>
  <c r="D407" i="4"/>
  <c r="G407" i="4" s="1"/>
  <c r="B407" i="8" s="1"/>
  <c r="E407" i="8" s="1"/>
  <c r="D408" i="4"/>
  <c r="D409" i="4"/>
  <c r="D410" i="4"/>
  <c r="G410" i="4" s="1"/>
  <c r="B410" i="8" s="1"/>
  <c r="E410" i="8" s="1"/>
  <c r="D411" i="4"/>
  <c r="G411" i="4" s="1"/>
  <c r="B411" i="8" s="1"/>
  <c r="E411" i="8" s="1"/>
  <c r="D412" i="4"/>
  <c r="D413" i="4"/>
  <c r="D414" i="4"/>
  <c r="G414" i="4" s="1"/>
  <c r="B414" i="8" s="1"/>
  <c r="E414" i="8" s="1"/>
  <c r="D415" i="4"/>
  <c r="G415" i="4" s="1"/>
  <c r="B415" i="8" s="1"/>
  <c r="E415" i="8" s="1"/>
  <c r="D416" i="4"/>
  <c r="D417" i="4"/>
  <c r="D418" i="4"/>
  <c r="G418" i="4" s="1"/>
  <c r="B418" i="8" s="1"/>
  <c r="E418" i="8" s="1"/>
  <c r="D419" i="4"/>
  <c r="G419" i="4" s="1"/>
  <c r="B419" i="8" s="1"/>
  <c r="E419" i="8" s="1"/>
  <c r="D420" i="4"/>
  <c r="D421" i="4"/>
  <c r="D422" i="4"/>
  <c r="G422" i="4" s="1"/>
  <c r="B422" i="8" s="1"/>
  <c r="E422" i="8" s="1"/>
  <c r="D423" i="4"/>
  <c r="G423" i="4" s="1"/>
  <c r="B423" i="8" s="1"/>
  <c r="E423" i="8" s="1"/>
  <c r="D424" i="4"/>
  <c r="D425" i="4"/>
  <c r="D426" i="4"/>
  <c r="G426" i="4" s="1"/>
  <c r="B426" i="8" s="1"/>
  <c r="E426" i="8" s="1"/>
  <c r="D427" i="4"/>
  <c r="G427" i="4" s="1"/>
  <c r="B427" i="8" s="1"/>
  <c r="E427" i="8" s="1"/>
  <c r="D428" i="4"/>
  <c r="D429" i="4"/>
  <c r="D430" i="4"/>
  <c r="G430" i="4" s="1"/>
  <c r="B430" i="8" s="1"/>
  <c r="E430" i="8" s="1"/>
  <c r="D431" i="4"/>
  <c r="G431" i="4" s="1"/>
  <c r="B431" i="8" s="1"/>
  <c r="E431" i="8" s="1"/>
  <c r="D432" i="4"/>
  <c r="D433" i="4"/>
  <c r="D434" i="4"/>
  <c r="G434" i="4" s="1"/>
  <c r="B434" i="8" s="1"/>
  <c r="E434" i="8" s="1"/>
  <c r="D435" i="4"/>
  <c r="G435" i="4" s="1"/>
  <c r="B435" i="8" s="1"/>
  <c r="E435" i="8" s="1"/>
  <c r="D436" i="4"/>
  <c r="D437" i="4"/>
  <c r="D438" i="4"/>
  <c r="G438" i="4" s="1"/>
  <c r="B438" i="8" s="1"/>
  <c r="E438" i="8" s="1"/>
  <c r="D439" i="4"/>
  <c r="G439" i="4" s="1"/>
  <c r="B439" i="8" s="1"/>
  <c r="E439" i="8" s="1"/>
  <c r="D440" i="4"/>
  <c r="D441" i="4"/>
  <c r="D442" i="4"/>
  <c r="G442" i="4" s="1"/>
  <c r="B442" i="8" s="1"/>
  <c r="E442" i="8" s="1"/>
  <c r="D443" i="4"/>
  <c r="G443" i="4" s="1"/>
  <c r="B443" i="8" s="1"/>
  <c r="E443" i="8" s="1"/>
  <c r="D444" i="4"/>
  <c r="D445" i="4"/>
  <c r="D446" i="4"/>
  <c r="G446" i="4" s="1"/>
  <c r="B446" i="8" s="1"/>
  <c r="E446" i="8" s="1"/>
  <c r="D447" i="4"/>
  <c r="G447" i="4" s="1"/>
  <c r="B447" i="8" s="1"/>
  <c r="E447" i="8" s="1"/>
  <c r="D448" i="4"/>
  <c r="D449" i="4"/>
  <c r="D450" i="4"/>
  <c r="G450" i="4" s="1"/>
  <c r="B450" i="8" s="1"/>
  <c r="E450" i="8" s="1"/>
  <c r="D451" i="4"/>
  <c r="G451" i="4" s="1"/>
  <c r="B451" i="8" s="1"/>
  <c r="E451" i="8" s="1"/>
  <c r="D452" i="4"/>
  <c r="D453" i="4"/>
  <c r="D454" i="4"/>
  <c r="G454" i="4" s="1"/>
  <c r="B454" i="8" s="1"/>
  <c r="E454" i="8" s="1"/>
  <c r="D455" i="4"/>
  <c r="G455" i="4" s="1"/>
  <c r="B455" i="8" s="1"/>
  <c r="E455" i="8" s="1"/>
  <c r="D456" i="4"/>
  <c r="D457" i="4"/>
  <c r="G457" i="4" s="1"/>
  <c r="B457" i="8" s="1"/>
  <c r="E457" i="8" s="1"/>
  <c r="D458" i="4"/>
  <c r="G458" i="4" s="1"/>
  <c r="B458" i="8" s="1"/>
  <c r="E458" i="8" s="1"/>
  <c r="D459" i="4"/>
  <c r="G459" i="4" s="1"/>
  <c r="B459" i="8" s="1"/>
  <c r="E459" i="8" s="1"/>
  <c r="D460" i="4"/>
  <c r="D461" i="4"/>
  <c r="D462" i="4"/>
  <c r="G462" i="4" s="1"/>
  <c r="B462" i="8" s="1"/>
  <c r="E462" i="8" s="1"/>
  <c r="D463" i="4"/>
  <c r="G463" i="4" s="1"/>
  <c r="B463" i="8" s="1"/>
  <c r="E463" i="8" s="1"/>
  <c r="D464" i="4"/>
  <c r="D465" i="4"/>
  <c r="G465" i="4" s="1"/>
  <c r="B465" i="8" s="1"/>
  <c r="E465" i="8" s="1"/>
  <c r="D466" i="4"/>
  <c r="G466" i="4" s="1"/>
  <c r="B466" i="8" s="1"/>
  <c r="E466" i="8" s="1"/>
  <c r="D467" i="4"/>
  <c r="G467" i="4" s="1"/>
  <c r="B467" i="8" s="1"/>
  <c r="E467" i="8" s="1"/>
  <c r="D468" i="4"/>
  <c r="D469" i="4"/>
  <c r="D470" i="4"/>
  <c r="G470" i="4" s="1"/>
  <c r="B470" i="8" s="1"/>
  <c r="E470" i="8" s="1"/>
  <c r="D471" i="4"/>
  <c r="G471" i="4" s="1"/>
  <c r="B471" i="8" s="1"/>
  <c r="E471" i="8" s="1"/>
  <c r="D472" i="4"/>
  <c r="D473" i="4"/>
  <c r="G473" i="4" s="1"/>
  <c r="B473" i="8" s="1"/>
  <c r="E473" i="8" s="1"/>
  <c r="D474" i="4"/>
  <c r="G474" i="4" s="1"/>
  <c r="B474" i="8" s="1"/>
  <c r="E474" i="8" s="1"/>
  <c r="D475" i="4"/>
  <c r="G475" i="4" s="1"/>
  <c r="B475" i="8" s="1"/>
  <c r="D476" i="4"/>
  <c r="D477" i="4"/>
  <c r="D478" i="4"/>
  <c r="G478" i="4" s="1"/>
  <c r="B478" i="8" s="1"/>
  <c r="E478" i="8" s="1"/>
  <c r="D479" i="4"/>
  <c r="G479" i="4" s="1"/>
  <c r="B479" i="8" s="1"/>
  <c r="E479" i="8" s="1"/>
  <c r="D480" i="4"/>
  <c r="D481" i="4"/>
  <c r="G481" i="4" s="1"/>
  <c r="B481" i="8" s="1"/>
  <c r="E481" i="8" s="1"/>
  <c r="D482" i="4"/>
  <c r="G482" i="4" s="1"/>
  <c r="B482" i="8" s="1"/>
  <c r="E482" i="8" s="1"/>
  <c r="D483" i="4"/>
  <c r="G483" i="4" s="1"/>
  <c r="B483" i="8" s="1"/>
  <c r="E483" i="8" s="1"/>
  <c r="D484" i="4"/>
  <c r="D485" i="4"/>
  <c r="G485" i="4" s="1"/>
  <c r="B485" i="8" s="1"/>
  <c r="E485" i="8" s="1"/>
  <c r="D486" i="4"/>
  <c r="G486" i="4" s="1"/>
  <c r="B486" i="8" s="1"/>
  <c r="E486" i="8" s="1"/>
  <c r="D487" i="4"/>
  <c r="G487" i="4" s="1"/>
  <c r="B487" i="8" s="1"/>
  <c r="E487" i="8" s="1"/>
  <c r="D488" i="4"/>
  <c r="D489" i="4"/>
  <c r="G489" i="4" s="1"/>
  <c r="B489" i="8" s="1"/>
  <c r="E489" i="8" s="1"/>
  <c r="D490" i="4"/>
  <c r="G490" i="4" s="1"/>
  <c r="B490" i="8" s="1"/>
  <c r="E490" i="8" s="1"/>
  <c r="D491" i="4"/>
  <c r="G491" i="4" s="1"/>
  <c r="B491" i="8" s="1"/>
  <c r="E491" i="8" s="1"/>
  <c r="D492" i="4"/>
  <c r="D493" i="4"/>
  <c r="G493" i="4" s="1"/>
  <c r="B493" i="8" s="1"/>
  <c r="E493" i="8" s="1"/>
  <c r="D494" i="4"/>
  <c r="G494" i="4" s="1"/>
  <c r="B494" i="8" s="1"/>
  <c r="E494" i="8" s="1"/>
  <c r="D495" i="4"/>
  <c r="G495" i="4" s="1"/>
  <c r="B495" i="8" s="1"/>
  <c r="E495" i="8" s="1"/>
  <c r="D496" i="4"/>
  <c r="D497" i="4"/>
  <c r="G497" i="4" s="1"/>
  <c r="B497" i="8" s="1"/>
  <c r="E497" i="8" s="1"/>
  <c r="D498" i="4"/>
  <c r="G498" i="4" s="1"/>
  <c r="B498" i="8" s="1"/>
  <c r="E498" i="8" s="1"/>
  <c r="D499" i="4"/>
  <c r="G499" i="4" s="1"/>
  <c r="B499" i="8" s="1"/>
  <c r="E499" i="8" s="1"/>
  <c r="D500" i="4"/>
  <c r="D501" i="4"/>
  <c r="G501" i="4" s="1"/>
  <c r="B501" i="8" s="1"/>
  <c r="E501" i="8" s="1"/>
  <c r="G2" i="4"/>
  <c r="B10" i="8" s="1"/>
  <c r="E10" i="8" s="1"/>
  <c r="D173" i="9" l="1"/>
  <c r="E172" i="9"/>
  <c r="D21" i="9"/>
  <c r="E21" i="9" s="1"/>
  <c r="E20" i="9"/>
  <c r="D330" i="9"/>
  <c r="E329" i="9"/>
  <c r="E140" i="9"/>
  <c r="D113" i="9"/>
  <c r="E112" i="9"/>
  <c r="E107" i="9"/>
  <c r="E108" i="9"/>
  <c r="D96" i="9"/>
  <c r="E360" i="9"/>
  <c r="E340" i="9"/>
  <c r="E327" i="9"/>
  <c r="E315" i="9"/>
  <c r="E316" i="9"/>
  <c r="D338" i="9"/>
  <c r="E338" i="9" s="1"/>
  <c r="E337" i="9"/>
  <c r="D326" i="9"/>
  <c r="E326" i="9" s="1"/>
  <c r="E325" i="9"/>
  <c r="D254" i="9"/>
  <c r="E253" i="9"/>
  <c r="D247" i="9"/>
  <c r="D204" i="9"/>
  <c r="E204" i="9" s="1"/>
  <c r="E203" i="9"/>
  <c r="D138" i="9"/>
  <c r="E138" i="9" s="1"/>
  <c r="E137" i="9"/>
  <c r="D122" i="9"/>
  <c r="E121" i="9"/>
  <c r="D75" i="9"/>
  <c r="E75" i="9" s="1"/>
  <c r="E74" i="9"/>
  <c r="E328" i="9"/>
  <c r="E168" i="9"/>
  <c r="D342" i="9"/>
  <c r="E342" i="9" s="1"/>
  <c r="E341" i="9"/>
  <c r="D272" i="9"/>
  <c r="E271" i="9"/>
  <c r="E251" i="9"/>
  <c r="D244" i="9"/>
  <c r="E243" i="9"/>
  <c r="D236" i="9"/>
  <c r="E236" i="9" s="1"/>
  <c r="E235" i="9"/>
  <c r="E202" i="9"/>
  <c r="E167" i="9"/>
  <c r="E163" i="9"/>
  <c r="D159" i="9"/>
  <c r="E159" i="9" s="1"/>
  <c r="D142" i="9"/>
  <c r="E142" i="9" s="1"/>
  <c r="E141" i="9"/>
  <c r="E110" i="9"/>
  <c r="E105" i="9"/>
  <c r="D11" i="9"/>
  <c r="E10" i="9"/>
  <c r="E324" i="9"/>
  <c r="D335" i="9"/>
  <c r="E335" i="9" s="1"/>
  <c r="E334" i="9"/>
  <c r="E270" i="9"/>
  <c r="E250" i="9"/>
  <c r="E242" i="9"/>
  <c r="E234" i="9"/>
  <c r="D224" i="9"/>
  <c r="E223" i="9"/>
  <c r="E201" i="9"/>
  <c r="E171" i="9"/>
  <c r="E166" i="9"/>
  <c r="E162" i="9"/>
  <c r="D146" i="9"/>
  <c r="E146" i="9" s="1"/>
  <c r="E145" i="9"/>
  <c r="D126" i="9"/>
  <c r="E125" i="9"/>
  <c r="E119" i="9"/>
  <c r="D16" i="9"/>
  <c r="E15" i="9"/>
  <c r="C5" i="9"/>
  <c r="C6" i="9"/>
  <c r="C7" i="9" s="1"/>
  <c r="C8" i="9" s="1"/>
  <c r="C10" i="9" s="1"/>
  <c r="C11" i="9" s="1"/>
  <c r="C12" i="9" s="1"/>
  <c r="G370" i="4"/>
  <c r="B370" i="8" s="1"/>
  <c r="E370" i="8" s="1"/>
  <c r="G305" i="4"/>
  <c r="B305" i="8" s="1"/>
  <c r="E305" i="8" s="1"/>
  <c r="G301" i="4"/>
  <c r="B301" i="8" s="1"/>
  <c r="E301" i="8" s="1"/>
  <c r="G297" i="4"/>
  <c r="B297" i="8" s="1"/>
  <c r="E297" i="8" s="1"/>
  <c r="G293" i="4"/>
  <c r="B293" i="8" s="1"/>
  <c r="E293" i="8" s="1"/>
  <c r="G289" i="4"/>
  <c r="B289" i="8" s="1"/>
  <c r="E289" i="8" s="1"/>
  <c r="G285" i="4"/>
  <c r="B285" i="8" s="1"/>
  <c r="E285" i="8" s="1"/>
  <c r="G281" i="4"/>
  <c r="B281" i="8" s="1"/>
  <c r="E281" i="8" s="1"/>
  <c r="G277" i="4"/>
  <c r="B277" i="8" s="1"/>
  <c r="E277" i="8" s="1"/>
  <c r="G273" i="4"/>
  <c r="B273" i="8" s="1"/>
  <c r="E273" i="8" s="1"/>
  <c r="G269" i="4"/>
  <c r="B269" i="8" s="1"/>
  <c r="E269" i="8" s="1"/>
  <c r="G265" i="4"/>
  <c r="B265" i="8" s="1"/>
  <c r="E265" i="8" s="1"/>
  <c r="G261" i="4"/>
  <c r="B261" i="8" s="1"/>
  <c r="E261" i="8" s="1"/>
  <c r="G257" i="4"/>
  <c r="B257" i="8" s="1"/>
  <c r="E257" i="8" s="1"/>
  <c r="G253" i="4"/>
  <c r="B253" i="8" s="1"/>
  <c r="E253" i="8" s="1"/>
  <c r="G249" i="4"/>
  <c r="B249" i="8" s="1"/>
  <c r="E249" i="8" s="1"/>
  <c r="G245" i="4"/>
  <c r="B245" i="8" s="1"/>
  <c r="E245" i="8" s="1"/>
  <c r="G241" i="4"/>
  <c r="B241" i="8" s="1"/>
  <c r="E241" i="8" s="1"/>
  <c r="G237" i="4"/>
  <c r="B237" i="8" s="1"/>
  <c r="E237" i="8" s="1"/>
  <c r="G233" i="4"/>
  <c r="B233" i="8" s="1"/>
  <c r="E233" i="8" s="1"/>
  <c r="G229" i="4"/>
  <c r="B229" i="8" s="1"/>
  <c r="E229" i="8" s="1"/>
  <c r="G225" i="4"/>
  <c r="B225" i="8" s="1"/>
  <c r="E225" i="8" s="1"/>
  <c r="G221" i="4"/>
  <c r="B221" i="8" s="1"/>
  <c r="E221" i="8" s="1"/>
  <c r="G217" i="4"/>
  <c r="B217" i="8" s="1"/>
  <c r="E217" i="8" s="1"/>
  <c r="G213" i="4"/>
  <c r="B213" i="8" s="1"/>
  <c r="E213" i="8" s="1"/>
  <c r="G209" i="4"/>
  <c r="B209" i="8" s="1"/>
  <c r="E209" i="8" s="1"/>
  <c r="G205" i="4"/>
  <c r="B205" i="8" s="1"/>
  <c r="E205" i="8" s="1"/>
  <c r="G201" i="4"/>
  <c r="B201" i="8" s="1"/>
  <c r="E201" i="8" s="1"/>
  <c r="G197" i="4"/>
  <c r="B197" i="8" s="1"/>
  <c r="E197" i="8" s="1"/>
  <c r="G193" i="4"/>
  <c r="B193" i="8" s="1"/>
  <c r="E193" i="8" s="1"/>
  <c r="G189" i="4"/>
  <c r="B189" i="8" s="1"/>
  <c r="E189" i="8" s="1"/>
  <c r="G185" i="4"/>
  <c r="B185" i="8" s="1"/>
  <c r="E185" i="8" s="1"/>
  <c r="G181" i="4"/>
  <c r="B181" i="8" s="1"/>
  <c r="E181" i="8" s="1"/>
  <c r="G177" i="4"/>
  <c r="B177" i="8" s="1"/>
  <c r="E177" i="8" s="1"/>
  <c r="G173" i="4"/>
  <c r="B173" i="8" s="1"/>
  <c r="E173" i="8" s="1"/>
  <c r="G169" i="4"/>
  <c r="B169" i="8" s="1"/>
  <c r="E169" i="8" s="1"/>
  <c r="G165" i="4"/>
  <c r="B165" i="8" s="1"/>
  <c r="E165" i="8" s="1"/>
  <c r="G161" i="4"/>
  <c r="B161" i="8" s="1"/>
  <c r="E161" i="8" s="1"/>
  <c r="G157" i="4"/>
  <c r="B157" i="8" s="1"/>
  <c r="E157" i="8" s="1"/>
  <c r="G153" i="4"/>
  <c r="B153" i="8" s="1"/>
  <c r="E153" i="8" s="1"/>
  <c r="G149" i="4"/>
  <c r="B149" i="8" s="1"/>
  <c r="E149" i="8" s="1"/>
  <c r="G145" i="4"/>
  <c r="B145" i="8" s="1"/>
  <c r="E145" i="8" s="1"/>
  <c r="G141" i="4"/>
  <c r="B141" i="8" s="1"/>
  <c r="E141" i="8" s="1"/>
  <c r="G137" i="4"/>
  <c r="B137" i="8" s="1"/>
  <c r="E137" i="8" s="1"/>
  <c r="G133" i="4"/>
  <c r="B133" i="8" s="1"/>
  <c r="E133" i="8" s="1"/>
  <c r="G129" i="4"/>
  <c r="B129" i="8" s="1"/>
  <c r="E129" i="8" s="1"/>
  <c r="G125" i="4"/>
  <c r="B125" i="8" s="1"/>
  <c r="E125" i="8" s="1"/>
  <c r="G121" i="4"/>
  <c r="B121" i="8" s="1"/>
  <c r="E121" i="8" s="1"/>
  <c r="G117" i="4"/>
  <c r="B117" i="8" s="1"/>
  <c r="E117" i="8" s="1"/>
  <c r="G113" i="4"/>
  <c r="B113" i="8" s="1"/>
  <c r="E113" i="8" s="1"/>
  <c r="G109" i="4"/>
  <c r="B109" i="8" s="1"/>
  <c r="E109" i="8" s="1"/>
  <c r="G105" i="4"/>
  <c r="B105" i="8" s="1"/>
  <c r="E105" i="8" s="1"/>
  <c r="G101" i="4"/>
  <c r="B101" i="8" s="1"/>
  <c r="E101" i="8" s="1"/>
  <c r="G97" i="4"/>
  <c r="B97" i="8" s="1"/>
  <c r="E97" i="8" s="1"/>
  <c r="G93" i="4"/>
  <c r="B93" i="8" s="1"/>
  <c r="E93" i="8" s="1"/>
  <c r="G89" i="4"/>
  <c r="B89" i="8" s="1"/>
  <c r="E89" i="8" s="1"/>
  <c r="G85" i="4"/>
  <c r="B85" i="8" s="1"/>
  <c r="E85" i="8" s="1"/>
  <c r="G81" i="4"/>
  <c r="B81" i="8" s="1"/>
  <c r="E81" i="8" s="1"/>
  <c r="G77" i="4"/>
  <c r="B77" i="8" s="1"/>
  <c r="E77" i="8" s="1"/>
  <c r="G73" i="4"/>
  <c r="B73" i="8" s="1"/>
  <c r="E73" i="8" s="1"/>
  <c r="G69" i="4"/>
  <c r="B69" i="8" s="1"/>
  <c r="E69" i="8" s="1"/>
  <c r="G65" i="4"/>
  <c r="B65" i="8" s="1"/>
  <c r="E65" i="8" s="1"/>
  <c r="G61" i="4"/>
  <c r="B61" i="8" s="1"/>
  <c r="E61" i="8" s="1"/>
  <c r="G57" i="4"/>
  <c r="B57" i="8" s="1"/>
  <c r="E57" i="8" s="1"/>
  <c r="G53" i="4"/>
  <c r="B53" i="8" s="1"/>
  <c r="E53" i="8" s="1"/>
  <c r="G49" i="4"/>
  <c r="B49" i="8" s="1"/>
  <c r="E49" i="8" s="1"/>
  <c r="G45" i="4"/>
  <c r="B45" i="8" s="1"/>
  <c r="E45" i="8" s="1"/>
  <c r="G41" i="4"/>
  <c r="B41" i="8" s="1"/>
  <c r="E41" i="8" s="1"/>
  <c r="G37" i="4"/>
  <c r="B37" i="8" s="1"/>
  <c r="E37" i="8" s="1"/>
  <c r="G33" i="4"/>
  <c r="B33" i="8" s="1"/>
  <c r="E33" i="8" s="1"/>
  <c r="G29" i="4"/>
  <c r="B29" i="8" s="1"/>
  <c r="E29" i="8" s="1"/>
  <c r="G25" i="4"/>
  <c r="B25" i="8" s="1"/>
  <c r="E25" i="8" s="1"/>
  <c r="G21" i="4"/>
  <c r="B21" i="8" s="1"/>
  <c r="E21" i="8" s="1"/>
  <c r="G17" i="4"/>
  <c r="B9" i="8" s="1"/>
  <c r="E9" i="8" s="1"/>
  <c r="G13" i="4"/>
  <c r="B8" i="8" s="1"/>
  <c r="E8" i="8" s="1"/>
  <c r="G9" i="4"/>
  <c r="B13" i="8" s="1"/>
  <c r="E13" i="8" s="1"/>
  <c r="G5" i="4"/>
  <c r="B3" i="8" s="1"/>
  <c r="E3" i="8" s="1"/>
  <c r="F3" i="4"/>
  <c r="E3" i="4"/>
  <c r="D3" i="4"/>
  <c r="G3" i="4" s="1"/>
  <c r="B11" i="8" s="1"/>
  <c r="E11" i="8" s="1"/>
  <c r="M2" i="3"/>
  <c r="D127" i="9" l="1"/>
  <c r="E126" i="9"/>
  <c r="D97" i="9"/>
  <c r="E96" i="9"/>
  <c r="D245" i="9"/>
  <c r="E244" i="9"/>
  <c r="E143" i="9"/>
  <c r="D331" i="9"/>
  <c r="E330" i="9"/>
  <c r="D225" i="9"/>
  <c r="E224" i="9"/>
  <c r="D255" i="9"/>
  <c r="E254" i="9"/>
  <c r="D114" i="9"/>
  <c r="E113" i="9"/>
  <c r="D12" i="9"/>
  <c r="E11" i="9"/>
  <c r="D123" i="9"/>
  <c r="E122" i="9"/>
  <c r="D248" i="9"/>
  <c r="E247" i="9"/>
  <c r="E160" i="9"/>
  <c r="E336" i="9"/>
  <c r="D17" i="9"/>
  <c r="E16" i="9"/>
  <c r="D273" i="9"/>
  <c r="E272" i="9"/>
  <c r="C13" i="9"/>
  <c r="C14" i="9" s="1"/>
  <c r="C15" i="9" s="1"/>
  <c r="C16" i="9" s="1"/>
  <c r="C17" i="9" s="1"/>
  <c r="C18" i="9" s="1"/>
  <c r="C19" i="9" s="1"/>
  <c r="C20" i="9" s="1"/>
  <c r="C21" i="9" s="1"/>
  <c r="D22" i="9" s="1"/>
  <c r="E139" i="9"/>
  <c r="D174" i="9"/>
  <c r="E174" i="9" s="1"/>
  <c r="E173" i="9"/>
  <c r="E339" i="9"/>
  <c r="F9" i="3"/>
  <c r="F10" i="3" s="1"/>
  <c r="F11" i="3" s="1"/>
  <c r="F12" i="3" s="1"/>
  <c r="F13" i="3" s="1"/>
  <c r="F14" i="3"/>
  <c r="F15" i="3" s="1"/>
  <c r="F16" i="3" s="1"/>
  <c r="F17" i="3" s="1"/>
  <c r="F18" i="3" s="1"/>
  <c r="F19" i="3"/>
  <c r="F20" i="3"/>
  <c r="F21" i="3"/>
  <c r="F22" i="3" s="1"/>
  <c r="F23" i="3"/>
  <c r="F24" i="3" s="1"/>
  <c r="F25" i="3"/>
  <c r="F26" i="3"/>
  <c r="F27" i="3"/>
  <c r="F28" i="3"/>
  <c r="F29" i="3" s="1"/>
  <c r="F30" i="3" s="1"/>
  <c r="F31" i="3" s="1"/>
  <c r="F32" i="3"/>
  <c r="F33" i="3" s="1"/>
  <c r="F34" i="3"/>
  <c r="F35" i="3"/>
  <c r="F36" i="3" s="1"/>
  <c r="F37" i="3" s="1"/>
  <c r="F38" i="3"/>
  <c r="F39" i="3"/>
  <c r="F40" i="3" s="1"/>
  <c r="F41" i="3"/>
  <c r="F42" i="3" s="1"/>
  <c r="F43" i="3" s="1"/>
  <c r="F44" i="3" s="1"/>
  <c r="F45" i="3"/>
  <c r="F46" i="3"/>
  <c r="F47" i="3" s="1"/>
  <c r="F48" i="3" s="1"/>
  <c r="F49" i="3"/>
  <c r="F50" i="3"/>
  <c r="F51" i="3"/>
  <c r="F52" i="3"/>
  <c r="F53" i="3" s="1"/>
  <c r="F54" i="3"/>
  <c r="F55" i="3"/>
  <c r="F56" i="3" s="1"/>
  <c r="F57" i="3" s="1"/>
  <c r="F58" i="3"/>
  <c r="F59" i="3" s="1"/>
  <c r="F60" i="3" s="1"/>
  <c r="F61" i="3"/>
  <c r="F62" i="3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/>
  <c r="F74" i="3"/>
  <c r="F75" i="3" s="1"/>
  <c r="F76" i="3"/>
  <c r="F77" i="3"/>
  <c r="F78" i="3"/>
  <c r="F79" i="3"/>
  <c r="F80" i="3" s="1"/>
  <c r="F81" i="3" s="1"/>
  <c r="F82" i="3" s="1"/>
  <c r="F83" i="3" s="1"/>
  <c r="F84" i="3" s="1"/>
  <c r="F85" i="3"/>
  <c r="F86" i="3" s="1"/>
  <c r="F87" i="3" s="1"/>
  <c r="F88" i="3" s="1"/>
  <c r="F89" i="3"/>
  <c r="F90" i="3" s="1"/>
  <c r="F91" i="3" s="1"/>
  <c r="F92" i="3" s="1"/>
  <c r="F93" i="3" s="1"/>
  <c r="F94" i="3"/>
  <c r="F95" i="3" s="1"/>
  <c r="F96" i="3"/>
  <c r="F97" i="3" s="1"/>
  <c r="F98" i="3" s="1"/>
  <c r="F99" i="3"/>
  <c r="F100" i="3" s="1"/>
  <c r="F101" i="3" s="1"/>
  <c r="F102" i="3" s="1"/>
  <c r="F103" i="3" s="1"/>
  <c r="F104" i="3" s="1"/>
  <c r="F105" i="3" s="1"/>
  <c r="F106" i="3" s="1"/>
  <c r="F107" i="3"/>
  <c r="F108" i="3" s="1"/>
  <c r="F109" i="3" s="1"/>
  <c r="F110" i="3" s="1"/>
  <c r="F111" i="3"/>
  <c r="F112" i="3" s="1"/>
  <c r="F113" i="3" s="1"/>
  <c r="F114" i="3" s="1"/>
  <c r="F115" i="3" s="1"/>
  <c r="F116" i="3" s="1"/>
  <c r="F117" i="3" s="1"/>
  <c r="F118" i="3" s="1"/>
  <c r="F119" i="3" s="1"/>
  <c r="F120" i="3"/>
  <c r="F121" i="3" s="1"/>
  <c r="F122" i="3" s="1"/>
  <c r="F123" i="3"/>
  <c r="F124" i="3"/>
  <c r="F125" i="3" s="1"/>
  <c r="F126" i="3"/>
  <c r="F127" i="3"/>
  <c r="F128" i="3"/>
  <c r="F129" i="3" s="1"/>
  <c r="F130" i="3"/>
  <c r="F131" i="3"/>
  <c r="F132" i="3" s="1"/>
  <c r="F133" i="3" s="1"/>
  <c r="F134" i="3" s="1"/>
  <c r="F135" i="3" s="1"/>
  <c r="F136" i="3"/>
  <c r="F137" i="3" s="1"/>
  <c r="F138" i="3" s="1"/>
  <c r="F139" i="3" s="1"/>
  <c r="F140" i="3"/>
  <c r="F141" i="3" s="1"/>
  <c r="F142" i="3" s="1"/>
  <c r="F143" i="3" s="1"/>
  <c r="F144" i="3"/>
  <c r="F145" i="3"/>
  <c r="F146" i="3"/>
  <c r="F147" i="3"/>
  <c r="F148" i="3"/>
  <c r="F149" i="3"/>
  <c r="F150" i="3" s="1"/>
  <c r="F151" i="3" s="1"/>
  <c r="F152" i="3" s="1"/>
  <c r="F153" i="3" s="1"/>
  <c r="F154" i="3" s="1"/>
  <c r="F155" i="3" s="1"/>
  <c r="F156" i="3" s="1"/>
  <c r="F157" i="3"/>
  <c r="F158" i="3" s="1"/>
  <c r="F159" i="3" s="1"/>
  <c r="F160" i="3" s="1"/>
  <c r="F161" i="3" s="1"/>
  <c r="F162" i="3" s="1"/>
  <c r="F163" i="3" s="1"/>
  <c r="F164" i="3" s="1"/>
  <c r="F165" i="3" s="1"/>
  <c r="F166" i="3" s="1"/>
  <c r="F167" i="3"/>
  <c r="F168" i="3" s="1"/>
  <c r="F169" i="3" s="1"/>
  <c r="F170" i="3"/>
  <c r="F171" i="3"/>
  <c r="F172" i="3"/>
  <c r="F173" i="3"/>
  <c r="F174" i="3" s="1"/>
  <c r="F175" i="3"/>
  <c r="F176" i="3" s="1"/>
  <c r="F177" i="3" s="1"/>
  <c r="F178" i="3" s="1"/>
  <c r="F179" i="3"/>
  <c r="F180" i="3" s="1"/>
  <c r="F181" i="3" s="1"/>
  <c r="F182" i="3"/>
  <c r="F183" i="3" s="1"/>
  <c r="F184" i="3" s="1"/>
  <c r="F185" i="3" s="1"/>
  <c r="F186" i="3"/>
  <c r="F187" i="3" s="1"/>
  <c r="F188" i="3"/>
  <c r="F189" i="3" s="1"/>
  <c r="F190" i="3" s="1"/>
  <c r="F191" i="3"/>
  <c r="F192" i="3" s="1"/>
  <c r="F193" i="3"/>
  <c r="F194" i="3" s="1"/>
  <c r="F195" i="3"/>
  <c r="F196" i="3" s="1"/>
  <c r="F197" i="3" s="1"/>
  <c r="F198" i="3" s="1"/>
  <c r="F199" i="3" s="1"/>
  <c r="F200" i="3" s="1"/>
  <c r="F201" i="3" s="1"/>
  <c r="F202" i="3"/>
  <c r="F203" i="3"/>
  <c r="F204" i="3" s="1"/>
  <c r="F205" i="3" s="1"/>
  <c r="F206" i="3"/>
  <c r="F207" i="3"/>
  <c r="F208" i="3" s="1"/>
  <c r="F209" i="3" s="1"/>
  <c r="F210" i="3"/>
  <c r="F211" i="3" s="1"/>
  <c r="F212" i="3" s="1"/>
  <c r="F213" i="3" s="1"/>
  <c r="F214" i="3" s="1"/>
  <c r="F215" i="3"/>
  <c r="F216" i="3" s="1"/>
  <c r="F217" i="3"/>
  <c r="F218" i="3" s="1"/>
  <c r="F219" i="3" s="1"/>
  <c r="F220" i="3" s="1"/>
  <c r="F221" i="3" s="1"/>
  <c r="F222" i="3"/>
  <c r="F223" i="3" s="1"/>
  <c r="F224" i="3"/>
  <c r="F225" i="3" s="1"/>
  <c r="F226" i="3"/>
  <c r="F227" i="3"/>
  <c r="F228" i="3" s="1"/>
  <c r="F229" i="3" s="1"/>
  <c r="F230" i="3" s="1"/>
  <c r="F231" i="3" s="1"/>
  <c r="F232" i="3" s="1"/>
  <c r="F233" i="3" s="1"/>
  <c r="F234" i="3"/>
  <c r="F235" i="3"/>
  <c r="F236" i="3" s="1"/>
  <c r="F237" i="3" s="1"/>
  <c r="F238" i="3" s="1"/>
  <c r="F239" i="3"/>
  <c r="F240" i="3" s="1"/>
  <c r="F241" i="3" s="1"/>
  <c r="F242" i="3"/>
  <c r="F243" i="3" s="1"/>
  <c r="F244" i="3" s="1"/>
  <c r="F245" i="3"/>
  <c r="F246" i="3"/>
  <c r="F247" i="3" s="1"/>
  <c r="F248" i="3" s="1"/>
  <c r="F249" i="3" s="1"/>
  <c r="F250" i="3" s="1"/>
  <c r="F251" i="3"/>
  <c r="F252" i="3" s="1"/>
  <c r="F253" i="3"/>
  <c r="F254" i="3"/>
  <c r="F255" i="3"/>
  <c r="F256" i="3" s="1"/>
  <c r="F257" i="3"/>
  <c r="F258" i="3" s="1"/>
  <c r="F259" i="3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/>
  <c r="F271" i="3" s="1"/>
  <c r="F272" i="3"/>
  <c r="F273" i="3"/>
  <c r="F274" i="3" s="1"/>
  <c r="F275" i="3" s="1"/>
  <c r="F276" i="3"/>
  <c r="F277" i="3"/>
  <c r="F278" i="3" s="1"/>
  <c r="F279" i="3" s="1"/>
  <c r="F280" i="3" s="1"/>
  <c r="F281" i="3"/>
  <c r="F282" i="3"/>
  <c r="F283" i="3" s="1"/>
  <c r="F284" i="3" s="1"/>
  <c r="F285" i="3" s="1"/>
  <c r="F286" i="3"/>
  <c r="F287" i="3" s="1"/>
  <c r="F288" i="3" s="1"/>
  <c r="F289" i="3" s="1"/>
  <c r="F290" i="3"/>
  <c r="F291" i="3" s="1"/>
  <c r="F292" i="3"/>
  <c r="F293" i="3" s="1"/>
  <c r="F294" i="3"/>
  <c r="F295" i="3" s="1"/>
  <c r="F296" i="3"/>
  <c r="F297" i="3"/>
  <c r="F298" i="3"/>
  <c r="F299" i="3"/>
  <c r="F300" i="3" s="1"/>
  <c r="F301" i="3" s="1"/>
  <c r="F302" i="3" s="1"/>
  <c r="F303" i="3"/>
  <c r="F304" i="3" s="1"/>
  <c r="F305" i="3" s="1"/>
  <c r="F306" i="3" s="1"/>
  <c r="F307" i="3"/>
  <c r="F308" i="3" s="1"/>
  <c r="F309" i="3" s="1"/>
  <c r="F310" i="3" s="1"/>
  <c r="F311" i="3"/>
  <c r="F312" i="3" s="1"/>
  <c r="F313" i="3" s="1"/>
  <c r="F314" i="3" s="1"/>
  <c r="F315" i="3"/>
  <c r="F316" i="3"/>
  <c r="F317" i="3" s="1"/>
  <c r="F318" i="3"/>
  <c r="F319" i="3"/>
  <c r="F320" i="3" s="1"/>
  <c r="F321" i="3" s="1"/>
  <c r="F322" i="3" s="1"/>
  <c r="F323" i="3"/>
  <c r="F324" i="3" s="1"/>
  <c r="F325" i="3" s="1"/>
  <c r="F326" i="3" s="1"/>
  <c r="F327" i="3"/>
  <c r="F328" i="3" s="1"/>
  <c r="F329" i="3"/>
  <c r="F330" i="3" s="1"/>
  <c r="F331" i="3" s="1"/>
  <c r="F332" i="3" s="1"/>
  <c r="F333" i="3"/>
  <c r="F334" i="3"/>
  <c r="F335" i="3" s="1"/>
  <c r="F336" i="3"/>
  <c r="F337" i="3" s="1"/>
  <c r="F338" i="3"/>
  <c r="F339" i="3" s="1"/>
  <c r="F340" i="3"/>
  <c r="F341" i="3"/>
  <c r="F342" i="3"/>
  <c r="F343" i="3"/>
  <c r="F344" i="3"/>
  <c r="F345" i="3" s="1"/>
  <c r="F346" i="3"/>
  <c r="F347" i="3"/>
  <c r="F348" i="3"/>
  <c r="F349" i="3"/>
  <c r="F350" i="3"/>
  <c r="F351" i="3" s="1"/>
  <c r="F352" i="3"/>
  <c r="F353" i="3" s="1"/>
  <c r="F354" i="3"/>
  <c r="F355" i="3" s="1"/>
  <c r="F356" i="3" s="1"/>
  <c r="F357" i="3" s="1"/>
  <c r="F358" i="3" s="1"/>
  <c r="F359" i="3" s="1"/>
  <c r="F360" i="3"/>
  <c r="F361" i="3"/>
  <c r="F362" i="3" s="1"/>
  <c r="F363" i="3"/>
  <c r="F364" i="3"/>
  <c r="F365" i="3"/>
  <c r="F366" i="3"/>
  <c r="F367" i="3"/>
  <c r="F368" i="3" s="1"/>
  <c r="F369" i="3" s="1"/>
  <c r="F370" i="3" s="1"/>
  <c r="F371" i="3"/>
  <c r="F372" i="3"/>
  <c r="F373" i="3"/>
  <c r="F374" i="3" s="1"/>
  <c r="F375" i="3" s="1"/>
  <c r="F376" i="3"/>
  <c r="F377" i="3" s="1"/>
  <c r="F378" i="3" s="1"/>
  <c r="F379" i="3"/>
  <c r="F380" i="3"/>
  <c r="F381" i="3"/>
  <c r="F382" i="3" s="1"/>
  <c r="F383" i="3"/>
  <c r="F384" i="3" s="1"/>
  <c r="F385" i="3"/>
  <c r="F386" i="3" s="1"/>
  <c r="F387" i="3"/>
  <c r="F388" i="3" s="1"/>
  <c r="F389" i="3"/>
  <c r="F390" i="3"/>
  <c r="F391" i="3" s="1"/>
  <c r="F392" i="3" s="1"/>
  <c r="F393" i="3" s="1"/>
  <c r="F394" i="3"/>
  <c r="F395" i="3"/>
  <c r="F396" i="3"/>
  <c r="F397" i="3"/>
  <c r="F398" i="3"/>
  <c r="F399" i="3" s="1"/>
  <c r="F400" i="3"/>
  <c r="F401" i="3" s="1"/>
  <c r="F402" i="3" s="1"/>
  <c r="F403" i="3" s="1"/>
  <c r="F404" i="3" s="1"/>
  <c r="F405" i="3" s="1"/>
  <c r="F406" i="3"/>
  <c r="F407" i="3"/>
  <c r="F408" i="3" s="1"/>
  <c r="F409" i="3" s="1"/>
  <c r="F410" i="3" s="1"/>
  <c r="F411" i="3"/>
  <c r="F412" i="3"/>
  <c r="F413" i="3"/>
  <c r="F414" i="3" s="1"/>
  <c r="F415" i="3" s="1"/>
  <c r="F416" i="3" s="1"/>
  <c r="F417" i="3"/>
  <c r="F418" i="3"/>
  <c r="F419" i="3" s="1"/>
  <c r="F420" i="3" s="1"/>
  <c r="F421" i="3"/>
  <c r="F422" i="3"/>
  <c r="F423" i="3"/>
  <c r="F424" i="3"/>
  <c r="F425" i="3" s="1"/>
  <c r="F426" i="3" s="1"/>
  <c r="F427" i="3" s="1"/>
  <c r="F428" i="3" s="1"/>
  <c r="F429" i="3"/>
  <c r="F430" i="3" s="1"/>
  <c r="F431" i="3" s="1"/>
  <c r="F432" i="3" s="1"/>
  <c r="F433" i="3"/>
  <c r="F434" i="3"/>
  <c r="F435" i="3"/>
  <c r="F436" i="3" s="1"/>
  <c r="F437" i="3"/>
  <c r="F438" i="3"/>
  <c r="F439" i="3"/>
  <c r="F440" i="3" s="1"/>
  <c r="F441" i="3"/>
  <c r="F442" i="3" s="1"/>
  <c r="F443" i="3"/>
  <c r="F444" i="3"/>
  <c r="F445" i="3" s="1"/>
  <c r="F446" i="3" s="1"/>
  <c r="F447" i="3"/>
  <c r="F448" i="3" s="1"/>
  <c r="F449" i="3"/>
  <c r="F450" i="3"/>
  <c r="F451" i="3"/>
  <c r="F452" i="3"/>
  <c r="F453" i="3"/>
  <c r="F454" i="3"/>
  <c r="F455" i="3"/>
  <c r="F456" i="3"/>
  <c r="F457" i="3"/>
  <c r="F458" i="3" s="1"/>
  <c r="F459" i="3"/>
  <c r="F460" i="3"/>
  <c r="F461" i="3"/>
  <c r="F462" i="3" s="1"/>
  <c r="F463" i="3" s="1"/>
  <c r="F464" i="3" s="1"/>
  <c r="F465" i="3"/>
  <c r="F466" i="3"/>
  <c r="F467" i="3"/>
  <c r="F468" i="3" s="1"/>
  <c r="F469" i="3" s="1"/>
  <c r="F470" i="3"/>
  <c r="F471" i="3" s="1"/>
  <c r="F472" i="3"/>
  <c r="F473" i="3"/>
  <c r="F474" i="3"/>
  <c r="F475" i="3" s="1"/>
  <c r="F476" i="3" s="1"/>
  <c r="F477" i="3"/>
  <c r="F478" i="3"/>
  <c r="F479" i="3"/>
  <c r="F480" i="3" s="1"/>
  <c r="F481" i="3" s="1"/>
  <c r="F482" i="3"/>
  <c r="F483" i="3"/>
  <c r="F484" i="3" s="1"/>
  <c r="F485" i="3"/>
  <c r="F486" i="3"/>
  <c r="F487" i="3" s="1"/>
  <c r="F488" i="3"/>
  <c r="F489" i="3"/>
  <c r="F490" i="3" s="1"/>
  <c r="F491" i="3"/>
  <c r="F492" i="3"/>
  <c r="F493" i="3"/>
  <c r="F494" i="3" s="1"/>
  <c r="F495" i="3" s="1"/>
  <c r="F496" i="3"/>
  <c r="F497" i="3"/>
  <c r="F498" i="3"/>
  <c r="F499" i="3"/>
  <c r="F500" i="3" s="1"/>
  <c r="F501" i="3" s="1"/>
  <c r="F3" i="3"/>
  <c r="F4" i="3" s="1"/>
  <c r="F5" i="3" s="1"/>
  <c r="F6" i="3" s="1"/>
  <c r="F7" i="3" s="1"/>
  <c r="F8" i="3" s="1"/>
  <c r="E4" i="3"/>
  <c r="E5" i="3"/>
  <c r="E6" i="3" s="1"/>
  <c r="E7" i="3"/>
  <c r="E8" i="3" s="1"/>
  <c r="E9" i="3"/>
  <c r="E10" i="3"/>
  <c r="E11" i="3" s="1"/>
  <c r="E12" i="3" s="1"/>
  <c r="E13" i="3" s="1"/>
  <c r="E14" i="3"/>
  <c r="E15" i="3"/>
  <c r="E16" i="3"/>
  <c r="E17" i="3" s="1"/>
  <c r="E18" i="3"/>
  <c r="E19" i="3"/>
  <c r="E20" i="3"/>
  <c r="E21" i="3"/>
  <c r="E22" i="3"/>
  <c r="E23" i="3"/>
  <c r="E24" i="3"/>
  <c r="E25" i="3" s="1"/>
  <c r="E26" i="3"/>
  <c r="E27" i="3"/>
  <c r="E28" i="3"/>
  <c r="E29" i="3"/>
  <c r="E30" i="3" s="1"/>
  <c r="E31" i="3"/>
  <c r="E32" i="3"/>
  <c r="E33" i="3"/>
  <c r="E34" i="3"/>
  <c r="E35" i="3"/>
  <c r="E36" i="3"/>
  <c r="E37" i="3"/>
  <c r="E38" i="3" s="1"/>
  <c r="E39" i="3"/>
  <c r="E40" i="3"/>
  <c r="E41" i="3"/>
  <c r="E42" i="3" s="1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 s="1"/>
  <c r="E57" i="3"/>
  <c r="E58" i="3"/>
  <c r="E59" i="3"/>
  <c r="E60" i="3"/>
  <c r="E61" i="3"/>
  <c r="E62" i="3" s="1"/>
  <c r="E63" i="3"/>
  <c r="E64" i="3"/>
  <c r="E65" i="3"/>
  <c r="E66" i="3"/>
  <c r="E67" i="3" s="1"/>
  <c r="E68" i="3"/>
  <c r="E69" i="3"/>
  <c r="E70" i="3"/>
  <c r="E71" i="3"/>
  <c r="E72" i="3" s="1"/>
  <c r="E73" i="3"/>
  <c r="E74" i="3" s="1"/>
  <c r="E75" i="3"/>
  <c r="E76" i="3"/>
  <c r="E77" i="3"/>
  <c r="E78" i="3"/>
  <c r="E79" i="3" s="1"/>
  <c r="E80" i="3"/>
  <c r="E81" i="3"/>
  <c r="E82" i="3"/>
  <c r="E83" i="3"/>
  <c r="E84" i="3"/>
  <c r="E85" i="3"/>
  <c r="E86" i="3"/>
  <c r="E87" i="3" s="1"/>
  <c r="E88" i="3"/>
  <c r="E89" i="3"/>
  <c r="E90" i="3" s="1"/>
  <c r="E91" i="3"/>
  <c r="E92" i="3"/>
  <c r="E93" i="3"/>
  <c r="E94" i="3" s="1"/>
  <c r="E95" i="3" s="1"/>
  <c r="E96" i="3"/>
  <c r="E97" i="3"/>
  <c r="E98" i="3" s="1"/>
  <c r="E99" i="3" s="1"/>
  <c r="E100" i="3"/>
  <c r="E101" i="3"/>
  <c r="E102" i="3" s="1"/>
  <c r="E103" i="3" s="1"/>
  <c r="E104" i="3"/>
  <c r="E105" i="3"/>
  <c r="E106" i="3"/>
  <c r="E107" i="3"/>
  <c r="E108" i="3"/>
  <c r="E109" i="3"/>
  <c r="E110" i="3"/>
  <c r="E111" i="3"/>
  <c r="E112" i="3"/>
  <c r="E113" i="3"/>
  <c r="E114" i="3" s="1"/>
  <c r="E115" i="3"/>
  <c r="E116" i="3"/>
  <c r="E117" i="3"/>
  <c r="E118" i="3"/>
  <c r="E119" i="3" s="1"/>
  <c r="E120" i="3" s="1"/>
  <c r="E121" i="3"/>
  <c r="E122" i="3"/>
  <c r="E123" i="3"/>
  <c r="E124" i="3" s="1"/>
  <c r="E125" i="3" s="1"/>
  <c r="E126" i="3" s="1"/>
  <c r="E127" i="3"/>
  <c r="E128" i="3" s="1"/>
  <c r="E129" i="3" s="1"/>
  <c r="E130" i="3"/>
  <c r="E131" i="3"/>
  <c r="E132" i="3"/>
  <c r="E133" i="3" s="1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 s="1"/>
  <c r="E149" i="3" s="1"/>
  <c r="E150" i="3"/>
  <c r="E151" i="3"/>
  <c r="E152" i="3"/>
  <c r="E153" i="3"/>
  <c r="E154" i="3"/>
  <c r="E155" i="3" s="1"/>
  <c r="E156" i="3"/>
  <c r="E157" i="3"/>
  <c r="E158" i="3"/>
  <c r="E159" i="3"/>
  <c r="E160" i="3"/>
  <c r="E161" i="3"/>
  <c r="E162" i="3"/>
  <c r="E163" i="3"/>
  <c r="E164" i="3"/>
  <c r="E165" i="3"/>
  <c r="E166" i="3" s="1"/>
  <c r="E167" i="3"/>
  <c r="E168" i="3"/>
  <c r="E169" i="3"/>
  <c r="E170" i="3"/>
  <c r="E171" i="3"/>
  <c r="E172" i="3"/>
  <c r="E173" i="3"/>
  <c r="E174" i="3" s="1"/>
  <c r="E175" i="3"/>
  <c r="E176" i="3"/>
  <c r="E177" i="3"/>
  <c r="E178" i="3"/>
  <c r="E179" i="3"/>
  <c r="E180" i="3"/>
  <c r="E181" i="3"/>
  <c r="E182" i="3" s="1"/>
  <c r="E183" i="3" s="1"/>
  <c r="E184" i="3"/>
  <c r="E185" i="3"/>
  <c r="E186" i="3" s="1"/>
  <c r="E187" i="3"/>
  <c r="E188" i="3"/>
  <c r="E189" i="3"/>
  <c r="E190" i="3" s="1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 s="1"/>
  <c r="E204" i="3"/>
  <c r="E205" i="3"/>
  <c r="E206" i="3"/>
  <c r="E207" i="3"/>
  <c r="E208" i="3"/>
  <c r="E209" i="3"/>
  <c r="E210" i="3"/>
  <c r="E211" i="3" s="1"/>
  <c r="E212" i="3"/>
  <c r="E213" i="3"/>
  <c r="E214" i="3"/>
  <c r="E215" i="3"/>
  <c r="E216" i="3"/>
  <c r="E217" i="3"/>
  <c r="E218" i="3"/>
  <c r="E219" i="3"/>
  <c r="E220" i="3"/>
  <c r="E221" i="3"/>
  <c r="E222" i="3"/>
  <c r="E223" i="3" s="1"/>
  <c r="E224" i="3"/>
  <c r="E225" i="3"/>
  <c r="E226" i="3" s="1"/>
  <c r="E227" i="3"/>
  <c r="E228" i="3" s="1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 s="1"/>
  <c r="E244" i="3"/>
  <c r="E245" i="3"/>
  <c r="E246" i="3"/>
  <c r="E247" i="3" s="1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 s="1"/>
  <c r="E266" i="3"/>
  <c r="E267" i="3"/>
  <c r="E268" i="3"/>
  <c r="E269" i="3" s="1"/>
  <c r="E270" i="3"/>
  <c r="E271" i="3"/>
  <c r="E272" i="3" s="1"/>
  <c r="E273" i="3"/>
  <c r="E274" i="3"/>
  <c r="E275" i="3"/>
  <c r="E276" i="3"/>
  <c r="E277" i="3"/>
  <c r="E278" i="3" s="1"/>
  <c r="E279" i="3"/>
  <c r="E280" i="3" s="1"/>
  <c r="E281" i="3"/>
  <c r="E282" i="3"/>
  <c r="E283" i="3"/>
  <c r="E284" i="3"/>
  <c r="E285" i="3" s="1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 s="1"/>
  <c r="E299" i="3"/>
  <c r="E300" i="3"/>
  <c r="E301" i="3" s="1"/>
  <c r="E302" i="3"/>
  <c r="E303" i="3"/>
  <c r="E304" i="3"/>
  <c r="E305" i="3"/>
  <c r="E306" i="3"/>
  <c r="E307" i="3" s="1"/>
  <c r="E308" i="3"/>
  <c r="E309" i="3"/>
  <c r="E310" i="3"/>
  <c r="E311" i="3"/>
  <c r="E312" i="3"/>
  <c r="E313" i="3"/>
  <c r="E314" i="3"/>
  <c r="E315" i="3"/>
  <c r="E316" i="3" s="1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 s="1"/>
  <c r="E333" i="3"/>
  <c r="E334" i="3"/>
  <c r="E335" i="3"/>
  <c r="E336" i="3"/>
  <c r="E337" i="3"/>
  <c r="E338" i="3"/>
  <c r="E339" i="3"/>
  <c r="E340" i="3"/>
  <c r="E341" i="3"/>
  <c r="E342" i="3"/>
  <c r="E343" i="3"/>
  <c r="E344" i="3" s="1"/>
  <c r="E345" i="3"/>
  <c r="E346" i="3" s="1"/>
  <c r="E347" i="3"/>
  <c r="E348" i="3"/>
  <c r="E349" i="3" s="1"/>
  <c r="E350" i="3"/>
  <c r="E351" i="3"/>
  <c r="E352" i="3"/>
  <c r="E353" i="3" s="1"/>
  <c r="E354" i="3"/>
  <c r="E355" i="3"/>
  <c r="E356" i="3"/>
  <c r="E357" i="3"/>
  <c r="E358" i="3"/>
  <c r="E359" i="3"/>
  <c r="E360" i="3" s="1"/>
  <c r="E361" i="3"/>
  <c r="E362" i="3"/>
  <c r="E363" i="3"/>
  <c r="E364" i="3"/>
  <c r="E365" i="3"/>
  <c r="E366" i="3"/>
  <c r="E367" i="3"/>
  <c r="E368" i="3"/>
  <c r="E369" i="3"/>
  <c r="E370" i="3" s="1"/>
  <c r="E371" i="3"/>
  <c r="E372" i="3" s="1"/>
  <c r="E373" i="3"/>
  <c r="E374" i="3"/>
  <c r="E375" i="3"/>
  <c r="E376" i="3" s="1"/>
  <c r="E377" i="3" s="1"/>
  <c r="E378" i="3"/>
  <c r="E379" i="3"/>
  <c r="E380" i="3"/>
  <c r="E381" i="3" s="1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 s="1"/>
  <c r="E406" i="3" s="1"/>
  <c r="E407" i="3"/>
  <c r="E408" i="3"/>
  <c r="E409" i="3"/>
  <c r="E410" i="3"/>
  <c r="E411" i="3"/>
  <c r="E412" i="3" s="1"/>
  <c r="E413" i="3"/>
  <c r="E414" i="3"/>
  <c r="E415" i="3"/>
  <c r="E416" i="3"/>
  <c r="E417" i="3"/>
  <c r="E418" i="3" s="1"/>
  <c r="E419" i="3" s="1"/>
  <c r="E420" i="3"/>
  <c r="E421" i="3"/>
  <c r="E422" i="3"/>
  <c r="E423" i="3"/>
  <c r="E424" i="3"/>
  <c r="E425" i="3"/>
  <c r="E426" i="3" s="1"/>
  <c r="E427" i="3"/>
  <c r="E428" i="3" s="1"/>
  <c r="E429" i="3"/>
  <c r="E430" i="3" s="1"/>
  <c r="E431" i="3"/>
  <c r="E432" i="3"/>
  <c r="E433" i="3"/>
  <c r="E434" i="3"/>
  <c r="E435" i="3"/>
  <c r="E436" i="3" s="1"/>
  <c r="E437" i="3"/>
  <c r="E438" i="3"/>
  <c r="E439" i="3" s="1"/>
  <c r="E440" i="3"/>
  <c r="E441" i="3" s="1"/>
  <c r="E442" i="3"/>
  <c r="E443" i="3"/>
  <c r="E444" i="3"/>
  <c r="E445" i="3" s="1"/>
  <c r="E446" i="3"/>
  <c r="E447" i="3"/>
  <c r="E448" i="3"/>
  <c r="E449" i="3" s="1"/>
  <c r="E450" i="3"/>
  <c r="E451" i="3"/>
  <c r="E452" i="3"/>
  <c r="E453" i="3" s="1"/>
  <c r="E454" i="3"/>
  <c r="E455" i="3"/>
  <c r="E456" i="3" s="1"/>
  <c r="E457" i="3"/>
  <c r="E458" i="3" s="1"/>
  <c r="E459" i="3"/>
  <c r="E460" i="3"/>
  <c r="E461" i="3"/>
  <c r="E462" i="3"/>
  <c r="E463" i="3"/>
  <c r="E464" i="3"/>
  <c r="E465" i="3"/>
  <c r="E466" i="3" s="1"/>
  <c r="E467" i="3"/>
  <c r="E468" i="3"/>
  <c r="E469" i="3" s="1"/>
  <c r="E470" i="3"/>
  <c r="E471" i="3"/>
  <c r="E472" i="3" s="1"/>
  <c r="E473" i="3" s="1"/>
  <c r="E474" i="3"/>
  <c r="E475" i="3"/>
  <c r="E476" i="3"/>
  <c r="E477" i="3"/>
  <c r="E478" i="3" s="1"/>
  <c r="E479" i="3"/>
  <c r="E480" i="3"/>
  <c r="E481" i="3"/>
  <c r="E482" i="3"/>
  <c r="E483" i="3" s="1"/>
  <c r="E484" i="3"/>
  <c r="E485" i="3"/>
  <c r="E486" i="3"/>
  <c r="E487" i="3"/>
  <c r="E488" i="3" s="1"/>
  <c r="E489" i="3"/>
  <c r="E490" i="3"/>
  <c r="E491" i="3" s="1"/>
  <c r="E492" i="3"/>
  <c r="E493" i="3"/>
  <c r="E494" i="3"/>
  <c r="E495" i="3" s="1"/>
  <c r="E496" i="3"/>
  <c r="E497" i="3"/>
  <c r="E498" i="3"/>
  <c r="E499" i="3"/>
  <c r="E500" i="3"/>
  <c r="E501" i="3"/>
  <c r="E3" i="3"/>
  <c r="H2" i="3" s="1"/>
  <c r="D6" i="3"/>
  <c r="D7" i="3"/>
  <c r="D8" i="3" s="1"/>
  <c r="D9" i="3"/>
  <c r="D10" i="3" s="1"/>
  <c r="D11" i="3"/>
  <c r="D12" i="3" s="1"/>
  <c r="D13" i="3"/>
  <c r="D14" i="3" s="1"/>
  <c r="D15" i="3" s="1"/>
  <c r="D16" i="3" s="1"/>
  <c r="D17" i="3"/>
  <c r="D18" i="3"/>
  <c r="D19" i="3"/>
  <c r="D20" i="3" s="1"/>
  <c r="D21" i="3" s="1"/>
  <c r="D22" i="3" s="1"/>
  <c r="D23" i="3" s="1"/>
  <c r="D24" i="3" s="1"/>
  <c r="D25" i="3"/>
  <c r="D26" i="3"/>
  <c r="D27" i="3" s="1"/>
  <c r="D28" i="3" s="1"/>
  <c r="D29" i="3"/>
  <c r="D30" i="3"/>
  <c r="D31" i="3"/>
  <c r="D32" i="3" s="1"/>
  <c r="D33" i="3"/>
  <c r="D34" i="3"/>
  <c r="D35" i="3" s="1"/>
  <c r="D36" i="3" s="1"/>
  <c r="D37" i="3"/>
  <c r="D38" i="3"/>
  <c r="D39" i="3" s="1"/>
  <c r="D40" i="3" s="1"/>
  <c r="D41" i="3"/>
  <c r="D42" i="3"/>
  <c r="D43" i="3"/>
  <c r="D44" i="3" s="1"/>
  <c r="D45" i="3"/>
  <c r="D46" i="3"/>
  <c r="D47" i="3"/>
  <c r="D48" i="3" s="1"/>
  <c r="D49" i="3" s="1"/>
  <c r="D50" i="3" s="1"/>
  <c r="D51" i="3" s="1"/>
  <c r="D52" i="3" s="1"/>
  <c r="D53" i="3"/>
  <c r="D54" i="3"/>
  <c r="D55" i="3"/>
  <c r="D56" i="3" s="1"/>
  <c r="D57" i="3" s="1"/>
  <c r="D58" i="3" s="1"/>
  <c r="D59" i="3" s="1"/>
  <c r="D60" i="3"/>
  <c r="D61" i="3"/>
  <c r="D62" i="3" s="1"/>
  <c r="D63" i="3" s="1"/>
  <c r="D64" i="3"/>
  <c r="D65" i="3"/>
  <c r="D66" i="3"/>
  <c r="D67" i="3" s="1"/>
  <c r="D68" i="3" s="1"/>
  <c r="D69" i="3"/>
  <c r="D70" i="3"/>
  <c r="D71" i="3" s="1"/>
  <c r="D72" i="3" s="1"/>
  <c r="D73" i="3"/>
  <c r="D74" i="3"/>
  <c r="D75" i="3"/>
  <c r="D76" i="3" s="1"/>
  <c r="D77" i="3"/>
  <c r="D78" i="3" s="1"/>
  <c r="D79" i="3"/>
  <c r="D80" i="3"/>
  <c r="D81" i="3" s="1"/>
  <c r="D82" i="3"/>
  <c r="D83" i="3"/>
  <c r="D84" i="3" s="1"/>
  <c r="D85" i="3" s="1"/>
  <c r="D86" i="3"/>
  <c r="D87" i="3"/>
  <c r="D88" i="3"/>
  <c r="D89" i="3"/>
  <c r="D90" i="3" s="1"/>
  <c r="D91" i="3"/>
  <c r="D92" i="3" s="1"/>
  <c r="D93" i="3"/>
  <c r="D94" i="3"/>
  <c r="D95" i="3" s="1"/>
  <c r="D96" i="3" s="1"/>
  <c r="D97" i="3"/>
  <c r="D98" i="3" s="1"/>
  <c r="D99" i="3" s="1"/>
  <c r="D100" i="3"/>
  <c r="D101" i="3"/>
  <c r="D102" i="3"/>
  <c r="D103" i="3"/>
  <c r="D104" i="3"/>
  <c r="D105" i="3"/>
  <c r="D106" i="3"/>
  <c r="D107" i="3" s="1"/>
  <c r="D108" i="3"/>
  <c r="D109" i="3"/>
  <c r="D110" i="3"/>
  <c r="D111" i="3"/>
  <c r="D112" i="3"/>
  <c r="D113" i="3" s="1"/>
  <c r="D114" i="3"/>
  <c r="D115" i="3" s="1"/>
  <c r="D116" i="3" s="1"/>
  <c r="D117" i="3"/>
  <c r="D118" i="3"/>
  <c r="D119" i="3"/>
  <c r="D120" i="3" s="1"/>
  <c r="D121" i="3" s="1"/>
  <c r="D122" i="3" s="1"/>
  <c r="D123" i="3"/>
  <c r="D124" i="3"/>
  <c r="D125" i="3"/>
  <c r="D126" i="3" s="1"/>
  <c r="D127" i="3" s="1"/>
  <c r="D128" i="3" s="1"/>
  <c r="D129" i="3" s="1"/>
  <c r="D130" i="3"/>
  <c r="D131" i="3"/>
  <c r="D132" i="3" s="1"/>
  <c r="D133" i="3" s="1"/>
  <c r="D134" i="3"/>
  <c r="D135" i="3" s="1"/>
  <c r="D136" i="3"/>
  <c r="D137" i="3"/>
  <c r="D138" i="3" s="1"/>
  <c r="D139" i="3" s="1"/>
  <c r="D140" i="3"/>
  <c r="D141" i="3"/>
  <c r="D142" i="3"/>
  <c r="D143" i="3"/>
  <c r="D144" i="3" s="1"/>
  <c r="D145" i="3"/>
  <c r="D146" i="3"/>
  <c r="D147" i="3"/>
  <c r="D148" i="3"/>
  <c r="D149" i="3"/>
  <c r="D150" i="3" s="1"/>
  <c r="D151" i="3" s="1"/>
  <c r="D152" i="3" s="1"/>
  <c r="D153" i="3"/>
  <c r="D154" i="3" s="1"/>
  <c r="D155" i="3" s="1"/>
  <c r="D156" i="3" s="1"/>
  <c r="D157" i="3" s="1"/>
  <c r="D158" i="3"/>
  <c r="D159" i="3" s="1"/>
  <c r="D160" i="3"/>
  <c r="D161" i="3"/>
  <c r="D162" i="3"/>
  <c r="D163" i="3"/>
  <c r="D164" i="3" s="1"/>
  <c r="D165" i="3" s="1"/>
  <c r="D166" i="3"/>
  <c r="D167" i="3" s="1"/>
  <c r="D168" i="3" s="1"/>
  <c r="D169" i="3"/>
  <c r="D170" i="3"/>
  <c r="D171" i="3"/>
  <c r="D172" i="3"/>
  <c r="D173" i="3" s="1"/>
  <c r="D174" i="3" s="1"/>
  <c r="D175" i="3"/>
  <c r="D176" i="3" s="1"/>
  <c r="D177" i="3"/>
  <c r="D178" i="3"/>
  <c r="D179" i="3" s="1"/>
  <c r="D180" i="3" s="1"/>
  <c r="D181" i="3" s="1"/>
  <c r="D182" i="3" s="1"/>
  <c r="D183" i="3" s="1"/>
  <c r="D184" i="3"/>
  <c r="D185" i="3"/>
  <c r="D186" i="3"/>
  <c r="D187" i="3" s="1"/>
  <c r="D188" i="3" s="1"/>
  <c r="D189" i="3" s="1"/>
  <c r="D190" i="3"/>
  <c r="D191" i="3"/>
  <c r="D192" i="3" s="1"/>
  <c r="D193" i="3"/>
  <c r="D194" i="3"/>
  <c r="D195" i="3" s="1"/>
  <c r="D196" i="3"/>
  <c r="D197" i="3" s="1"/>
  <c r="D198" i="3"/>
  <c r="D199" i="3" s="1"/>
  <c r="D200" i="3" s="1"/>
  <c r="D201" i="3" s="1"/>
  <c r="D202" i="3"/>
  <c r="D203" i="3"/>
  <c r="D204" i="3" s="1"/>
  <c r="D205" i="3" s="1"/>
  <c r="D206" i="3"/>
  <c r="D207" i="3" s="1"/>
  <c r="D208" i="3" s="1"/>
  <c r="D209" i="3"/>
  <c r="D210" i="3"/>
  <c r="D211" i="3" s="1"/>
  <c r="D212" i="3" s="1"/>
  <c r="D213" i="3"/>
  <c r="D214" i="3" s="1"/>
  <c r="D215" i="3"/>
  <c r="D216" i="3"/>
  <c r="D217" i="3"/>
  <c r="D218" i="3" s="1"/>
  <c r="D219" i="3" s="1"/>
  <c r="D220" i="3" s="1"/>
  <c r="D221" i="3"/>
  <c r="D222" i="3"/>
  <c r="D223" i="3"/>
  <c r="D224" i="3" s="1"/>
  <c r="D225" i="3"/>
  <c r="D226" i="3"/>
  <c r="D227" i="3"/>
  <c r="D228" i="3" s="1"/>
  <c r="D229" i="3"/>
  <c r="D230" i="3"/>
  <c r="D231" i="3" s="1"/>
  <c r="D232" i="3"/>
  <c r="D233" i="3"/>
  <c r="D234" i="3"/>
  <c r="D235" i="3" s="1"/>
  <c r="D236" i="3" s="1"/>
  <c r="D237" i="3"/>
  <c r="D238" i="3" s="1"/>
  <c r="D239" i="3"/>
  <c r="D240" i="3" s="1"/>
  <c r="D241" i="3" s="1"/>
  <c r="D242" i="3"/>
  <c r="D243" i="3"/>
  <c r="D244" i="3" s="1"/>
  <c r="D245" i="3" s="1"/>
  <c r="D246" i="3" s="1"/>
  <c r="D247" i="3" s="1"/>
  <c r="D248" i="3" s="1"/>
  <c r="D249" i="3"/>
  <c r="D250" i="3"/>
  <c r="D251" i="3"/>
  <c r="D252" i="3"/>
  <c r="D253" i="3"/>
  <c r="D254" i="3"/>
  <c r="D255" i="3"/>
  <c r="D256" i="3" s="1"/>
  <c r="D257" i="3"/>
  <c r="D258" i="3" s="1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 s="1"/>
  <c r="D273" i="3"/>
  <c r="D274" i="3"/>
  <c r="D275" i="3"/>
  <c r="D276" i="3"/>
  <c r="D277" i="3"/>
  <c r="D278" i="3" s="1"/>
  <c r="D279" i="3" s="1"/>
  <c r="D280" i="3"/>
  <c r="D281" i="3"/>
  <c r="D282" i="3" s="1"/>
  <c r="D283" i="3" s="1"/>
  <c r="D284" i="3" s="1"/>
  <c r="D285" i="3" s="1"/>
  <c r="D286" i="3" s="1"/>
  <c r="D287" i="3" s="1"/>
  <c r="D288" i="3"/>
  <c r="D289" i="3"/>
  <c r="D290" i="3"/>
  <c r="D291" i="3"/>
  <c r="D292" i="3" s="1"/>
  <c r="D293" i="3"/>
  <c r="D294" i="3"/>
  <c r="D295" i="3"/>
  <c r="D296" i="3"/>
  <c r="D297" i="3"/>
  <c r="D298" i="3"/>
  <c r="D299" i="3"/>
  <c r="D300" i="3" s="1"/>
  <c r="D301" i="3"/>
  <c r="D302" i="3" s="1"/>
  <c r="D303" i="3" s="1"/>
  <c r="D304" i="3" s="1"/>
  <c r="D305" i="3"/>
  <c r="D306" i="3"/>
  <c r="D307" i="3" s="1"/>
  <c r="D308" i="3"/>
  <c r="D309" i="3" s="1"/>
  <c r="D310" i="3"/>
  <c r="D311" i="3" s="1"/>
  <c r="D312" i="3"/>
  <c r="D313" i="3"/>
  <c r="D314" i="3"/>
  <c r="D315" i="3" s="1"/>
  <c r="D316" i="3" s="1"/>
  <c r="D317" i="3" s="1"/>
  <c r="D318" i="3"/>
  <c r="D319" i="3" s="1"/>
  <c r="D320" i="3" s="1"/>
  <c r="D321" i="3" s="1"/>
  <c r="D322" i="3" s="1"/>
  <c r="D323" i="3" s="1"/>
  <c r="D324" i="3"/>
  <c r="D325" i="3" s="1"/>
  <c r="D326" i="3" s="1"/>
  <c r="D327" i="3" s="1"/>
  <c r="D328" i="3" s="1"/>
  <c r="D329" i="3" s="1"/>
  <c r="D330" i="3"/>
  <c r="D331" i="3"/>
  <c r="D332" i="3" s="1"/>
  <c r="D333" i="3" s="1"/>
  <c r="D334" i="3" s="1"/>
  <c r="D335" i="3" s="1"/>
  <c r="D336" i="3" s="1"/>
  <c r="D337" i="3" s="1"/>
  <c r="D338" i="3"/>
  <c r="D339" i="3" s="1"/>
  <c r="D340" i="3" s="1"/>
  <c r="D341" i="3"/>
  <c r="D342" i="3" s="1"/>
  <c r="D343" i="3"/>
  <c r="D344" i="3"/>
  <c r="D345" i="3"/>
  <c r="D346" i="3" s="1"/>
  <c r="D347" i="3" s="1"/>
  <c r="D348" i="3" s="1"/>
  <c r="D349" i="3"/>
  <c r="D350" i="3" s="1"/>
  <c r="D351" i="3" s="1"/>
  <c r="D352" i="3" s="1"/>
  <c r="D353" i="3" s="1"/>
  <c r="D354" i="3"/>
  <c r="D355" i="3"/>
  <c r="D356" i="3" s="1"/>
  <c r="D357" i="3"/>
  <c r="D358" i="3"/>
  <c r="D359" i="3" s="1"/>
  <c r="D360" i="3" s="1"/>
  <c r="D361" i="3" s="1"/>
  <c r="D362" i="3"/>
  <c r="D363" i="3"/>
  <c r="D364" i="3" s="1"/>
  <c r="D365" i="3"/>
  <c r="D366" i="3"/>
  <c r="D367" i="3" s="1"/>
  <c r="D368" i="3"/>
  <c r="D369" i="3"/>
  <c r="D370" i="3"/>
  <c r="D371" i="3" s="1"/>
  <c r="D372" i="3"/>
  <c r="D373" i="3"/>
  <c r="D374" i="3" s="1"/>
  <c r="D375" i="3"/>
  <c r="D376" i="3" s="1"/>
  <c r="D377" i="3"/>
  <c r="D378" i="3" s="1"/>
  <c r="D379" i="3" s="1"/>
  <c r="D380" i="3" s="1"/>
  <c r="D381" i="3" s="1"/>
  <c r="D382" i="3" s="1"/>
  <c r="D383" i="3" s="1"/>
  <c r="D384" i="3" s="1"/>
  <c r="D385" i="3"/>
  <c r="D386" i="3"/>
  <c r="D387" i="3"/>
  <c r="D388" i="3"/>
  <c r="D389" i="3"/>
  <c r="D390" i="3" s="1"/>
  <c r="D391" i="3"/>
  <c r="D392" i="3"/>
  <c r="D393" i="3"/>
  <c r="D394" i="3" s="1"/>
  <c r="D395" i="3" s="1"/>
  <c r="D396" i="3" s="1"/>
  <c r="D397" i="3" s="1"/>
  <c r="D398" i="3"/>
  <c r="D399" i="3" s="1"/>
  <c r="D400" i="3"/>
  <c r="D401" i="3"/>
  <c r="D402" i="3"/>
  <c r="D403" i="3" s="1"/>
  <c r="D404" i="3"/>
  <c r="D405" i="3" s="1"/>
  <c r="D406" i="3"/>
  <c r="D407" i="3" s="1"/>
  <c r="D408" i="3" s="1"/>
  <c r="D409" i="3"/>
  <c r="D410" i="3"/>
  <c r="D411" i="3"/>
  <c r="D412" i="3"/>
  <c r="D413" i="3" s="1"/>
  <c r="D414" i="3" s="1"/>
  <c r="D415" i="3"/>
  <c r="D416" i="3"/>
  <c r="D417" i="3"/>
  <c r="D418" i="3" s="1"/>
  <c r="D419" i="3" s="1"/>
  <c r="D420" i="3" s="1"/>
  <c r="D421" i="3" s="1"/>
  <c r="D422" i="3" s="1"/>
  <c r="D423" i="3" s="1"/>
  <c r="D424" i="3" s="1"/>
  <c r="D425" i="3"/>
  <c r="D426" i="3" s="1"/>
  <c r="D427" i="3" s="1"/>
  <c r="D428" i="3" s="1"/>
  <c r="D429" i="3" s="1"/>
  <c r="D430" i="3"/>
  <c r="D431" i="3" s="1"/>
  <c r="D432" i="3"/>
  <c r="D433" i="3"/>
  <c r="D434" i="3"/>
  <c r="D435" i="3" s="1"/>
  <c r="D436" i="3" s="1"/>
  <c r="D437" i="3"/>
  <c r="D438" i="3"/>
  <c r="D439" i="3"/>
  <c r="D440" i="3" s="1"/>
  <c r="D441" i="3" s="1"/>
  <c r="D442" i="3" s="1"/>
  <c r="D443" i="3"/>
  <c r="D444" i="3"/>
  <c r="D445" i="3"/>
  <c r="D446" i="3"/>
  <c r="D447" i="3"/>
  <c r="D448" i="3" s="1"/>
  <c r="D449" i="3" s="1"/>
  <c r="D450" i="3"/>
  <c r="D451" i="3"/>
  <c r="D452" i="3" s="1"/>
  <c r="D453" i="3"/>
  <c r="D454" i="3" s="1"/>
  <c r="D455" i="3" s="1"/>
  <c r="D456" i="3" s="1"/>
  <c r="D457" i="3" s="1"/>
  <c r="D458" i="3"/>
  <c r="D459" i="3"/>
  <c r="D460" i="3"/>
  <c r="D461" i="3" s="1"/>
  <c r="D462" i="3" s="1"/>
  <c r="D463" i="3"/>
  <c r="D464" i="3"/>
  <c r="D465" i="3" s="1"/>
  <c r="D466" i="3" s="1"/>
  <c r="D467" i="3" s="1"/>
  <c r="D468" i="3" s="1"/>
  <c r="D469" i="3"/>
  <c r="D470" i="3"/>
  <c r="D471" i="3" s="1"/>
  <c r="D472" i="3" s="1"/>
  <c r="D473" i="3" s="1"/>
  <c r="D474" i="3"/>
  <c r="D475" i="3"/>
  <c r="D476" i="3" s="1"/>
  <c r="D477" i="3"/>
  <c r="D478" i="3"/>
  <c r="D479" i="3"/>
  <c r="D480" i="3" s="1"/>
  <c r="D481" i="3" s="1"/>
  <c r="D482" i="3" s="1"/>
  <c r="D483" i="3" s="1"/>
  <c r="D484" i="3" s="1"/>
  <c r="D485" i="3"/>
  <c r="D486" i="3"/>
  <c r="D487" i="3"/>
  <c r="D488" i="3" s="1"/>
  <c r="D489" i="3"/>
  <c r="D490" i="3" s="1"/>
  <c r="D491" i="3"/>
  <c r="D492" i="3" s="1"/>
  <c r="D493" i="3" s="1"/>
  <c r="D494" i="3" s="1"/>
  <c r="D495" i="3"/>
  <c r="D496" i="3"/>
  <c r="D497" i="3"/>
  <c r="D498" i="3" s="1"/>
  <c r="D499" i="3"/>
  <c r="D500" i="3" s="1"/>
  <c r="D501" i="3"/>
  <c r="D3" i="3"/>
  <c r="D274" i="9" l="1"/>
  <c r="E274" i="9" s="1"/>
  <c r="E273" i="9"/>
  <c r="E331" i="9"/>
  <c r="E332" i="9"/>
  <c r="C22" i="9"/>
  <c r="C23" i="9" s="1"/>
  <c r="C24" i="9" s="1"/>
  <c r="C25" i="9" s="1"/>
  <c r="C26" i="9" s="1"/>
  <c r="C27" i="9" s="1"/>
  <c r="E114" i="9"/>
  <c r="E115" i="9"/>
  <c r="D98" i="9"/>
  <c r="E97" i="9"/>
  <c r="E123" i="9"/>
  <c r="E124" i="9"/>
  <c r="D23" i="9"/>
  <c r="E22" i="9"/>
  <c r="E17" i="9"/>
  <c r="E18" i="9"/>
  <c r="E248" i="9"/>
  <c r="E249" i="9"/>
  <c r="D226" i="9"/>
  <c r="E225" i="9"/>
  <c r="E12" i="9"/>
  <c r="E13" i="9"/>
  <c r="D256" i="9"/>
  <c r="E255" i="9"/>
  <c r="E245" i="9"/>
  <c r="E246" i="9"/>
  <c r="D128" i="9"/>
  <c r="E127" i="9"/>
  <c r="H3" i="3"/>
  <c r="D4" i="3"/>
  <c r="D5" i="3" s="1"/>
  <c r="D257" i="9" l="1"/>
  <c r="E256" i="9"/>
  <c r="D227" i="9"/>
  <c r="E226" i="9"/>
  <c r="D129" i="9"/>
  <c r="E128" i="9"/>
  <c r="C28" i="9"/>
  <c r="C29" i="9" s="1"/>
  <c r="D24" i="9"/>
  <c r="E23" i="9"/>
  <c r="D99" i="9"/>
  <c r="E98" i="9"/>
  <c r="H1" i="3"/>
  <c r="L2" i="3" s="1"/>
  <c r="D100" i="9" l="1"/>
  <c r="E99" i="9"/>
  <c r="D228" i="9"/>
  <c r="E227" i="9"/>
  <c r="D25" i="9"/>
  <c r="E24" i="9"/>
  <c r="D130" i="9"/>
  <c r="E129" i="9"/>
  <c r="D258" i="9"/>
  <c r="E257" i="9"/>
  <c r="C30" i="9"/>
  <c r="C31" i="9" s="1"/>
  <c r="C32" i="9" s="1"/>
  <c r="C33" i="9" s="1"/>
  <c r="C34" i="9" s="1"/>
  <c r="C35" i="9" s="1"/>
  <c r="C36" i="9" s="1"/>
  <c r="D259" i="9" l="1"/>
  <c r="E258" i="9"/>
  <c r="D26" i="9"/>
  <c r="E25" i="9"/>
  <c r="D229" i="9"/>
  <c r="E228" i="9"/>
  <c r="D101" i="9"/>
  <c r="E100" i="9"/>
  <c r="D131" i="9"/>
  <c r="E130" i="9"/>
  <c r="C37" i="9"/>
  <c r="C38" i="9" s="1"/>
  <c r="C39" i="9" s="1"/>
  <c r="C40" i="9" s="1"/>
  <c r="D102" i="9" l="1"/>
  <c r="E101" i="9"/>
  <c r="D132" i="9"/>
  <c r="E131" i="9"/>
  <c r="D230" i="9"/>
  <c r="E229" i="9"/>
  <c r="D27" i="9"/>
  <c r="E26" i="9"/>
  <c r="D260" i="9"/>
  <c r="E259" i="9"/>
  <c r="C41" i="9"/>
  <c r="C42" i="9" s="1"/>
  <c r="C43" i="9" s="1"/>
  <c r="C44" i="9" s="1"/>
  <c r="C45" i="9" s="1"/>
  <c r="C46" i="9" s="1"/>
  <c r="C47" i="9" s="1"/>
  <c r="E27" i="9" l="1"/>
  <c r="D28" i="9"/>
  <c r="D133" i="9"/>
  <c r="E132" i="9"/>
  <c r="D261" i="9"/>
  <c r="E260" i="9"/>
  <c r="D103" i="9"/>
  <c r="E102" i="9"/>
  <c r="E230" i="9"/>
  <c r="E231" i="9"/>
  <c r="C48" i="9"/>
  <c r="C49" i="9" s="1"/>
  <c r="C50" i="9" s="1"/>
  <c r="C51" i="9" s="1"/>
  <c r="D134" i="9" l="1"/>
  <c r="E133" i="9"/>
  <c r="E103" i="9"/>
  <c r="E104" i="9"/>
  <c r="E28" i="9"/>
  <c r="D29" i="9"/>
  <c r="D262" i="9"/>
  <c r="E261" i="9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D263" i="9" l="1"/>
  <c r="E262" i="9"/>
  <c r="E29" i="9"/>
  <c r="D30" i="9"/>
  <c r="D135" i="9"/>
  <c r="E134" i="9"/>
  <c r="E135" i="9" l="1"/>
  <c r="E136" i="9"/>
  <c r="D31" i="9"/>
  <c r="E30" i="9"/>
  <c r="D264" i="9"/>
  <c r="E263" i="9"/>
  <c r="D32" i="9" l="1"/>
  <c r="E31" i="9"/>
  <c r="D265" i="9"/>
  <c r="E264" i="9"/>
  <c r="D266" i="9" l="1"/>
  <c r="E265" i="9"/>
  <c r="D33" i="9"/>
  <c r="E32" i="9"/>
  <c r="D34" i="9" l="1"/>
  <c r="E33" i="9"/>
  <c r="D267" i="9"/>
  <c r="E266" i="9"/>
  <c r="D268" i="9" l="1"/>
  <c r="E267" i="9"/>
  <c r="D35" i="9"/>
  <c r="E34" i="9"/>
  <c r="E268" i="9" l="1"/>
  <c r="E269" i="9"/>
  <c r="D36" i="9"/>
  <c r="E35" i="9"/>
  <c r="E36" i="9" l="1"/>
  <c r="D37" i="9"/>
  <c r="D38" i="9" l="1"/>
  <c r="E37" i="9"/>
  <c r="D39" i="9" l="1"/>
  <c r="E38" i="9"/>
  <c r="D40" i="9" l="1"/>
  <c r="E39" i="9"/>
  <c r="E40" i="9" l="1"/>
  <c r="D41" i="9"/>
  <c r="D42" i="9" l="1"/>
  <c r="E41" i="9"/>
  <c r="D43" i="9" l="1"/>
  <c r="E42" i="9"/>
  <c r="D44" i="9" l="1"/>
  <c r="E43" i="9"/>
  <c r="D45" i="9" l="1"/>
  <c r="E44" i="9"/>
  <c r="D46" i="9" l="1"/>
  <c r="E45" i="9"/>
  <c r="D47" i="9" l="1"/>
  <c r="E46" i="9"/>
  <c r="E47" i="9" l="1"/>
  <c r="D48" i="9"/>
  <c r="D49" i="9" l="1"/>
  <c r="E48" i="9"/>
  <c r="D50" i="9" l="1"/>
  <c r="E49" i="9"/>
  <c r="D51" i="9" l="1"/>
  <c r="E50" i="9"/>
  <c r="E51" i="9" l="1"/>
  <c r="D52" i="9"/>
  <c r="D53" i="9" l="1"/>
  <c r="E52" i="9"/>
  <c r="D54" i="9" l="1"/>
  <c r="E53" i="9"/>
  <c r="D55" i="9" l="1"/>
  <c r="E54" i="9"/>
  <c r="D56" i="9" l="1"/>
  <c r="E55" i="9"/>
  <c r="D57" i="9" l="1"/>
  <c r="E56" i="9"/>
  <c r="D58" i="9" l="1"/>
  <c r="E57" i="9"/>
  <c r="D59" i="9" l="1"/>
  <c r="E58" i="9"/>
  <c r="D60" i="9" l="1"/>
  <c r="E59" i="9"/>
  <c r="D61" i="9" l="1"/>
  <c r="E60" i="9"/>
  <c r="D62" i="9" l="1"/>
  <c r="E61" i="9"/>
  <c r="D63" i="9" l="1"/>
  <c r="E62" i="9"/>
  <c r="D64" i="9" l="1"/>
  <c r="E63" i="9"/>
  <c r="D65" i="9" l="1"/>
  <c r="E64" i="9"/>
  <c r="D66" i="9" l="1"/>
  <c r="E65" i="9"/>
  <c r="D67" i="9" l="1"/>
  <c r="E66" i="9"/>
  <c r="D68" i="9" l="1"/>
  <c r="E67" i="9"/>
  <c r="D69" i="9" l="1"/>
  <c r="E68" i="9"/>
  <c r="D70" i="9" l="1"/>
  <c r="E69" i="9"/>
  <c r="D71" i="9" l="1"/>
  <c r="E70" i="9"/>
  <c r="D72" i="9" l="1"/>
  <c r="E71" i="9"/>
  <c r="E72" i="9" l="1"/>
  <c r="E73" i="9"/>
  <c r="C73" i="9"/>
  <c r="C74" i="9" s="1"/>
  <c r="C75" i="9" s="1"/>
  <c r="D76" i="9" l="1"/>
  <c r="C76" i="9"/>
  <c r="C77" i="9" s="1"/>
  <c r="C78" i="9" s="1"/>
  <c r="C79" i="9" l="1"/>
  <c r="D77" i="9"/>
  <c r="E76" i="9"/>
  <c r="D78" i="9" l="1"/>
  <c r="E77" i="9"/>
  <c r="C80" i="9"/>
  <c r="C81" i="9" l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E78" i="9"/>
  <c r="D79" i="9"/>
  <c r="E79" i="9" l="1"/>
  <c r="D80" i="9"/>
  <c r="E80" i="9" l="1"/>
  <c r="D81" i="9"/>
  <c r="D82" i="9" l="1"/>
  <c r="E81" i="9"/>
  <c r="D83" i="9" l="1"/>
  <c r="E82" i="9"/>
  <c r="D84" i="9" l="1"/>
  <c r="E83" i="9"/>
  <c r="D85" i="9" l="1"/>
  <c r="E84" i="9"/>
  <c r="D86" i="9" l="1"/>
  <c r="E85" i="9"/>
  <c r="D87" i="9" l="1"/>
  <c r="E86" i="9"/>
  <c r="D88" i="9" l="1"/>
  <c r="E87" i="9"/>
  <c r="D89" i="9" l="1"/>
  <c r="E88" i="9"/>
  <c r="D90" i="9" l="1"/>
  <c r="E89" i="9"/>
  <c r="D91" i="9" l="1"/>
  <c r="E90" i="9"/>
  <c r="D92" i="9" l="1"/>
  <c r="E91" i="9"/>
  <c r="D93" i="9" l="1"/>
  <c r="E92" i="9"/>
  <c r="D94" i="9" l="1"/>
  <c r="E93" i="9"/>
  <c r="E94" i="9" l="1"/>
  <c r="E95" i="9"/>
  <c r="C95" i="9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D147" i="9" l="1"/>
  <c r="E147" i="9" s="1"/>
  <c r="C147" i="9"/>
  <c r="D148" i="9" l="1"/>
  <c r="C148" i="9"/>
  <c r="C149" i="9" s="1"/>
  <c r="C150" i="9" s="1"/>
  <c r="C151" i="9" l="1"/>
  <c r="C152" i="9" s="1"/>
  <c r="C153" i="9" s="1"/>
  <c r="C154" i="9" s="1"/>
  <c r="C155" i="9" s="1"/>
  <c r="C156" i="9" s="1"/>
  <c r="C157" i="9" s="1"/>
  <c r="D149" i="9"/>
  <c r="E148" i="9"/>
  <c r="D150" i="9" l="1"/>
  <c r="E149" i="9"/>
  <c r="E150" i="9" l="1"/>
  <c r="D151" i="9"/>
  <c r="D152" i="9" l="1"/>
  <c r="E151" i="9"/>
  <c r="D153" i="9" l="1"/>
  <c r="E152" i="9"/>
  <c r="D154" i="9" l="1"/>
  <c r="E153" i="9"/>
  <c r="D155" i="9" l="1"/>
  <c r="E154" i="9"/>
  <c r="D156" i="9" l="1"/>
  <c r="E155" i="9"/>
  <c r="D157" i="9" l="1"/>
  <c r="E156" i="9"/>
  <c r="E157" i="9" l="1"/>
  <c r="E158" i="9"/>
  <c r="C158" i="9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D175" i="9" l="1"/>
  <c r="C175" i="9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D176" i="9" l="1"/>
  <c r="E175" i="9"/>
  <c r="D177" i="9" l="1"/>
  <c r="E176" i="9"/>
  <c r="D178" i="9" l="1"/>
  <c r="E177" i="9"/>
  <c r="D179" i="9" l="1"/>
  <c r="E178" i="9"/>
  <c r="D180" i="9" l="1"/>
  <c r="E179" i="9"/>
  <c r="D181" i="9" l="1"/>
  <c r="E180" i="9"/>
  <c r="D182" i="9" l="1"/>
  <c r="E181" i="9"/>
  <c r="D183" i="9" l="1"/>
  <c r="E182" i="9"/>
  <c r="D184" i="9" l="1"/>
  <c r="E183" i="9"/>
  <c r="D185" i="9" l="1"/>
  <c r="E184" i="9"/>
  <c r="D186" i="9" l="1"/>
  <c r="E185" i="9"/>
  <c r="D187" i="9" l="1"/>
  <c r="E186" i="9"/>
  <c r="D188" i="9" l="1"/>
  <c r="E187" i="9"/>
  <c r="D189" i="9" l="1"/>
  <c r="E188" i="9"/>
  <c r="D190" i="9" l="1"/>
  <c r="E189" i="9"/>
  <c r="D191" i="9" l="1"/>
  <c r="E190" i="9"/>
  <c r="D192" i="9" l="1"/>
  <c r="E191" i="9"/>
  <c r="D193" i="9" l="1"/>
  <c r="E192" i="9"/>
  <c r="D194" i="9" l="1"/>
  <c r="E193" i="9"/>
  <c r="D195" i="9" l="1"/>
  <c r="E194" i="9"/>
  <c r="D196" i="9" l="1"/>
  <c r="E195" i="9"/>
  <c r="D197" i="9" l="1"/>
  <c r="E196" i="9"/>
  <c r="D198" i="9" l="1"/>
  <c r="E197" i="9"/>
  <c r="E198" i="9" l="1"/>
  <c r="E199" i="9"/>
  <c r="C199" i="9"/>
  <c r="C200" i="9" s="1"/>
  <c r="C201" i="9" s="1"/>
  <c r="C202" i="9" s="1"/>
  <c r="C203" i="9" s="1"/>
  <c r="C204" i="9" s="1"/>
  <c r="D205" i="9" l="1"/>
  <c r="C205" i="9"/>
  <c r="C206" i="9" s="1"/>
  <c r="C207" i="9" s="1"/>
  <c r="C208" i="9" s="1"/>
  <c r="C209" i="9" l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D206" i="9"/>
  <c r="E205" i="9"/>
  <c r="D207" i="9" l="1"/>
  <c r="E206" i="9"/>
  <c r="D208" i="9" l="1"/>
  <c r="E207" i="9"/>
  <c r="E208" i="9" l="1"/>
  <c r="D209" i="9"/>
  <c r="D210" i="9" l="1"/>
  <c r="E209" i="9"/>
  <c r="D211" i="9" l="1"/>
  <c r="E210" i="9"/>
  <c r="D212" i="9" l="1"/>
  <c r="E211" i="9"/>
  <c r="D213" i="9" l="1"/>
  <c r="E212" i="9"/>
  <c r="D214" i="9" l="1"/>
  <c r="E213" i="9"/>
  <c r="D215" i="9" l="1"/>
  <c r="E214" i="9"/>
  <c r="D216" i="9" l="1"/>
  <c r="E215" i="9"/>
  <c r="D217" i="9" l="1"/>
  <c r="E216" i="9"/>
  <c r="D218" i="9" l="1"/>
  <c r="E217" i="9"/>
  <c r="D219" i="9" l="1"/>
  <c r="E218" i="9"/>
  <c r="D220" i="9" l="1"/>
  <c r="E219" i="9"/>
  <c r="D221" i="9" l="1"/>
  <c r="E220" i="9"/>
  <c r="E221" i="9" l="1"/>
  <c r="E222" i="9"/>
  <c r="C222" i="9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D237" i="9" l="1"/>
  <c r="C237" i="9"/>
  <c r="C238" i="9" s="1"/>
  <c r="C239" i="9" s="1"/>
  <c r="D238" i="9" l="1"/>
  <c r="E237" i="9"/>
  <c r="D239" i="9" l="1"/>
  <c r="E238" i="9"/>
  <c r="E239" i="9" l="1"/>
  <c r="E240" i="9"/>
  <c r="C240" i="9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D275" i="9" l="1"/>
  <c r="C275" i="9"/>
  <c r="C276" i="9" s="1"/>
  <c r="C277" i="9" s="1"/>
  <c r="C278" i="9" s="1"/>
  <c r="C279" i="9" l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D276" i="9"/>
  <c r="E275" i="9"/>
  <c r="C299" i="9" l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D277" i="9"/>
  <c r="E276" i="9"/>
  <c r="D278" i="9" l="1"/>
  <c r="E277" i="9"/>
  <c r="E278" i="9" l="1"/>
  <c r="D279" i="9"/>
  <c r="D280" i="9" l="1"/>
  <c r="E279" i="9"/>
  <c r="D281" i="9" l="1"/>
  <c r="E280" i="9"/>
  <c r="D282" i="9" l="1"/>
  <c r="E281" i="9"/>
  <c r="D283" i="9" l="1"/>
  <c r="E282" i="9"/>
  <c r="D284" i="9" l="1"/>
  <c r="E283" i="9"/>
  <c r="D285" i="9" l="1"/>
  <c r="E284" i="9"/>
  <c r="D286" i="9" l="1"/>
  <c r="E285" i="9"/>
  <c r="D287" i="9" l="1"/>
  <c r="E286" i="9"/>
  <c r="D288" i="9" l="1"/>
  <c r="E287" i="9"/>
  <c r="D289" i="9" l="1"/>
  <c r="E288" i="9"/>
  <c r="D290" i="9" l="1"/>
  <c r="E289" i="9"/>
  <c r="D291" i="9" l="1"/>
  <c r="E290" i="9"/>
  <c r="D292" i="9" l="1"/>
  <c r="E291" i="9"/>
  <c r="D293" i="9" l="1"/>
  <c r="E292" i="9"/>
  <c r="D294" i="9" l="1"/>
  <c r="E293" i="9"/>
  <c r="D295" i="9" l="1"/>
  <c r="E294" i="9"/>
  <c r="D296" i="9" l="1"/>
  <c r="E295" i="9"/>
  <c r="D297" i="9" l="1"/>
  <c r="E296" i="9"/>
  <c r="D298" i="9" l="1"/>
  <c r="E297" i="9"/>
  <c r="E298" i="9" l="1"/>
  <c r="D299" i="9"/>
  <c r="D300" i="9" l="1"/>
  <c r="E299" i="9"/>
  <c r="D301" i="9" l="1"/>
  <c r="E300" i="9"/>
  <c r="D302" i="9" l="1"/>
  <c r="E301" i="9"/>
  <c r="D303" i="9" l="1"/>
  <c r="E302" i="9"/>
  <c r="D304" i="9" l="1"/>
  <c r="E303" i="9"/>
  <c r="D305" i="9" l="1"/>
  <c r="E304" i="9"/>
  <c r="D306" i="9" l="1"/>
  <c r="E305" i="9"/>
  <c r="D307" i="9" l="1"/>
  <c r="E306" i="9"/>
  <c r="D308" i="9" l="1"/>
  <c r="E307" i="9"/>
  <c r="D309" i="9" l="1"/>
  <c r="E308" i="9"/>
  <c r="D310" i="9" l="1"/>
  <c r="E309" i="9"/>
  <c r="D311" i="9" l="1"/>
  <c r="E310" i="9"/>
  <c r="D312" i="9" l="1"/>
  <c r="E311" i="9"/>
  <c r="D313" i="9" l="1"/>
  <c r="E312" i="9"/>
  <c r="E313" i="9" l="1"/>
  <c r="E314" i="9"/>
  <c r="C314" i="9"/>
  <c r="C315" i="9" s="1"/>
  <c r="C316" i="9" s="1"/>
  <c r="C317" i="9" s="1"/>
  <c r="D318" i="9" l="1"/>
  <c r="C318" i="9"/>
  <c r="C319" i="9" s="1"/>
  <c r="C320" i="9" s="1"/>
  <c r="C321" i="9" s="1"/>
  <c r="C322" i="9" s="1"/>
  <c r="D319" i="9" l="1"/>
  <c r="E318" i="9"/>
  <c r="D320" i="9" l="1"/>
  <c r="E319" i="9"/>
  <c r="D321" i="9" l="1"/>
  <c r="E320" i="9"/>
  <c r="D322" i="9" l="1"/>
  <c r="E321" i="9"/>
  <c r="E322" i="9" l="1"/>
  <c r="E323" i="9"/>
  <c r="C323" i="9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D343" i="9" l="1"/>
  <c r="C343" i="9"/>
  <c r="C344" i="9" s="1"/>
  <c r="C345" i="9" s="1"/>
  <c r="C346" i="9" l="1"/>
  <c r="C347" i="9" s="1"/>
  <c r="C348" i="9" s="1"/>
  <c r="C349" i="9" s="1"/>
  <c r="D344" i="9"/>
  <c r="E343" i="9"/>
  <c r="C350" i="9" l="1"/>
  <c r="D345" i="9"/>
  <c r="E344" i="9"/>
  <c r="C351" i="9" l="1"/>
  <c r="C352" i="9" s="1"/>
  <c r="C353" i="9" s="1"/>
  <c r="C354" i="9" s="1"/>
  <c r="C355" i="9" s="1"/>
  <c r="C356" i="9" s="1"/>
  <c r="C357" i="9" s="1"/>
  <c r="E345" i="9"/>
  <c r="D346" i="9"/>
  <c r="D347" i="9" l="1"/>
  <c r="E346" i="9"/>
  <c r="D348" i="9" l="1"/>
  <c r="E347" i="9"/>
  <c r="D349" i="9" l="1"/>
  <c r="E348" i="9"/>
  <c r="E349" i="9" l="1"/>
  <c r="D350" i="9"/>
  <c r="E350" i="9" l="1"/>
  <c r="D351" i="9"/>
  <c r="D352" i="9" l="1"/>
  <c r="E351" i="9"/>
  <c r="D353" i="9" l="1"/>
  <c r="E352" i="9"/>
  <c r="D354" i="9" l="1"/>
  <c r="E353" i="9"/>
  <c r="D355" i="9" l="1"/>
  <c r="E354" i="9"/>
  <c r="D356" i="9" l="1"/>
  <c r="E355" i="9"/>
  <c r="D357" i="9" l="1"/>
  <c r="E356" i="9"/>
  <c r="E357" i="9" l="1"/>
  <c r="E358" i="9"/>
  <c r="C358" i="9"/>
  <c r="C359" i="9" s="1"/>
  <c r="C360" i="9" s="1"/>
  <c r="C361" i="9" s="1"/>
  <c r="C362" i="9" s="1"/>
  <c r="D363" i="9" l="1"/>
  <c r="C363" i="9"/>
  <c r="C364" i="9" s="1"/>
  <c r="C365" i="9" s="1"/>
  <c r="C366" i="9" l="1"/>
  <c r="C367" i="9" s="1"/>
  <c r="C368" i="9" s="1"/>
  <c r="D364" i="9"/>
  <c r="E363" i="9"/>
  <c r="C369" i="9" l="1"/>
  <c r="C370" i="9" s="1"/>
  <c r="C371" i="9" s="1"/>
  <c r="C372" i="9" s="1"/>
  <c r="C373" i="9" s="1"/>
  <c r="D365" i="9"/>
  <c r="E364" i="9"/>
  <c r="E365" i="9" l="1"/>
  <c r="D366" i="9"/>
  <c r="C374" i="9"/>
  <c r="C375" i="9" l="1"/>
  <c r="C376" i="9" s="1"/>
  <c r="C377" i="9" s="1"/>
  <c r="C378" i="9" s="1"/>
  <c r="C379" i="9" s="1"/>
  <c r="C380" i="9" s="1"/>
  <c r="C381" i="9" s="1"/>
  <c r="D367" i="9"/>
  <c r="E366" i="9"/>
  <c r="C382" i="9" l="1"/>
  <c r="D368" i="9"/>
  <c r="E367" i="9"/>
  <c r="C383" i="9" l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E368" i="9"/>
  <c r="D369" i="9"/>
  <c r="C397" i="9" l="1"/>
  <c r="D370" i="9"/>
  <c r="E369" i="9"/>
  <c r="D371" i="9" l="1"/>
  <c r="E370" i="9"/>
  <c r="C398" i="9"/>
  <c r="C399" i="9" l="1"/>
  <c r="D372" i="9"/>
  <c r="E371" i="9"/>
  <c r="D373" i="9" l="1"/>
  <c r="E372" i="9"/>
  <c r="C400" i="9"/>
  <c r="C401" i="9" s="1"/>
  <c r="C402" i="9" s="1"/>
  <c r="C403" i="9" s="1"/>
  <c r="C404" i="9" s="1"/>
  <c r="C405" i="9" s="1"/>
  <c r="C406" i="9" s="1"/>
  <c r="C407" i="9" s="1"/>
  <c r="C408" i="9" s="1"/>
  <c r="C409" i="9" l="1"/>
  <c r="C410" i="9" s="1"/>
  <c r="C411" i="9" s="1"/>
  <c r="C412" i="9" s="1"/>
  <c r="C413" i="9" s="1"/>
  <c r="E373" i="9"/>
  <c r="D374" i="9"/>
  <c r="C414" i="9" l="1"/>
  <c r="E374" i="9"/>
  <c r="D375" i="9"/>
  <c r="D376" i="9" l="1"/>
  <c r="E375" i="9"/>
  <c r="C415" i="9"/>
  <c r="C416" i="9" s="1"/>
  <c r="C417" i="9" s="1"/>
  <c r="C418" i="9" s="1"/>
  <c r="C419" i="9" s="1"/>
  <c r="C420" i="9" l="1"/>
  <c r="C421" i="9" s="1"/>
  <c r="C422" i="9" s="1"/>
  <c r="C423" i="9" s="1"/>
  <c r="D377" i="9"/>
  <c r="E376" i="9"/>
  <c r="D378" i="9" l="1"/>
  <c r="E377" i="9"/>
  <c r="C424" i="9"/>
  <c r="C425" i="9" l="1"/>
  <c r="D379" i="9"/>
  <c r="E378" i="9"/>
  <c r="C426" i="9" l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D380" i="9"/>
  <c r="E379" i="9"/>
  <c r="D381" i="9" l="1"/>
  <c r="E380" i="9"/>
  <c r="C440" i="9"/>
  <c r="C441" i="9" l="1"/>
  <c r="C442" i="9" s="1"/>
  <c r="C443" i="9" s="1"/>
  <c r="C444" i="9" s="1"/>
  <c r="C445" i="9" s="1"/>
  <c r="E381" i="9"/>
  <c r="D382" i="9"/>
  <c r="E382" i="9" l="1"/>
  <c r="D383" i="9"/>
  <c r="C446" i="9"/>
  <c r="C447" i="9" s="1"/>
  <c r="C448" i="9" s="1"/>
  <c r="C449" i="9" s="1"/>
  <c r="C450" i="9" s="1"/>
  <c r="C451" i="9" s="1"/>
  <c r="C452" i="9" l="1"/>
  <c r="D384" i="9"/>
  <c r="E383" i="9"/>
  <c r="D385" i="9" l="1"/>
  <c r="E384" i="9"/>
  <c r="C453" i="9"/>
  <c r="C454" i="9" l="1"/>
  <c r="C455" i="9" s="1"/>
  <c r="C456" i="9" s="1"/>
  <c r="D386" i="9"/>
  <c r="E385" i="9"/>
  <c r="C457" i="9" l="1"/>
  <c r="D387" i="9"/>
  <c r="E386" i="9"/>
  <c r="D388" i="9" l="1"/>
  <c r="E387" i="9"/>
  <c r="C458" i="9"/>
  <c r="C459" i="9" s="1"/>
  <c r="C460" i="9" s="1"/>
  <c r="C461" i="9" s="1"/>
  <c r="C462" i="9" l="1"/>
  <c r="C463" i="9" s="1"/>
  <c r="C464" i="9" s="1"/>
  <c r="C465" i="9" s="1"/>
  <c r="C466" i="9" s="1"/>
  <c r="C467" i="9" s="1"/>
  <c r="D389" i="9"/>
  <c r="E388" i="9"/>
  <c r="C468" i="9" l="1"/>
  <c r="D390" i="9"/>
  <c r="E389" i="9"/>
  <c r="D391" i="9" l="1"/>
  <c r="E390" i="9"/>
  <c r="C469" i="9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l="1"/>
  <c r="D392" i="9"/>
  <c r="E391" i="9"/>
  <c r="C481" i="9" l="1"/>
  <c r="C482" i="9" s="1"/>
  <c r="C483" i="9" s="1"/>
  <c r="C484" i="9" s="1"/>
  <c r="D393" i="9"/>
  <c r="E392" i="9"/>
  <c r="D394" i="9" l="1"/>
  <c r="E393" i="9"/>
  <c r="C485" i="9"/>
  <c r="C486" i="9" s="1"/>
  <c r="C487" i="9" s="1"/>
  <c r="C488" i="9" l="1"/>
  <c r="C489" i="9" s="1"/>
  <c r="C490" i="9" s="1"/>
  <c r="D395" i="9"/>
  <c r="E394" i="9"/>
  <c r="D396" i="9" l="1"/>
  <c r="E395" i="9"/>
  <c r="C491" i="9"/>
  <c r="C492" i="9" s="1"/>
  <c r="C493" i="9" s="1"/>
  <c r="C494" i="9" l="1"/>
  <c r="C495" i="9" s="1"/>
  <c r="C496" i="9" s="1"/>
  <c r="C497" i="9" s="1"/>
  <c r="C498" i="9" s="1"/>
  <c r="C499" i="9" s="1"/>
  <c r="C500" i="9" s="1"/>
  <c r="E396" i="9"/>
  <c r="D397" i="9"/>
  <c r="E397" i="9" l="1"/>
  <c r="D398" i="9"/>
  <c r="C501" i="9"/>
  <c r="C502" i="9" s="1"/>
  <c r="I4" i="9" s="1"/>
  <c r="E398" i="9" l="1"/>
  <c r="D399" i="9"/>
  <c r="E399" i="9" l="1"/>
  <c r="D400" i="9"/>
  <c r="D401" i="9" l="1"/>
  <c r="E400" i="9"/>
  <c r="D402" i="9" l="1"/>
  <c r="E401" i="9"/>
  <c r="D403" i="9" l="1"/>
  <c r="E402" i="9"/>
  <c r="D404" i="9" l="1"/>
  <c r="E403" i="9"/>
  <c r="D405" i="9" l="1"/>
  <c r="E404" i="9"/>
  <c r="D406" i="9" l="1"/>
  <c r="E405" i="9"/>
  <c r="D407" i="9" l="1"/>
  <c r="E406" i="9"/>
  <c r="D408" i="9" l="1"/>
  <c r="E407" i="9"/>
  <c r="E408" i="9" l="1"/>
  <c r="D409" i="9"/>
  <c r="D410" i="9" l="1"/>
  <c r="E409" i="9"/>
  <c r="D411" i="9" l="1"/>
  <c r="E410" i="9"/>
  <c r="D412" i="9" l="1"/>
  <c r="E411" i="9"/>
  <c r="D413" i="9" l="1"/>
  <c r="E412" i="9"/>
  <c r="E413" i="9" l="1"/>
  <c r="D414" i="9"/>
  <c r="E414" i="9" l="1"/>
  <c r="D415" i="9"/>
  <c r="D416" i="9" l="1"/>
  <c r="E415" i="9"/>
  <c r="D417" i="9" l="1"/>
  <c r="E416" i="9"/>
  <c r="D418" i="9" l="1"/>
  <c r="E417" i="9"/>
  <c r="D419" i="9" l="1"/>
  <c r="E418" i="9"/>
  <c r="E419" i="9" l="1"/>
  <c r="D420" i="9"/>
  <c r="D421" i="9" l="1"/>
  <c r="E420" i="9"/>
  <c r="D422" i="9" l="1"/>
  <c r="E421" i="9"/>
  <c r="D423" i="9" l="1"/>
  <c r="E422" i="9"/>
  <c r="E423" i="9" l="1"/>
  <c r="D424" i="9"/>
  <c r="E424" i="9" l="1"/>
  <c r="D425" i="9"/>
  <c r="E425" i="9" l="1"/>
  <c r="D426" i="9"/>
  <c r="D427" i="9" l="1"/>
  <c r="E426" i="9"/>
  <c r="D428" i="9" l="1"/>
  <c r="E427" i="9"/>
  <c r="D429" i="9" l="1"/>
  <c r="E428" i="9"/>
  <c r="D430" i="9" l="1"/>
  <c r="E429" i="9"/>
  <c r="D431" i="9" l="1"/>
  <c r="E430" i="9"/>
  <c r="D432" i="9" l="1"/>
  <c r="E431" i="9"/>
  <c r="D433" i="9" l="1"/>
  <c r="E432" i="9"/>
  <c r="D434" i="9" l="1"/>
  <c r="E433" i="9"/>
  <c r="D435" i="9" l="1"/>
  <c r="E434" i="9"/>
  <c r="D436" i="9" l="1"/>
  <c r="E435" i="9"/>
  <c r="D437" i="9" l="1"/>
  <c r="E436" i="9"/>
  <c r="D438" i="9" l="1"/>
  <c r="E437" i="9"/>
  <c r="D439" i="9" l="1"/>
  <c r="E438" i="9"/>
  <c r="E439" i="9" l="1"/>
  <c r="D440" i="9"/>
  <c r="E440" i="9" l="1"/>
  <c r="D441" i="9"/>
  <c r="D442" i="9" l="1"/>
  <c r="E441" i="9"/>
  <c r="D443" i="9" l="1"/>
  <c r="E442" i="9"/>
  <c r="D444" i="9" l="1"/>
  <c r="E443" i="9"/>
  <c r="D445" i="9" l="1"/>
  <c r="E444" i="9"/>
  <c r="E445" i="9" l="1"/>
  <c r="D446" i="9"/>
  <c r="D447" i="9" l="1"/>
  <c r="E446" i="9"/>
  <c r="D448" i="9" l="1"/>
  <c r="E447" i="9"/>
  <c r="D449" i="9" l="1"/>
  <c r="E448" i="9"/>
  <c r="D450" i="9" l="1"/>
  <c r="E449" i="9"/>
  <c r="D451" i="9" l="1"/>
  <c r="E450" i="9"/>
  <c r="E451" i="9" l="1"/>
  <c r="D452" i="9"/>
  <c r="E452" i="9" l="1"/>
  <c r="D453" i="9"/>
  <c r="E453" i="9" l="1"/>
  <c r="D454" i="9"/>
  <c r="D455" i="9" l="1"/>
  <c r="E454" i="9"/>
  <c r="D456" i="9" l="1"/>
  <c r="E455" i="9"/>
  <c r="E456" i="9" l="1"/>
  <c r="D457" i="9"/>
  <c r="E457" i="9" l="1"/>
  <c r="D458" i="9"/>
  <c r="D459" i="9" l="1"/>
  <c r="E458" i="9"/>
  <c r="D460" i="9" l="1"/>
  <c r="E459" i="9"/>
  <c r="D461" i="9" l="1"/>
  <c r="E460" i="9"/>
  <c r="E461" i="9" l="1"/>
  <c r="D462" i="9"/>
  <c r="D463" i="9" l="1"/>
  <c r="E462" i="9"/>
  <c r="D464" i="9" l="1"/>
  <c r="E463" i="9"/>
  <c r="D465" i="9" l="1"/>
  <c r="E464" i="9"/>
  <c r="D466" i="9" l="1"/>
  <c r="E465" i="9"/>
  <c r="D467" i="9" l="1"/>
  <c r="E466" i="9"/>
  <c r="E467" i="9" l="1"/>
  <c r="D468" i="9"/>
  <c r="E468" i="9" l="1"/>
  <c r="D469" i="9"/>
  <c r="D470" i="9" l="1"/>
  <c r="E469" i="9"/>
  <c r="D471" i="9" l="1"/>
  <c r="E470" i="9"/>
  <c r="D472" i="9" l="1"/>
  <c r="E471" i="9"/>
  <c r="D473" i="9" l="1"/>
  <c r="E472" i="9"/>
  <c r="D474" i="9" l="1"/>
  <c r="E473" i="9"/>
  <c r="D475" i="9" l="1"/>
  <c r="E474" i="9"/>
  <c r="D476" i="9" l="1"/>
  <c r="E475" i="9"/>
  <c r="D477" i="9" l="1"/>
  <c r="E476" i="9"/>
  <c r="D478" i="9" l="1"/>
  <c r="E477" i="9"/>
  <c r="D479" i="9" l="1"/>
  <c r="E478" i="9"/>
  <c r="E479" i="9" l="1"/>
  <c r="D480" i="9"/>
  <c r="E480" i="9" l="1"/>
  <c r="D481" i="9"/>
  <c r="D482" i="9" l="1"/>
  <c r="E481" i="9"/>
  <c r="D483" i="9" l="1"/>
  <c r="E482" i="9"/>
  <c r="D484" i="9" l="1"/>
  <c r="E483" i="9"/>
  <c r="E484" i="9" l="1"/>
  <c r="D485" i="9"/>
  <c r="D486" i="9" l="1"/>
  <c r="E485" i="9"/>
  <c r="D487" i="9" l="1"/>
  <c r="E486" i="9"/>
  <c r="E487" i="9" l="1"/>
  <c r="D488" i="9"/>
  <c r="D489" i="9" l="1"/>
  <c r="E488" i="9"/>
  <c r="D490" i="9" l="1"/>
  <c r="E489" i="9"/>
  <c r="E490" i="9" l="1"/>
  <c r="D491" i="9"/>
  <c r="D492" i="9" l="1"/>
  <c r="E491" i="9"/>
  <c r="D493" i="9" l="1"/>
  <c r="E492" i="9"/>
  <c r="E493" i="9" l="1"/>
  <c r="D494" i="9"/>
  <c r="D495" i="9" l="1"/>
  <c r="E494" i="9"/>
  <c r="D496" i="9" l="1"/>
  <c r="E495" i="9"/>
  <c r="D497" i="9" l="1"/>
  <c r="E496" i="9"/>
  <c r="D498" i="9" l="1"/>
  <c r="E497" i="9"/>
  <c r="D499" i="9" l="1"/>
  <c r="E498" i="9"/>
  <c r="D500" i="9" l="1"/>
  <c r="E499" i="9"/>
  <c r="E500" i="9" l="1"/>
  <c r="D501" i="9"/>
  <c r="D502" i="9" l="1"/>
  <c r="E501" i="9"/>
  <c r="J4" i="9" l="1"/>
  <c r="E502" i="9"/>
  <c r="H4" i="9" s="1"/>
  <c r="G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4070A7-6E1D-4EFF-B568-47B25BC8DA8B}" keepAlive="1" name="Zapytanie — gielda" description="Połączenie z zapytaniem „gielda” w skoroszycie." type="5" refreshedVersion="6" background="1" saveData="1">
    <dbPr connection="Provider=Microsoft.Mashup.OleDb.1;Data Source=$Workbook$;Location=gielda;Extended Properties=&quot;&quot;" command="SELECT * FROM [gielda]"/>
  </connection>
  <connection id="2" xr16:uid="{BF56560A-14CA-4170-B54F-B88C7D7B721C}" keepAlive="1" name="Zapytanie — gielda (2)" description="Połączenie z zapytaniem „gielda (2)” w skoroszycie." type="5" refreshedVersion="6" background="1" saveData="1">
    <dbPr connection="Provider=Microsoft.Mashup.OleDb.1;Data Source=$Workbook$;Location=&quot;gielda (2)&quot;;Extended Properties=&quot;&quot;" command="SELECT * FROM [gielda (2)]"/>
  </connection>
  <connection id="3" xr16:uid="{BB493D67-D1C6-4DCB-AFC4-148580F7A00A}" keepAlive="1" name="Zapytanie — gielda (3)" description="Połączenie z zapytaniem „gielda (3)” w skoroszycie." type="5" refreshedVersion="6" background="1" saveData="1">
    <dbPr connection="Provider=Microsoft.Mashup.OleDb.1;Data Source=$Workbook$;Location=&quot;gielda (3)&quot;;Extended Properties=&quot;&quot;" command="SELECT * FROM [gielda (3)]"/>
  </connection>
</connections>
</file>

<file path=xl/sharedStrings.xml><?xml version="1.0" encoding="utf-8"?>
<sst xmlns="http://schemas.openxmlformats.org/spreadsheetml/2006/main" count="37" uniqueCount="25">
  <si>
    <t>firma_A</t>
  </si>
  <si>
    <t>firma_B</t>
  </si>
  <si>
    <t>firma_C</t>
  </si>
  <si>
    <t>nr_dnia</t>
  </si>
  <si>
    <t>ciag_a</t>
  </si>
  <si>
    <t>ciag_b</t>
  </si>
  <si>
    <t>ciag_c</t>
  </si>
  <si>
    <t>MAX</t>
  </si>
  <si>
    <t>Nazwa</t>
  </si>
  <si>
    <t>A</t>
  </si>
  <si>
    <t>B</t>
  </si>
  <si>
    <t>C</t>
  </si>
  <si>
    <t>nr dnia</t>
  </si>
  <si>
    <t>hossa_a</t>
  </si>
  <si>
    <t>hossa_b</t>
  </si>
  <si>
    <t>hossa_c</t>
  </si>
  <si>
    <t>czy_ok</t>
  </si>
  <si>
    <t>Dni</t>
  </si>
  <si>
    <t>stan</t>
  </si>
  <si>
    <t>liczba_akcji</t>
  </si>
  <si>
    <t>Max akcji</t>
  </si>
  <si>
    <t>Ilość kupna</t>
  </si>
  <si>
    <t>Koniec - pieniądze</t>
  </si>
  <si>
    <t>Koniec - akcje</t>
  </si>
  <si>
    <t>czy kupił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</si>
</sst>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165" fontId="0" fillId="0" borderId="0" xfId="0" applyNumberFormat="1"/>
  </cellXfs>
  <cellStyles count="1">
    <cellStyle name="Normalny" xfId="0" builtinId="0"/>
  </cellStyles>
  <dxfs count="6"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Akcje firm a, b i c</a:t>
            </a:r>
          </a:p>
        </c:rich>
      </c:tx>
      <c:layout>
        <c:manualLayout>
          <c:xMode val="edge"/>
          <c:yMode val="edge"/>
          <c:x val="0.45291285957676353"/>
          <c:y val="1.6640665626625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'4_1'!$B$1</c:f>
              <c:strCache>
                <c:ptCount val="1"/>
                <c:pt idx="0">
                  <c:v>firma_A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'4_1'!$A$2:$A$501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'4_1'!$B$2:$B$501</c:f>
              <c:numCache>
                <c:formatCode>General</c:formatCode>
                <c:ptCount val="500"/>
                <c:pt idx="0">
                  <c:v>126</c:v>
                </c:pt>
                <c:pt idx="1">
                  <c:v>119</c:v>
                </c:pt>
                <c:pt idx="2">
                  <c:v>127</c:v>
                </c:pt>
                <c:pt idx="3">
                  <c:v>130</c:v>
                </c:pt>
                <c:pt idx="4">
                  <c:v>110</c:v>
                </c:pt>
                <c:pt idx="5">
                  <c:v>108.71</c:v>
                </c:pt>
                <c:pt idx="6">
                  <c:v>109.82</c:v>
                </c:pt>
                <c:pt idx="7">
                  <c:v>108.34</c:v>
                </c:pt>
                <c:pt idx="8">
                  <c:v>108.98</c:v>
                </c:pt>
                <c:pt idx="9">
                  <c:v>107.72</c:v>
                </c:pt>
                <c:pt idx="10">
                  <c:v>109.1</c:v>
                </c:pt>
                <c:pt idx="11">
                  <c:v>107.73</c:v>
                </c:pt>
                <c:pt idx="12">
                  <c:v>107.75</c:v>
                </c:pt>
                <c:pt idx="13">
                  <c:v>110.02</c:v>
                </c:pt>
                <c:pt idx="14">
                  <c:v>112.45</c:v>
                </c:pt>
                <c:pt idx="15">
                  <c:v>110.84</c:v>
                </c:pt>
                <c:pt idx="16">
                  <c:v>109.06</c:v>
                </c:pt>
                <c:pt idx="17">
                  <c:v>107.28</c:v>
                </c:pt>
                <c:pt idx="18">
                  <c:v>108.88</c:v>
                </c:pt>
                <c:pt idx="19">
                  <c:v>111.35</c:v>
                </c:pt>
                <c:pt idx="20">
                  <c:v>112.72</c:v>
                </c:pt>
                <c:pt idx="21">
                  <c:v>113.08</c:v>
                </c:pt>
                <c:pt idx="22">
                  <c:v>115.28</c:v>
                </c:pt>
                <c:pt idx="23">
                  <c:v>114.25</c:v>
                </c:pt>
                <c:pt idx="24">
                  <c:v>112.65</c:v>
                </c:pt>
                <c:pt idx="25">
                  <c:v>115.1</c:v>
                </c:pt>
                <c:pt idx="26">
                  <c:v>116.76</c:v>
                </c:pt>
                <c:pt idx="27">
                  <c:v>114.96</c:v>
                </c:pt>
                <c:pt idx="28">
                  <c:v>113.89</c:v>
                </c:pt>
                <c:pt idx="29">
                  <c:v>112.77</c:v>
                </c:pt>
                <c:pt idx="30">
                  <c:v>113.51</c:v>
                </c:pt>
                <c:pt idx="31">
                  <c:v>112.2</c:v>
                </c:pt>
                <c:pt idx="32">
                  <c:v>110.36</c:v>
                </c:pt>
                <c:pt idx="33">
                  <c:v>112.47</c:v>
                </c:pt>
                <c:pt idx="34">
                  <c:v>112.67</c:v>
                </c:pt>
                <c:pt idx="35">
                  <c:v>111.09</c:v>
                </c:pt>
                <c:pt idx="36">
                  <c:v>110.06</c:v>
                </c:pt>
                <c:pt idx="37">
                  <c:v>111.55</c:v>
                </c:pt>
                <c:pt idx="38">
                  <c:v>112.25</c:v>
                </c:pt>
                <c:pt idx="39">
                  <c:v>110.59</c:v>
                </c:pt>
                <c:pt idx="40">
                  <c:v>109.24</c:v>
                </c:pt>
                <c:pt idx="41">
                  <c:v>107.52</c:v>
                </c:pt>
                <c:pt idx="42">
                  <c:v>107.97</c:v>
                </c:pt>
                <c:pt idx="43">
                  <c:v>106.54</c:v>
                </c:pt>
                <c:pt idx="44">
                  <c:v>105.18</c:v>
                </c:pt>
                <c:pt idx="45">
                  <c:v>103.97</c:v>
                </c:pt>
                <c:pt idx="46">
                  <c:v>105.17</c:v>
                </c:pt>
                <c:pt idx="47">
                  <c:v>106.1</c:v>
                </c:pt>
                <c:pt idx="48">
                  <c:v>107.77</c:v>
                </c:pt>
                <c:pt idx="49">
                  <c:v>108.02</c:v>
                </c:pt>
                <c:pt idx="50">
                  <c:v>108.88</c:v>
                </c:pt>
                <c:pt idx="51">
                  <c:v>107.26</c:v>
                </c:pt>
                <c:pt idx="52">
                  <c:v>106.11</c:v>
                </c:pt>
                <c:pt idx="53">
                  <c:v>104.42</c:v>
                </c:pt>
                <c:pt idx="54">
                  <c:v>106.04</c:v>
                </c:pt>
                <c:pt idx="55">
                  <c:v>108.4</c:v>
                </c:pt>
                <c:pt idx="56">
                  <c:v>108.53</c:v>
                </c:pt>
                <c:pt idx="57">
                  <c:v>109.46</c:v>
                </c:pt>
                <c:pt idx="58">
                  <c:v>108.32</c:v>
                </c:pt>
                <c:pt idx="59">
                  <c:v>106.32</c:v>
                </c:pt>
                <c:pt idx="60">
                  <c:v>111.11</c:v>
                </c:pt>
                <c:pt idx="61">
                  <c:v>112.07</c:v>
                </c:pt>
                <c:pt idx="62">
                  <c:v>110.42</c:v>
                </c:pt>
                <c:pt idx="63">
                  <c:v>108.52</c:v>
                </c:pt>
                <c:pt idx="64">
                  <c:v>106.63</c:v>
                </c:pt>
                <c:pt idx="65">
                  <c:v>107.24</c:v>
                </c:pt>
                <c:pt idx="66">
                  <c:v>109.24</c:v>
                </c:pt>
                <c:pt idx="67">
                  <c:v>108.19</c:v>
                </c:pt>
                <c:pt idx="68">
                  <c:v>106.77</c:v>
                </c:pt>
                <c:pt idx="69">
                  <c:v>107.03</c:v>
                </c:pt>
                <c:pt idx="70">
                  <c:v>107.42</c:v>
                </c:pt>
                <c:pt idx="71">
                  <c:v>106.16</c:v>
                </c:pt>
                <c:pt idx="72">
                  <c:v>108.3</c:v>
                </c:pt>
                <c:pt idx="73">
                  <c:v>106.46</c:v>
                </c:pt>
                <c:pt idx="74">
                  <c:v>108.61</c:v>
                </c:pt>
                <c:pt idx="75">
                  <c:v>107.56</c:v>
                </c:pt>
                <c:pt idx="76">
                  <c:v>109.68</c:v>
                </c:pt>
                <c:pt idx="77">
                  <c:v>107.87</c:v>
                </c:pt>
                <c:pt idx="78">
                  <c:v>106.41</c:v>
                </c:pt>
                <c:pt idx="79">
                  <c:v>106.92</c:v>
                </c:pt>
                <c:pt idx="80">
                  <c:v>105.03</c:v>
                </c:pt>
                <c:pt idx="81">
                  <c:v>103.36</c:v>
                </c:pt>
                <c:pt idx="82">
                  <c:v>103.78</c:v>
                </c:pt>
                <c:pt idx="83">
                  <c:v>103.98</c:v>
                </c:pt>
                <c:pt idx="84">
                  <c:v>102.21</c:v>
                </c:pt>
                <c:pt idx="85">
                  <c:v>100.65</c:v>
                </c:pt>
                <c:pt idx="86">
                  <c:v>99.64</c:v>
                </c:pt>
                <c:pt idx="87">
                  <c:v>101.26</c:v>
                </c:pt>
                <c:pt idx="88">
                  <c:v>102.85</c:v>
                </c:pt>
                <c:pt idx="89">
                  <c:v>101.59</c:v>
                </c:pt>
                <c:pt idx="90">
                  <c:v>102.13</c:v>
                </c:pt>
                <c:pt idx="91">
                  <c:v>100.74</c:v>
                </c:pt>
                <c:pt idx="92">
                  <c:v>99.12</c:v>
                </c:pt>
                <c:pt idx="93">
                  <c:v>99.13</c:v>
                </c:pt>
                <c:pt idx="94">
                  <c:v>99.6</c:v>
                </c:pt>
                <c:pt idx="95">
                  <c:v>98.53</c:v>
                </c:pt>
                <c:pt idx="96">
                  <c:v>98.74</c:v>
                </c:pt>
                <c:pt idx="97">
                  <c:v>98.96</c:v>
                </c:pt>
                <c:pt idx="98">
                  <c:v>97.74</c:v>
                </c:pt>
                <c:pt idx="99">
                  <c:v>95.84</c:v>
                </c:pt>
                <c:pt idx="100">
                  <c:v>94.12</c:v>
                </c:pt>
                <c:pt idx="101">
                  <c:v>92.92</c:v>
                </c:pt>
                <c:pt idx="102">
                  <c:v>91.81</c:v>
                </c:pt>
                <c:pt idx="103">
                  <c:v>90.67</c:v>
                </c:pt>
                <c:pt idx="104">
                  <c:v>89</c:v>
                </c:pt>
                <c:pt idx="105">
                  <c:v>91.41</c:v>
                </c:pt>
                <c:pt idx="106">
                  <c:v>89.57</c:v>
                </c:pt>
                <c:pt idx="107">
                  <c:v>87.61</c:v>
                </c:pt>
                <c:pt idx="108">
                  <c:v>86.05</c:v>
                </c:pt>
                <c:pt idx="109">
                  <c:v>84.74</c:v>
                </c:pt>
                <c:pt idx="110">
                  <c:v>82.99</c:v>
                </c:pt>
                <c:pt idx="111">
                  <c:v>83.24</c:v>
                </c:pt>
                <c:pt idx="112">
                  <c:v>82.01</c:v>
                </c:pt>
                <c:pt idx="113">
                  <c:v>83.78</c:v>
                </c:pt>
                <c:pt idx="114">
                  <c:v>84.58</c:v>
                </c:pt>
                <c:pt idx="115">
                  <c:v>83.54</c:v>
                </c:pt>
                <c:pt idx="116">
                  <c:v>81.98</c:v>
                </c:pt>
                <c:pt idx="117">
                  <c:v>80.83</c:v>
                </c:pt>
                <c:pt idx="118">
                  <c:v>82.36</c:v>
                </c:pt>
                <c:pt idx="119">
                  <c:v>84.09</c:v>
                </c:pt>
                <c:pt idx="120">
                  <c:v>84.24</c:v>
                </c:pt>
                <c:pt idx="121">
                  <c:v>82.95</c:v>
                </c:pt>
                <c:pt idx="122">
                  <c:v>81.31</c:v>
                </c:pt>
                <c:pt idx="123">
                  <c:v>79.98</c:v>
                </c:pt>
                <c:pt idx="124">
                  <c:v>82.43</c:v>
                </c:pt>
                <c:pt idx="125">
                  <c:v>82.52</c:v>
                </c:pt>
                <c:pt idx="126">
                  <c:v>84.65</c:v>
                </c:pt>
                <c:pt idx="127">
                  <c:v>86.94</c:v>
                </c:pt>
                <c:pt idx="128">
                  <c:v>85.55</c:v>
                </c:pt>
                <c:pt idx="129">
                  <c:v>83.97</c:v>
                </c:pt>
                <c:pt idx="130">
                  <c:v>86.02</c:v>
                </c:pt>
                <c:pt idx="131">
                  <c:v>86.22</c:v>
                </c:pt>
                <c:pt idx="132">
                  <c:v>85.22</c:v>
                </c:pt>
                <c:pt idx="133">
                  <c:v>87.49</c:v>
                </c:pt>
                <c:pt idx="134">
                  <c:v>86.28</c:v>
                </c:pt>
                <c:pt idx="135">
                  <c:v>85.13</c:v>
                </c:pt>
                <c:pt idx="136">
                  <c:v>85.52</c:v>
                </c:pt>
                <c:pt idx="137">
                  <c:v>87.25</c:v>
                </c:pt>
                <c:pt idx="138">
                  <c:v>86.24</c:v>
                </c:pt>
                <c:pt idx="139">
                  <c:v>84.92</c:v>
                </c:pt>
                <c:pt idx="140">
                  <c:v>87.16</c:v>
                </c:pt>
                <c:pt idx="141">
                  <c:v>85.98</c:v>
                </c:pt>
                <c:pt idx="142">
                  <c:v>88.4</c:v>
                </c:pt>
                <c:pt idx="143">
                  <c:v>86.92</c:v>
                </c:pt>
                <c:pt idx="144">
                  <c:v>85.46</c:v>
                </c:pt>
                <c:pt idx="145">
                  <c:v>86.18</c:v>
                </c:pt>
                <c:pt idx="146">
                  <c:v>85.09</c:v>
                </c:pt>
                <c:pt idx="147">
                  <c:v>83.71</c:v>
                </c:pt>
                <c:pt idx="148">
                  <c:v>85.66</c:v>
                </c:pt>
                <c:pt idx="149">
                  <c:v>85.94</c:v>
                </c:pt>
                <c:pt idx="150">
                  <c:v>87.4</c:v>
                </c:pt>
                <c:pt idx="151">
                  <c:v>86.27</c:v>
                </c:pt>
                <c:pt idx="152">
                  <c:v>88.03</c:v>
                </c:pt>
                <c:pt idx="153">
                  <c:v>88.79</c:v>
                </c:pt>
                <c:pt idx="154">
                  <c:v>89.7</c:v>
                </c:pt>
                <c:pt idx="155">
                  <c:v>90.26</c:v>
                </c:pt>
                <c:pt idx="156">
                  <c:v>88.27</c:v>
                </c:pt>
                <c:pt idx="157">
                  <c:v>88.73</c:v>
                </c:pt>
                <c:pt idx="158">
                  <c:v>87.13</c:v>
                </c:pt>
                <c:pt idx="159">
                  <c:v>85.68</c:v>
                </c:pt>
                <c:pt idx="160">
                  <c:v>84.27</c:v>
                </c:pt>
                <c:pt idx="161">
                  <c:v>82.68</c:v>
                </c:pt>
                <c:pt idx="162">
                  <c:v>84.44</c:v>
                </c:pt>
                <c:pt idx="163">
                  <c:v>85.82</c:v>
                </c:pt>
                <c:pt idx="164">
                  <c:v>84.73</c:v>
                </c:pt>
                <c:pt idx="165">
                  <c:v>86.08</c:v>
                </c:pt>
                <c:pt idx="166">
                  <c:v>87.8</c:v>
                </c:pt>
                <c:pt idx="167">
                  <c:v>86.31</c:v>
                </c:pt>
                <c:pt idx="168">
                  <c:v>84.68</c:v>
                </c:pt>
                <c:pt idx="169">
                  <c:v>82.77</c:v>
                </c:pt>
                <c:pt idx="170">
                  <c:v>80.95</c:v>
                </c:pt>
                <c:pt idx="171">
                  <c:v>81.61</c:v>
                </c:pt>
                <c:pt idx="172">
                  <c:v>82.19</c:v>
                </c:pt>
                <c:pt idx="173">
                  <c:v>80.69</c:v>
                </c:pt>
                <c:pt idx="174">
                  <c:v>81.66</c:v>
                </c:pt>
                <c:pt idx="175">
                  <c:v>80.06</c:v>
                </c:pt>
                <c:pt idx="176">
                  <c:v>78.959999999999994</c:v>
                </c:pt>
                <c:pt idx="177">
                  <c:v>80.52</c:v>
                </c:pt>
                <c:pt idx="178">
                  <c:v>81.67</c:v>
                </c:pt>
                <c:pt idx="179">
                  <c:v>82.11</c:v>
                </c:pt>
                <c:pt idx="180">
                  <c:v>83.32</c:v>
                </c:pt>
                <c:pt idx="181">
                  <c:v>84.79</c:v>
                </c:pt>
                <c:pt idx="182">
                  <c:v>83.25</c:v>
                </c:pt>
                <c:pt idx="183">
                  <c:v>81.319999999999993</c:v>
                </c:pt>
                <c:pt idx="184">
                  <c:v>82.7</c:v>
                </c:pt>
                <c:pt idx="185">
                  <c:v>84.81</c:v>
                </c:pt>
                <c:pt idx="186">
                  <c:v>86.6</c:v>
                </c:pt>
                <c:pt idx="187">
                  <c:v>87.71</c:v>
                </c:pt>
                <c:pt idx="188">
                  <c:v>86.58</c:v>
                </c:pt>
                <c:pt idx="189">
                  <c:v>85.23</c:v>
                </c:pt>
                <c:pt idx="190">
                  <c:v>87.45</c:v>
                </c:pt>
                <c:pt idx="191">
                  <c:v>86.12</c:v>
                </c:pt>
                <c:pt idx="192">
                  <c:v>87.45</c:v>
                </c:pt>
                <c:pt idx="193">
                  <c:v>89.49</c:v>
                </c:pt>
                <c:pt idx="194">
                  <c:v>87.85</c:v>
                </c:pt>
                <c:pt idx="195">
                  <c:v>89.46</c:v>
                </c:pt>
                <c:pt idx="196">
                  <c:v>87.6</c:v>
                </c:pt>
                <c:pt idx="197">
                  <c:v>87.87</c:v>
                </c:pt>
                <c:pt idx="198">
                  <c:v>88.46</c:v>
                </c:pt>
                <c:pt idx="199">
                  <c:v>90.4</c:v>
                </c:pt>
                <c:pt idx="200">
                  <c:v>88.55</c:v>
                </c:pt>
                <c:pt idx="201">
                  <c:v>86.63</c:v>
                </c:pt>
                <c:pt idx="202">
                  <c:v>88.98</c:v>
                </c:pt>
                <c:pt idx="203">
                  <c:v>90.85</c:v>
                </c:pt>
                <c:pt idx="204">
                  <c:v>89.19</c:v>
                </c:pt>
                <c:pt idx="205">
                  <c:v>91.15</c:v>
                </c:pt>
                <c:pt idx="206">
                  <c:v>93.49</c:v>
                </c:pt>
                <c:pt idx="207">
                  <c:v>92.45</c:v>
                </c:pt>
                <c:pt idx="208">
                  <c:v>90.51</c:v>
                </c:pt>
                <c:pt idx="209">
                  <c:v>91.65</c:v>
                </c:pt>
                <c:pt idx="210">
                  <c:v>92.92</c:v>
                </c:pt>
                <c:pt idx="211">
                  <c:v>91.21</c:v>
                </c:pt>
                <c:pt idx="212">
                  <c:v>93.43</c:v>
                </c:pt>
                <c:pt idx="213">
                  <c:v>91.8</c:v>
                </c:pt>
                <c:pt idx="214">
                  <c:v>91.8</c:v>
                </c:pt>
                <c:pt idx="215">
                  <c:v>92</c:v>
                </c:pt>
                <c:pt idx="216">
                  <c:v>92.36</c:v>
                </c:pt>
                <c:pt idx="217">
                  <c:v>92.9</c:v>
                </c:pt>
                <c:pt idx="218">
                  <c:v>93.1</c:v>
                </c:pt>
                <c:pt idx="219">
                  <c:v>91.21</c:v>
                </c:pt>
                <c:pt idx="220">
                  <c:v>91.54</c:v>
                </c:pt>
                <c:pt idx="221">
                  <c:v>90.34</c:v>
                </c:pt>
                <c:pt idx="222">
                  <c:v>92.62</c:v>
                </c:pt>
                <c:pt idx="223">
                  <c:v>91.21</c:v>
                </c:pt>
                <c:pt idx="224">
                  <c:v>89.52</c:v>
                </c:pt>
                <c:pt idx="225">
                  <c:v>90.34</c:v>
                </c:pt>
                <c:pt idx="226">
                  <c:v>91.91</c:v>
                </c:pt>
                <c:pt idx="227">
                  <c:v>90.8</c:v>
                </c:pt>
                <c:pt idx="228">
                  <c:v>88.98</c:v>
                </c:pt>
                <c:pt idx="229">
                  <c:v>89.86</c:v>
                </c:pt>
                <c:pt idx="230">
                  <c:v>88.45</c:v>
                </c:pt>
                <c:pt idx="231">
                  <c:v>86.77</c:v>
                </c:pt>
                <c:pt idx="232">
                  <c:v>85.63</c:v>
                </c:pt>
                <c:pt idx="233">
                  <c:v>87.73</c:v>
                </c:pt>
                <c:pt idx="234">
                  <c:v>89.17</c:v>
                </c:pt>
                <c:pt idx="235">
                  <c:v>88.01</c:v>
                </c:pt>
                <c:pt idx="236">
                  <c:v>88.31</c:v>
                </c:pt>
                <c:pt idx="237">
                  <c:v>86.56</c:v>
                </c:pt>
                <c:pt idx="238">
                  <c:v>87.67</c:v>
                </c:pt>
                <c:pt idx="239">
                  <c:v>88.52</c:v>
                </c:pt>
                <c:pt idx="240">
                  <c:v>87.25</c:v>
                </c:pt>
                <c:pt idx="241">
                  <c:v>85.42</c:v>
                </c:pt>
                <c:pt idx="242">
                  <c:v>86.62</c:v>
                </c:pt>
                <c:pt idx="243">
                  <c:v>88.88</c:v>
                </c:pt>
                <c:pt idx="244">
                  <c:v>91.29</c:v>
                </c:pt>
                <c:pt idx="245">
                  <c:v>93.1</c:v>
                </c:pt>
                <c:pt idx="246">
                  <c:v>93.12</c:v>
                </c:pt>
                <c:pt idx="247">
                  <c:v>91.63</c:v>
                </c:pt>
                <c:pt idx="248">
                  <c:v>92.81</c:v>
                </c:pt>
                <c:pt idx="249">
                  <c:v>91.5</c:v>
                </c:pt>
                <c:pt idx="250">
                  <c:v>89.95</c:v>
                </c:pt>
                <c:pt idx="251">
                  <c:v>88.12</c:v>
                </c:pt>
                <c:pt idx="252">
                  <c:v>89.9</c:v>
                </c:pt>
                <c:pt idx="253">
                  <c:v>88.53</c:v>
                </c:pt>
                <c:pt idx="254">
                  <c:v>89.84</c:v>
                </c:pt>
                <c:pt idx="255">
                  <c:v>88.49</c:v>
                </c:pt>
                <c:pt idx="256">
                  <c:v>89.57</c:v>
                </c:pt>
                <c:pt idx="257">
                  <c:v>88.41</c:v>
                </c:pt>
                <c:pt idx="258">
                  <c:v>86.51</c:v>
                </c:pt>
                <c:pt idx="259">
                  <c:v>85.32</c:v>
                </c:pt>
                <c:pt idx="260">
                  <c:v>84.06</c:v>
                </c:pt>
                <c:pt idx="261">
                  <c:v>82.3</c:v>
                </c:pt>
                <c:pt idx="262">
                  <c:v>80.760000000000005</c:v>
                </c:pt>
                <c:pt idx="263">
                  <c:v>79.739999999999995</c:v>
                </c:pt>
                <c:pt idx="264">
                  <c:v>77.97</c:v>
                </c:pt>
                <c:pt idx="265">
                  <c:v>76.87</c:v>
                </c:pt>
                <c:pt idx="266">
                  <c:v>75.680000000000007</c:v>
                </c:pt>
                <c:pt idx="267">
                  <c:v>74</c:v>
                </c:pt>
                <c:pt idx="268">
                  <c:v>72.63</c:v>
                </c:pt>
                <c:pt idx="269">
                  <c:v>74.45</c:v>
                </c:pt>
                <c:pt idx="270">
                  <c:v>76.709999999999994</c:v>
                </c:pt>
                <c:pt idx="271">
                  <c:v>75</c:v>
                </c:pt>
                <c:pt idx="272">
                  <c:v>73.349999999999994</c:v>
                </c:pt>
                <c:pt idx="273">
                  <c:v>71.900000000000006</c:v>
                </c:pt>
                <c:pt idx="274">
                  <c:v>70.31</c:v>
                </c:pt>
                <c:pt idx="275">
                  <c:v>68.63</c:v>
                </c:pt>
                <c:pt idx="276">
                  <c:v>71.069999999999993</c:v>
                </c:pt>
                <c:pt idx="277">
                  <c:v>72.34</c:v>
                </c:pt>
                <c:pt idx="278">
                  <c:v>71.27</c:v>
                </c:pt>
                <c:pt idx="279">
                  <c:v>71.540000000000006</c:v>
                </c:pt>
                <c:pt idx="280">
                  <c:v>72.11</c:v>
                </c:pt>
                <c:pt idx="281">
                  <c:v>73.61</c:v>
                </c:pt>
                <c:pt idx="282">
                  <c:v>74.5</c:v>
                </c:pt>
                <c:pt idx="283">
                  <c:v>76.239999999999995</c:v>
                </c:pt>
                <c:pt idx="284">
                  <c:v>76.92</c:v>
                </c:pt>
                <c:pt idx="285">
                  <c:v>78.94</c:v>
                </c:pt>
                <c:pt idx="286">
                  <c:v>77.64</c:v>
                </c:pt>
                <c:pt idx="287">
                  <c:v>76.14</c:v>
                </c:pt>
                <c:pt idx="288">
                  <c:v>74.72</c:v>
                </c:pt>
                <c:pt idx="289">
                  <c:v>73.02</c:v>
                </c:pt>
                <c:pt idx="290">
                  <c:v>73.42</c:v>
                </c:pt>
                <c:pt idx="291">
                  <c:v>71.849999999999994</c:v>
                </c:pt>
                <c:pt idx="292">
                  <c:v>70.02</c:v>
                </c:pt>
                <c:pt idx="293">
                  <c:v>68.36</c:v>
                </c:pt>
                <c:pt idx="294">
                  <c:v>66.989999999999995</c:v>
                </c:pt>
                <c:pt idx="295">
                  <c:v>65.94</c:v>
                </c:pt>
                <c:pt idx="296">
                  <c:v>64.150000000000006</c:v>
                </c:pt>
                <c:pt idx="297">
                  <c:v>65.95</c:v>
                </c:pt>
                <c:pt idx="298">
                  <c:v>67.45</c:v>
                </c:pt>
                <c:pt idx="299">
                  <c:v>65.540000000000006</c:v>
                </c:pt>
                <c:pt idx="300">
                  <c:v>67.31</c:v>
                </c:pt>
                <c:pt idx="301">
                  <c:v>68.48</c:v>
                </c:pt>
                <c:pt idx="302">
                  <c:v>70.61</c:v>
                </c:pt>
                <c:pt idx="303">
                  <c:v>68.95</c:v>
                </c:pt>
                <c:pt idx="304">
                  <c:v>70.34</c:v>
                </c:pt>
                <c:pt idx="305">
                  <c:v>72.260000000000005</c:v>
                </c:pt>
                <c:pt idx="306">
                  <c:v>70.56</c:v>
                </c:pt>
                <c:pt idx="307">
                  <c:v>72.2</c:v>
                </c:pt>
                <c:pt idx="308">
                  <c:v>70.36</c:v>
                </c:pt>
                <c:pt idx="309">
                  <c:v>71.61</c:v>
                </c:pt>
                <c:pt idx="310">
                  <c:v>70.290000000000006</c:v>
                </c:pt>
                <c:pt idx="311">
                  <c:v>69.23</c:v>
                </c:pt>
                <c:pt idx="312">
                  <c:v>67.989999999999995</c:v>
                </c:pt>
                <c:pt idx="313">
                  <c:v>69.44</c:v>
                </c:pt>
                <c:pt idx="314">
                  <c:v>70.47</c:v>
                </c:pt>
                <c:pt idx="315">
                  <c:v>71.23</c:v>
                </c:pt>
                <c:pt idx="316">
                  <c:v>70.17</c:v>
                </c:pt>
                <c:pt idx="317">
                  <c:v>71.95</c:v>
                </c:pt>
                <c:pt idx="318">
                  <c:v>73.099999999999994</c:v>
                </c:pt>
                <c:pt idx="319">
                  <c:v>74.34</c:v>
                </c:pt>
                <c:pt idx="320">
                  <c:v>75.400000000000006</c:v>
                </c:pt>
                <c:pt idx="321">
                  <c:v>75.91</c:v>
                </c:pt>
                <c:pt idx="322">
                  <c:v>74.760000000000005</c:v>
                </c:pt>
                <c:pt idx="323">
                  <c:v>75.89</c:v>
                </c:pt>
                <c:pt idx="324">
                  <c:v>77.86</c:v>
                </c:pt>
                <c:pt idx="325">
                  <c:v>79.27</c:v>
                </c:pt>
                <c:pt idx="326">
                  <c:v>80.73</c:v>
                </c:pt>
                <c:pt idx="327">
                  <c:v>81.010000000000005</c:v>
                </c:pt>
                <c:pt idx="328">
                  <c:v>79.97</c:v>
                </c:pt>
                <c:pt idx="329">
                  <c:v>77.98</c:v>
                </c:pt>
                <c:pt idx="330">
                  <c:v>79.209999999999994</c:v>
                </c:pt>
                <c:pt idx="331">
                  <c:v>80.59</c:v>
                </c:pt>
                <c:pt idx="332">
                  <c:v>83.04</c:v>
                </c:pt>
                <c:pt idx="333">
                  <c:v>84.26</c:v>
                </c:pt>
                <c:pt idx="334">
                  <c:v>85.28</c:v>
                </c:pt>
                <c:pt idx="335">
                  <c:v>85.74</c:v>
                </c:pt>
                <c:pt idx="336">
                  <c:v>84.14</c:v>
                </c:pt>
                <c:pt idx="337">
                  <c:v>86.12</c:v>
                </c:pt>
                <c:pt idx="338">
                  <c:v>86.23</c:v>
                </c:pt>
                <c:pt idx="339">
                  <c:v>84.78</c:v>
                </c:pt>
                <c:pt idx="340">
                  <c:v>86.91</c:v>
                </c:pt>
                <c:pt idx="341">
                  <c:v>85.3</c:v>
                </c:pt>
                <c:pt idx="342">
                  <c:v>83.64</c:v>
                </c:pt>
                <c:pt idx="343">
                  <c:v>82.5</c:v>
                </c:pt>
                <c:pt idx="344">
                  <c:v>83.5</c:v>
                </c:pt>
                <c:pt idx="345">
                  <c:v>85.49</c:v>
                </c:pt>
                <c:pt idx="346">
                  <c:v>87.71</c:v>
                </c:pt>
                <c:pt idx="347">
                  <c:v>85.99</c:v>
                </c:pt>
                <c:pt idx="348">
                  <c:v>88.15</c:v>
                </c:pt>
                <c:pt idx="349">
                  <c:v>88.57</c:v>
                </c:pt>
                <c:pt idx="350">
                  <c:v>88.75</c:v>
                </c:pt>
                <c:pt idx="351">
                  <c:v>89.45</c:v>
                </c:pt>
                <c:pt idx="352">
                  <c:v>87.7</c:v>
                </c:pt>
                <c:pt idx="353">
                  <c:v>85.97</c:v>
                </c:pt>
                <c:pt idx="354">
                  <c:v>86.77</c:v>
                </c:pt>
                <c:pt idx="355">
                  <c:v>85.03</c:v>
                </c:pt>
                <c:pt idx="356">
                  <c:v>83.62</c:v>
                </c:pt>
                <c:pt idx="357">
                  <c:v>85.87</c:v>
                </c:pt>
                <c:pt idx="358">
                  <c:v>86.95</c:v>
                </c:pt>
                <c:pt idx="359">
                  <c:v>88.95</c:v>
                </c:pt>
                <c:pt idx="360">
                  <c:v>87.68</c:v>
                </c:pt>
                <c:pt idx="361">
                  <c:v>86.52</c:v>
                </c:pt>
                <c:pt idx="362">
                  <c:v>87.64</c:v>
                </c:pt>
                <c:pt idx="363">
                  <c:v>86.51</c:v>
                </c:pt>
                <c:pt idx="364">
                  <c:v>85.1</c:v>
                </c:pt>
                <c:pt idx="365">
                  <c:v>86.09</c:v>
                </c:pt>
                <c:pt idx="366">
                  <c:v>84.89</c:v>
                </c:pt>
                <c:pt idx="367">
                  <c:v>83.75</c:v>
                </c:pt>
                <c:pt idx="368">
                  <c:v>85.37</c:v>
                </c:pt>
                <c:pt idx="369">
                  <c:v>85.9</c:v>
                </c:pt>
                <c:pt idx="370">
                  <c:v>84.34</c:v>
                </c:pt>
                <c:pt idx="371">
                  <c:v>83.32</c:v>
                </c:pt>
                <c:pt idx="372">
                  <c:v>83.78</c:v>
                </c:pt>
                <c:pt idx="373">
                  <c:v>81.97</c:v>
                </c:pt>
                <c:pt idx="374">
                  <c:v>83.69</c:v>
                </c:pt>
                <c:pt idx="375">
                  <c:v>82.46</c:v>
                </c:pt>
                <c:pt idx="376">
                  <c:v>84.11</c:v>
                </c:pt>
                <c:pt idx="377">
                  <c:v>85.63</c:v>
                </c:pt>
                <c:pt idx="378">
                  <c:v>85.83</c:v>
                </c:pt>
                <c:pt idx="379">
                  <c:v>86.66</c:v>
                </c:pt>
                <c:pt idx="380">
                  <c:v>87.96</c:v>
                </c:pt>
                <c:pt idx="381">
                  <c:v>89.71</c:v>
                </c:pt>
                <c:pt idx="382">
                  <c:v>91.38</c:v>
                </c:pt>
                <c:pt idx="383">
                  <c:v>90.08</c:v>
                </c:pt>
                <c:pt idx="384">
                  <c:v>88.79</c:v>
                </c:pt>
                <c:pt idx="385">
                  <c:v>86.79</c:v>
                </c:pt>
                <c:pt idx="386">
                  <c:v>84.93</c:v>
                </c:pt>
                <c:pt idx="387">
                  <c:v>83.65</c:v>
                </c:pt>
                <c:pt idx="388">
                  <c:v>84.46</c:v>
                </c:pt>
                <c:pt idx="389">
                  <c:v>82.96</c:v>
                </c:pt>
                <c:pt idx="390">
                  <c:v>81.92</c:v>
                </c:pt>
                <c:pt idx="391">
                  <c:v>80.319999999999993</c:v>
                </c:pt>
                <c:pt idx="392">
                  <c:v>80.37</c:v>
                </c:pt>
                <c:pt idx="393">
                  <c:v>81.260000000000005</c:v>
                </c:pt>
                <c:pt idx="394">
                  <c:v>83.72</c:v>
                </c:pt>
                <c:pt idx="395">
                  <c:v>84.27</c:v>
                </c:pt>
                <c:pt idx="396">
                  <c:v>82.97</c:v>
                </c:pt>
                <c:pt idx="397">
                  <c:v>83.17</c:v>
                </c:pt>
                <c:pt idx="398">
                  <c:v>81.819999999999993</c:v>
                </c:pt>
                <c:pt idx="399">
                  <c:v>84.04</c:v>
                </c:pt>
                <c:pt idx="400">
                  <c:v>82.65</c:v>
                </c:pt>
                <c:pt idx="401">
                  <c:v>83.94</c:v>
                </c:pt>
                <c:pt idx="402">
                  <c:v>82.19</c:v>
                </c:pt>
                <c:pt idx="403">
                  <c:v>84.44</c:v>
                </c:pt>
                <c:pt idx="404">
                  <c:v>82.85</c:v>
                </c:pt>
                <c:pt idx="405">
                  <c:v>84.73</c:v>
                </c:pt>
                <c:pt idx="406">
                  <c:v>84.93</c:v>
                </c:pt>
                <c:pt idx="407">
                  <c:v>83.87</c:v>
                </c:pt>
                <c:pt idx="408">
                  <c:v>82.71</c:v>
                </c:pt>
                <c:pt idx="409">
                  <c:v>81.37</c:v>
                </c:pt>
                <c:pt idx="410">
                  <c:v>80.040000000000006</c:v>
                </c:pt>
                <c:pt idx="411">
                  <c:v>81.96</c:v>
                </c:pt>
                <c:pt idx="412">
                  <c:v>82.73</c:v>
                </c:pt>
                <c:pt idx="413">
                  <c:v>81.599999999999994</c:v>
                </c:pt>
                <c:pt idx="414">
                  <c:v>80.37</c:v>
                </c:pt>
                <c:pt idx="415">
                  <c:v>82.29</c:v>
                </c:pt>
                <c:pt idx="416">
                  <c:v>83.24</c:v>
                </c:pt>
                <c:pt idx="417">
                  <c:v>85.09</c:v>
                </c:pt>
                <c:pt idx="418">
                  <c:v>85.26</c:v>
                </c:pt>
                <c:pt idx="419">
                  <c:v>87.45</c:v>
                </c:pt>
                <c:pt idx="420">
                  <c:v>89.82</c:v>
                </c:pt>
                <c:pt idx="421">
                  <c:v>91.95</c:v>
                </c:pt>
                <c:pt idx="422">
                  <c:v>94.23</c:v>
                </c:pt>
                <c:pt idx="423">
                  <c:v>93.11</c:v>
                </c:pt>
                <c:pt idx="424">
                  <c:v>93.73</c:v>
                </c:pt>
                <c:pt idx="425">
                  <c:v>95.75</c:v>
                </c:pt>
                <c:pt idx="426">
                  <c:v>97.38</c:v>
                </c:pt>
                <c:pt idx="427">
                  <c:v>99.66</c:v>
                </c:pt>
                <c:pt idx="428">
                  <c:v>98.06</c:v>
                </c:pt>
                <c:pt idx="429">
                  <c:v>99.61</c:v>
                </c:pt>
                <c:pt idx="430">
                  <c:v>97.68</c:v>
                </c:pt>
                <c:pt idx="431">
                  <c:v>96.12</c:v>
                </c:pt>
                <c:pt idx="432">
                  <c:v>94.84</c:v>
                </c:pt>
                <c:pt idx="433">
                  <c:v>95.23</c:v>
                </c:pt>
                <c:pt idx="434">
                  <c:v>96.12</c:v>
                </c:pt>
                <c:pt idx="435">
                  <c:v>94.84</c:v>
                </c:pt>
                <c:pt idx="436">
                  <c:v>93.28</c:v>
                </c:pt>
                <c:pt idx="437">
                  <c:v>91.44</c:v>
                </c:pt>
                <c:pt idx="438">
                  <c:v>93.22</c:v>
                </c:pt>
                <c:pt idx="439">
                  <c:v>95.34</c:v>
                </c:pt>
                <c:pt idx="440">
                  <c:v>97.18</c:v>
                </c:pt>
                <c:pt idx="441">
                  <c:v>95.89</c:v>
                </c:pt>
                <c:pt idx="442">
                  <c:v>94.4</c:v>
                </c:pt>
                <c:pt idx="443">
                  <c:v>93.07</c:v>
                </c:pt>
                <c:pt idx="444">
                  <c:v>93.84</c:v>
                </c:pt>
                <c:pt idx="445">
                  <c:v>92.78</c:v>
                </c:pt>
                <c:pt idx="446">
                  <c:v>94.02</c:v>
                </c:pt>
                <c:pt idx="447">
                  <c:v>95.27</c:v>
                </c:pt>
                <c:pt idx="448">
                  <c:v>93.67</c:v>
                </c:pt>
                <c:pt idx="449">
                  <c:v>95.35</c:v>
                </c:pt>
                <c:pt idx="450">
                  <c:v>96.14</c:v>
                </c:pt>
                <c:pt idx="451">
                  <c:v>94.99</c:v>
                </c:pt>
                <c:pt idx="452">
                  <c:v>95.7</c:v>
                </c:pt>
                <c:pt idx="453">
                  <c:v>95.72</c:v>
                </c:pt>
                <c:pt idx="454">
                  <c:v>96.62</c:v>
                </c:pt>
                <c:pt idx="455">
                  <c:v>98.19</c:v>
                </c:pt>
                <c:pt idx="456">
                  <c:v>97.19</c:v>
                </c:pt>
                <c:pt idx="457">
                  <c:v>97.88</c:v>
                </c:pt>
                <c:pt idx="458">
                  <c:v>96.5</c:v>
                </c:pt>
                <c:pt idx="459">
                  <c:v>98.32</c:v>
                </c:pt>
                <c:pt idx="460">
                  <c:v>100.41</c:v>
                </c:pt>
                <c:pt idx="461">
                  <c:v>98.63</c:v>
                </c:pt>
                <c:pt idx="462">
                  <c:v>96.81</c:v>
                </c:pt>
                <c:pt idx="463">
                  <c:v>98.88</c:v>
                </c:pt>
                <c:pt idx="464">
                  <c:v>100.54</c:v>
                </c:pt>
                <c:pt idx="465">
                  <c:v>102.5</c:v>
                </c:pt>
                <c:pt idx="466">
                  <c:v>103.73</c:v>
                </c:pt>
                <c:pt idx="467">
                  <c:v>101.95</c:v>
                </c:pt>
                <c:pt idx="468">
                  <c:v>100.28</c:v>
                </c:pt>
                <c:pt idx="469">
                  <c:v>101.15</c:v>
                </c:pt>
                <c:pt idx="470">
                  <c:v>101.53</c:v>
                </c:pt>
                <c:pt idx="471">
                  <c:v>103.27</c:v>
                </c:pt>
                <c:pt idx="472">
                  <c:v>102.2</c:v>
                </c:pt>
                <c:pt idx="473">
                  <c:v>100.83</c:v>
                </c:pt>
                <c:pt idx="474">
                  <c:v>101.6</c:v>
                </c:pt>
                <c:pt idx="475">
                  <c:v>99.94</c:v>
                </c:pt>
                <c:pt idx="476">
                  <c:v>98.46</c:v>
                </c:pt>
                <c:pt idx="477">
                  <c:v>97.24</c:v>
                </c:pt>
                <c:pt idx="478">
                  <c:v>97.6</c:v>
                </c:pt>
                <c:pt idx="479">
                  <c:v>98.91</c:v>
                </c:pt>
                <c:pt idx="480">
                  <c:v>101.11</c:v>
                </c:pt>
                <c:pt idx="481">
                  <c:v>102.79</c:v>
                </c:pt>
                <c:pt idx="482">
                  <c:v>103.54</c:v>
                </c:pt>
                <c:pt idx="483">
                  <c:v>102.54</c:v>
                </c:pt>
                <c:pt idx="484">
                  <c:v>100.72</c:v>
                </c:pt>
                <c:pt idx="485">
                  <c:v>99.66</c:v>
                </c:pt>
                <c:pt idx="486">
                  <c:v>101.44</c:v>
                </c:pt>
                <c:pt idx="487">
                  <c:v>99.81</c:v>
                </c:pt>
                <c:pt idx="488">
                  <c:v>101.7</c:v>
                </c:pt>
                <c:pt idx="489">
                  <c:v>99.88</c:v>
                </c:pt>
                <c:pt idx="490">
                  <c:v>102.11</c:v>
                </c:pt>
                <c:pt idx="491">
                  <c:v>104.42</c:v>
                </c:pt>
                <c:pt idx="492">
                  <c:v>105.45</c:v>
                </c:pt>
                <c:pt idx="493">
                  <c:v>104.12</c:v>
                </c:pt>
                <c:pt idx="494">
                  <c:v>102.55</c:v>
                </c:pt>
                <c:pt idx="495">
                  <c:v>100.83</c:v>
                </c:pt>
                <c:pt idx="496">
                  <c:v>102.59</c:v>
                </c:pt>
                <c:pt idx="497">
                  <c:v>101.01</c:v>
                </c:pt>
                <c:pt idx="498">
                  <c:v>102.11</c:v>
                </c:pt>
                <c:pt idx="499">
                  <c:v>100.38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C-47BF-B0D5-0FB2AA6B28C8}"/>
            </c:ext>
          </c:extLst>
        </c:ser>
        <c:ser>
          <c:idx val="1"/>
          <c:order val="1"/>
          <c:tx>
            <c:strRef>
              <c:f>'4_1'!$C$1</c:f>
              <c:strCache>
                <c:ptCount val="1"/>
                <c:pt idx="0">
                  <c:v>firma_B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'4_1'!$A$2:$A$501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'4_1'!$C$2:$C$501</c:f>
              <c:numCache>
                <c:formatCode>General</c:formatCode>
                <c:ptCount val="500"/>
                <c:pt idx="0">
                  <c:v>135.43</c:v>
                </c:pt>
                <c:pt idx="1">
                  <c:v>134.99</c:v>
                </c:pt>
                <c:pt idx="2">
                  <c:v>134.04</c:v>
                </c:pt>
                <c:pt idx="3">
                  <c:v>133.76</c:v>
                </c:pt>
                <c:pt idx="4">
                  <c:v>136.72999999999999</c:v>
                </c:pt>
                <c:pt idx="5">
                  <c:v>136.49</c:v>
                </c:pt>
                <c:pt idx="6">
                  <c:v>139.22</c:v>
                </c:pt>
                <c:pt idx="7">
                  <c:v>138.41</c:v>
                </c:pt>
                <c:pt idx="8">
                  <c:v>137.68</c:v>
                </c:pt>
                <c:pt idx="9">
                  <c:v>140.59</c:v>
                </c:pt>
                <c:pt idx="10">
                  <c:v>143.21</c:v>
                </c:pt>
                <c:pt idx="11">
                  <c:v>145.94999999999999</c:v>
                </c:pt>
                <c:pt idx="12">
                  <c:v>145.35</c:v>
                </c:pt>
                <c:pt idx="13">
                  <c:v>145.35</c:v>
                </c:pt>
                <c:pt idx="14">
                  <c:v>145.24</c:v>
                </c:pt>
                <c:pt idx="15">
                  <c:v>148.19</c:v>
                </c:pt>
                <c:pt idx="16">
                  <c:v>146.26</c:v>
                </c:pt>
                <c:pt idx="17">
                  <c:v>144.43</c:v>
                </c:pt>
                <c:pt idx="18">
                  <c:v>144.19</c:v>
                </c:pt>
                <c:pt idx="19">
                  <c:v>142.59</c:v>
                </c:pt>
                <c:pt idx="20">
                  <c:v>142.33000000000001</c:v>
                </c:pt>
                <c:pt idx="21">
                  <c:v>141.56</c:v>
                </c:pt>
                <c:pt idx="22">
                  <c:v>139.78</c:v>
                </c:pt>
                <c:pt idx="23">
                  <c:v>142.72</c:v>
                </c:pt>
                <c:pt idx="24">
                  <c:v>141.38</c:v>
                </c:pt>
                <c:pt idx="25">
                  <c:v>141.34</c:v>
                </c:pt>
                <c:pt idx="26">
                  <c:v>140.87</c:v>
                </c:pt>
                <c:pt idx="27">
                  <c:v>139.35</c:v>
                </c:pt>
                <c:pt idx="28">
                  <c:v>141.87</c:v>
                </c:pt>
                <c:pt idx="29">
                  <c:v>140.41</c:v>
                </c:pt>
                <c:pt idx="30">
                  <c:v>138.97999999999999</c:v>
                </c:pt>
                <c:pt idx="31">
                  <c:v>137.32</c:v>
                </c:pt>
                <c:pt idx="32">
                  <c:v>136.93</c:v>
                </c:pt>
                <c:pt idx="33">
                  <c:v>136.37</c:v>
                </c:pt>
                <c:pt idx="34">
                  <c:v>136.24</c:v>
                </c:pt>
                <c:pt idx="35">
                  <c:v>134.69</c:v>
                </c:pt>
                <c:pt idx="36">
                  <c:v>137.49</c:v>
                </c:pt>
                <c:pt idx="37">
                  <c:v>135.69999999999999</c:v>
                </c:pt>
                <c:pt idx="38">
                  <c:v>134.69</c:v>
                </c:pt>
                <c:pt idx="39">
                  <c:v>133.41</c:v>
                </c:pt>
                <c:pt idx="40">
                  <c:v>136.24</c:v>
                </c:pt>
                <c:pt idx="41">
                  <c:v>136.22</c:v>
                </c:pt>
                <c:pt idx="42">
                  <c:v>135.69999999999999</c:v>
                </c:pt>
                <c:pt idx="43">
                  <c:v>134.72</c:v>
                </c:pt>
                <c:pt idx="44">
                  <c:v>133.13</c:v>
                </c:pt>
                <c:pt idx="45">
                  <c:v>131.47999999999999</c:v>
                </c:pt>
                <c:pt idx="46">
                  <c:v>131.35</c:v>
                </c:pt>
                <c:pt idx="47">
                  <c:v>131.19999999999999</c:v>
                </c:pt>
                <c:pt idx="48">
                  <c:v>130.01</c:v>
                </c:pt>
                <c:pt idx="49">
                  <c:v>129.72</c:v>
                </c:pt>
                <c:pt idx="50">
                  <c:v>128.44999999999999</c:v>
                </c:pt>
                <c:pt idx="51">
                  <c:v>128.38999999999999</c:v>
                </c:pt>
                <c:pt idx="52">
                  <c:v>127.62</c:v>
                </c:pt>
                <c:pt idx="53">
                  <c:v>127.12</c:v>
                </c:pt>
                <c:pt idx="54">
                  <c:v>129.86000000000001</c:v>
                </c:pt>
                <c:pt idx="55">
                  <c:v>128.13999999999999</c:v>
                </c:pt>
                <c:pt idx="56">
                  <c:v>127.11</c:v>
                </c:pt>
                <c:pt idx="57">
                  <c:v>125.12</c:v>
                </c:pt>
                <c:pt idx="58">
                  <c:v>123.31</c:v>
                </c:pt>
                <c:pt idx="59">
                  <c:v>123.23</c:v>
                </c:pt>
                <c:pt idx="60">
                  <c:v>126.02</c:v>
                </c:pt>
                <c:pt idx="61">
                  <c:v>124.34</c:v>
                </c:pt>
                <c:pt idx="62">
                  <c:v>122.71</c:v>
                </c:pt>
                <c:pt idx="63">
                  <c:v>122.53</c:v>
                </c:pt>
                <c:pt idx="64">
                  <c:v>122.08</c:v>
                </c:pt>
                <c:pt idx="65">
                  <c:v>124.82</c:v>
                </c:pt>
                <c:pt idx="66">
                  <c:v>123.18</c:v>
                </c:pt>
                <c:pt idx="67">
                  <c:v>121.65</c:v>
                </c:pt>
                <c:pt idx="68">
                  <c:v>120.46</c:v>
                </c:pt>
                <c:pt idx="69">
                  <c:v>118.94</c:v>
                </c:pt>
                <c:pt idx="70">
                  <c:v>121.35</c:v>
                </c:pt>
                <c:pt idx="71">
                  <c:v>119.53</c:v>
                </c:pt>
                <c:pt idx="72">
                  <c:v>122.07</c:v>
                </c:pt>
                <c:pt idx="73">
                  <c:v>121.46</c:v>
                </c:pt>
                <c:pt idx="74">
                  <c:v>121.05</c:v>
                </c:pt>
                <c:pt idx="75">
                  <c:v>119.15</c:v>
                </c:pt>
                <c:pt idx="76">
                  <c:v>117.48</c:v>
                </c:pt>
                <c:pt idx="77">
                  <c:v>120.35</c:v>
                </c:pt>
                <c:pt idx="78">
                  <c:v>119.66</c:v>
                </c:pt>
                <c:pt idx="79">
                  <c:v>117.79</c:v>
                </c:pt>
                <c:pt idx="80">
                  <c:v>116.78</c:v>
                </c:pt>
                <c:pt idx="81">
                  <c:v>115.69</c:v>
                </c:pt>
                <c:pt idx="82">
                  <c:v>114.43</c:v>
                </c:pt>
                <c:pt idx="83">
                  <c:v>116.98</c:v>
                </c:pt>
                <c:pt idx="84">
                  <c:v>115.16</c:v>
                </c:pt>
                <c:pt idx="85">
                  <c:v>117.73</c:v>
                </c:pt>
                <c:pt idx="86">
                  <c:v>116.14</c:v>
                </c:pt>
                <c:pt idx="87">
                  <c:v>114.52</c:v>
                </c:pt>
                <c:pt idx="88">
                  <c:v>117.04</c:v>
                </c:pt>
                <c:pt idx="89">
                  <c:v>116.49</c:v>
                </c:pt>
                <c:pt idx="90">
                  <c:v>115.06</c:v>
                </c:pt>
                <c:pt idx="91">
                  <c:v>117.47</c:v>
                </c:pt>
                <c:pt idx="92">
                  <c:v>120.19</c:v>
                </c:pt>
                <c:pt idx="93">
                  <c:v>122.89</c:v>
                </c:pt>
                <c:pt idx="94">
                  <c:v>122.61</c:v>
                </c:pt>
                <c:pt idx="95">
                  <c:v>122.59</c:v>
                </c:pt>
                <c:pt idx="96">
                  <c:v>125.49</c:v>
                </c:pt>
                <c:pt idx="97">
                  <c:v>127.95</c:v>
                </c:pt>
                <c:pt idx="98">
                  <c:v>126.34</c:v>
                </c:pt>
                <c:pt idx="99">
                  <c:v>128.94</c:v>
                </c:pt>
                <c:pt idx="100">
                  <c:v>131.63999999999999</c:v>
                </c:pt>
                <c:pt idx="101">
                  <c:v>134.62</c:v>
                </c:pt>
                <c:pt idx="102">
                  <c:v>134.53</c:v>
                </c:pt>
                <c:pt idx="103">
                  <c:v>137.36000000000001</c:v>
                </c:pt>
                <c:pt idx="104">
                  <c:v>136.86000000000001</c:v>
                </c:pt>
                <c:pt idx="105">
                  <c:v>136.07</c:v>
                </c:pt>
                <c:pt idx="106">
                  <c:v>134.57</c:v>
                </c:pt>
                <c:pt idx="107">
                  <c:v>134.38</c:v>
                </c:pt>
                <c:pt idx="108">
                  <c:v>132.80000000000001</c:v>
                </c:pt>
                <c:pt idx="109">
                  <c:v>131.24</c:v>
                </c:pt>
                <c:pt idx="110">
                  <c:v>129.4</c:v>
                </c:pt>
                <c:pt idx="111">
                  <c:v>128.88999999999999</c:v>
                </c:pt>
                <c:pt idx="112">
                  <c:v>131.63</c:v>
                </c:pt>
                <c:pt idx="113">
                  <c:v>130.61000000000001</c:v>
                </c:pt>
                <c:pt idx="114">
                  <c:v>129.29</c:v>
                </c:pt>
                <c:pt idx="115">
                  <c:v>128.63999999999999</c:v>
                </c:pt>
                <c:pt idx="116">
                  <c:v>126.95</c:v>
                </c:pt>
                <c:pt idx="117">
                  <c:v>129.85</c:v>
                </c:pt>
                <c:pt idx="118">
                  <c:v>132.72</c:v>
                </c:pt>
                <c:pt idx="119">
                  <c:v>131.19999999999999</c:v>
                </c:pt>
                <c:pt idx="120">
                  <c:v>130.31</c:v>
                </c:pt>
                <c:pt idx="121">
                  <c:v>129.08000000000001</c:v>
                </c:pt>
                <c:pt idx="122">
                  <c:v>131.88</c:v>
                </c:pt>
                <c:pt idx="123">
                  <c:v>134.6</c:v>
                </c:pt>
                <c:pt idx="124">
                  <c:v>137.30000000000001</c:v>
                </c:pt>
                <c:pt idx="125">
                  <c:v>136.16</c:v>
                </c:pt>
                <c:pt idx="126">
                  <c:v>138.69999999999999</c:v>
                </c:pt>
                <c:pt idx="127">
                  <c:v>141.12</c:v>
                </c:pt>
                <c:pt idx="128">
                  <c:v>139.78</c:v>
                </c:pt>
                <c:pt idx="129">
                  <c:v>139.46</c:v>
                </c:pt>
                <c:pt idx="130">
                  <c:v>137.97</c:v>
                </c:pt>
                <c:pt idx="131">
                  <c:v>140.63999999999999</c:v>
                </c:pt>
                <c:pt idx="132">
                  <c:v>140.30000000000001</c:v>
                </c:pt>
                <c:pt idx="133">
                  <c:v>140.18</c:v>
                </c:pt>
                <c:pt idx="134">
                  <c:v>138.26</c:v>
                </c:pt>
                <c:pt idx="135">
                  <c:v>136.72</c:v>
                </c:pt>
                <c:pt idx="136">
                  <c:v>136.54</c:v>
                </c:pt>
                <c:pt idx="137">
                  <c:v>135.38999999999999</c:v>
                </c:pt>
                <c:pt idx="138">
                  <c:v>134.08000000000001</c:v>
                </c:pt>
                <c:pt idx="139">
                  <c:v>133.26</c:v>
                </c:pt>
                <c:pt idx="140">
                  <c:v>132.34</c:v>
                </c:pt>
                <c:pt idx="141">
                  <c:v>135.11000000000001</c:v>
                </c:pt>
                <c:pt idx="142">
                  <c:v>135</c:v>
                </c:pt>
                <c:pt idx="143">
                  <c:v>133.35</c:v>
                </c:pt>
                <c:pt idx="144">
                  <c:v>132.09</c:v>
                </c:pt>
                <c:pt idx="145">
                  <c:v>131.82</c:v>
                </c:pt>
                <c:pt idx="146">
                  <c:v>134.54</c:v>
                </c:pt>
                <c:pt idx="147">
                  <c:v>137.08000000000001</c:v>
                </c:pt>
                <c:pt idx="148">
                  <c:v>136.36000000000001</c:v>
                </c:pt>
                <c:pt idx="149">
                  <c:v>134.97999999999999</c:v>
                </c:pt>
                <c:pt idx="150">
                  <c:v>133.44</c:v>
                </c:pt>
                <c:pt idx="151">
                  <c:v>132.32</c:v>
                </c:pt>
                <c:pt idx="152">
                  <c:v>132.25</c:v>
                </c:pt>
                <c:pt idx="153">
                  <c:v>134.86000000000001</c:v>
                </c:pt>
                <c:pt idx="154">
                  <c:v>133.21</c:v>
                </c:pt>
                <c:pt idx="155">
                  <c:v>131.81</c:v>
                </c:pt>
                <c:pt idx="156">
                  <c:v>131</c:v>
                </c:pt>
                <c:pt idx="157">
                  <c:v>130.27000000000001</c:v>
                </c:pt>
                <c:pt idx="158">
                  <c:v>128.56</c:v>
                </c:pt>
                <c:pt idx="159">
                  <c:v>127.84</c:v>
                </c:pt>
                <c:pt idx="160">
                  <c:v>127.42</c:v>
                </c:pt>
                <c:pt idx="161">
                  <c:v>127.09</c:v>
                </c:pt>
                <c:pt idx="162">
                  <c:v>126.43</c:v>
                </c:pt>
                <c:pt idx="163">
                  <c:v>126.31</c:v>
                </c:pt>
                <c:pt idx="164">
                  <c:v>129.22999999999999</c:v>
                </c:pt>
                <c:pt idx="165">
                  <c:v>128.37</c:v>
                </c:pt>
                <c:pt idx="166">
                  <c:v>128.21</c:v>
                </c:pt>
                <c:pt idx="167">
                  <c:v>130.97999999999999</c:v>
                </c:pt>
                <c:pt idx="168">
                  <c:v>130.07</c:v>
                </c:pt>
                <c:pt idx="169">
                  <c:v>129.9</c:v>
                </c:pt>
                <c:pt idx="170">
                  <c:v>129.86000000000001</c:v>
                </c:pt>
                <c:pt idx="171">
                  <c:v>128.05000000000001</c:v>
                </c:pt>
                <c:pt idx="172">
                  <c:v>130.53</c:v>
                </c:pt>
                <c:pt idx="173">
                  <c:v>130.22</c:v>
                </c:pt>
                <c:pt idx="174">
                  <c:v>129.61000000000001</c:v>
                </c:pt>
                <c:pt idx="175">
                  <c:v>128.19</c:v>
                </c:pt>
                <c:pt idx="176">
                  <c:v>127.64</c:v>
                </c:pt>
                <c:pt idx="177">
                  <c:v>126.21</c:v>
                </c:pt>
                <c:pt idx="178">
                  <c:v>124.23</c:v>
                </c:pt>
                <c:pt idx="179">
                  <c:v>123.24</c:v>
                </c:pt>
                <c:pt idx="180">
                  <c:v>126.19</c:v>
                </c:pt>
                <c:pt idx="181">
                  <c:v>129.05000000000001</c:v>
                </c:pt>
                <c:pt idx="182">
                  <c:v>128.65</c:v>
                </c:pt>
                <c:pt idx="183">
                  <c:v>126.93</c:v>
                </c:pt>
                <c:pt idx="184">
                  <c:v>129.41</c:v>
                </c:pt>
                <c:pt idx="185">
                  <c:v>129.25</c:v>
                </c:pt>
                <c:pt idx="186">
                  <c:v>129.16999999999999</c:v>
                </c:pt>
                <c:pt idx="187">
                  <c:v>127.81</c:v>
                </c:pt>
                <c:pt idx="188">
                  <c:v>130.62</c:v>
                </c:pt>
                <c:pt idx="189">
                  <c:v>129.24</c:v>
                </c:pt>
                <c:pt idx="190">
                  <c:v>128.72</c:v>
                </c:pt>
                <c:pt idx="191">
                  <c:v>128.01</c:v>
                </c:pt>
                <c:pt idx="192">
                  <c:v>127.99</c:v>
                </c:pt>
                <c:pt idx="193">
                  <c:v>126.59</c:v>
                </c:pt>
                <c:pt idx="194">
                  <c:v>125.24</c:v>
                </c:pt>
                <c:pt idx="195">
                  <c:v>123.39</c:v>
                </c:pt>
                <c:pt idx="196">
                  <c:v>122.61</c:v>
                </c:pt>
                <c:pt idx="197">
                  <c:v>122.54</c:v>
                </c:pt>
                <c:pt idx="198">
                  <c:v>121.81</c:v>
                </c:pt>
                <c:pt idx="199">
                  <c:v>124.57</c:v>
                </c:pt>
                <c:pt idx="200">
                  <c:v>123.78</c:v>
                </c:pt>
                <c:pt idx="201">
                  <c:v>126.62</c:v>
                </c:pt>
                <c:pt idx="202">
                  <c:v>125.63</c:v>
                </c:pt>
                <c:pt idx="203">
                  <c:v>124.55</c:v>
                </c:pt>
                <c:pt idx="204">
                  <c:v>123.8</c:v>
                </c:pt>
                <c:pt idx="205">
                  <c:v>123.76</c:v>
                </c:pt>
                <c:pt idx="206">
                  <c:v>122.59</c:v>
                </c:pt>
                <c:pt idx="207">
                  <c:v>121.07</c:v>
                </c:pt>
                <c:pt idx="208">
                  <c:v>119.15</c:v>
                </c:pt>
                <c:pt idx="209">
                  <c:v>122.04</c:v>
                </c:pt>
                <c:pt idx="210">
                  <c:v>120.35</c:v>
                </c:pt>
                <c:pt idx="211">
                  <c:v>119.39</c:v>
                </c:pt>
                <c:pt idx="212">
                  <c:v>118.26</c:v>
                </c:pt>
                <c:pt idx="213">
                  <c:v>117.65</c:v>
                </c:pt>
                <c:pt idx="214">
                  <c:v>116.7</c:v>
                </c:pt>
                <c:pt idx="215">
                  <c:v>119.54</c:v>
                </c:pt>
                <c:pt idx="216">
                  <c:v>117.82</c:v>
                </c:pt>
                <c:pt idx="217">
                  <c:v>116.68</c:v>
                </c:pt>
                <c:pt idx="218">
                  <c:v>116.12</c:v>
                </c:pt>
                <c:pt idx="219">
                  <c:v>114.56</c:v>
                </c:pt>
                <c:pt idx="220">
                  <c:v>114.52</c:v>
                </c:pt>
                <c:pt idx="221">
                  <c:v>117.21</c:v>
                </c:pt>
                <c:pt idx="222">
                  <c:v>115.46</c:v>
                </c:pt>
                <c:pt idx="223">
                  <c:v>118.16</c:v>
                </c:pt>
                <c:pt idx="224">
                  <c:v>120.88</c:v>
                </c:pt>
                <c:pt idx="225">
                  <c:v>119.2</c:v>
                </c:pt>
                <c:pt idx="226">
                  <c:v>121.71</c:v>
                </c:pt>
                <c:pt idx="227">
                  <c:v>121</c:v>
                </c:pt>
                <c:pt idx="228">
                  <c:v>119.69</c:v>
                </c:pt>
                <c:pt idx="229">
                  <c:v>117.74</c:v>
                </c:pt>
                <c:pt idx="230">
                  <c:v>115.81</c:v>
                </c:pt>
                <c:pt idx="231">
                  <c:v>115.06</c:v>
                </c:pt>
                <c:pt idx="232">
                  <c:v>117.64</c:v>
                </c:pt>
                <c:pt idx="233">
                  <c:v>116.28</c:v>
                </c:pt>
                <c:pt idx="234">
                  <c:v>116.04</c:v>
                </c:pt>
                <c:pt idx="235">
                  <c:v>115.24</c:v>
                </c:pt>
                <c:pt idx="236">
                  <c:v>114.55</c:v>
                </c:pt>
                <c:pt idx="237">
                  <c:v>114.27</c:v>
                </c:pt>
                <c:pt idx="238">
                  <c:v>113.44</c:v>
                </c:pt>
                <c:pt idx="239">
                  <c:v>112.32</c:v>
                </c:pt>
                <c:pt idx="240">
                  <c:v>111.2</c:v>
                </c:pt>
                <c:pt idx="241">
                  <c:v>113.85</c:v>
                </c:pt>
                <c:pt idx="242">
                  <c:v>112.4</c:v>
                </c:pt>
                <c:pt idx="243">
                  <c:v>110.75</c:v>
                </c:pt>
                <c:pt idx="244">
                  <c:v>113.66</c:v>
                </c:pt>
                <c:pt idx="245">
                  <c:v>116.29</c:v>
                </c:pt>
                <c:pt idx="246">
                  <c:v>115.9</c:v>
                </c:pt>
                <c:pt idx="247">
                  <c:v>115.81</c:v>
                </c:pt>
                <c:pt idx="248">
                  <c:v>118.4</c:v>
                </c:pt>
                <c:pt idx="249">
                  <c:v>117.81</c:v>
                </c:pt>
                <c:pt idx="250">
                  <c:v>116.4</c:v>
                </c:pt>
                <c:pt idx="251">
                  <c:v>115.83</c:v>
                </c:pt>
                <c:pt idx="252">
                  <c:v>115.44</c:v>
                </c:pt>
                <c:pt idx="253">
                  <c:v>114.28</c:v>
                </c:pt>
                <c:pt idx="254">
                  <c:v>112.41</c:v>
                </c:pt>
                <c:pt idx="255">
                  <c:v>111.14</c:v>
                </c:pt>
                <c:pt idx="256">
                  <c:v>110.14</c:v>
                </c:pt>
                <c:pt idx="257">
                  <c:v>109.88</c:v>
                </c:pt>
                <c:pt idx="258">
                  <c:v>109.46</c:v>
                </c:pt>
                <c:pt idx="259">
                  <c:v>109.05</c:v>
                </c:pt>
                <c:pt idx="260">
                  <c:v>108.22</c:v>
                </c:pt>
                <c:pt idx="261">
                  <c:v>108.01</c:v>
                </c:pt>
                <c:pt idx="262">
                  <c:v>106.11</c:v>
                </c:pt>
                <c:pt idx="263">
                  <c:v>109.11</c:v>
                </c:pt>
                <c:pt idx="264">
                  <c:v>107.8</c:v>
                </c:pt>
                <c:pt idx="265">
                  <c:v>107.08</c:v>
                </c:pt>
                <c:pt idx="266">
                  <c:v>106.03</c:v>
                </c:pt>
                <c:pt idx="267">
                  <c:v>108.96</c:v>
                </c:pt>
                <c:pt idx="268">
                  <c:v>111.91</c:v>
                </c:pt>
                <c:pt idx="269">
                  <c:v>110.17</c:v>
                </c:pt>
                <c:pt idx="270">
                  <c:v>112.84</c:v>
                </c:pt>
                <c:pt idx="271">
                  <c:v>111.15</c:v>
                </c:pt>
                <c:pt idx="272">
                  <c:v>109.91</c:v>
                </c:pt>
                <c:pt idx="273">
                  <c:v>109.19</c:v>
                </c:pt>
                <c:pt idx="274">
                  <c:v>108.35</c:v>
                </c:pt>
                <c:pt idx="275">
                  <c:v>107.99</c:v>
                </c:pt>
                <c:pt idx="276">
                  <c:v>110.4</c:v>
                </c:pt>
                <c:pt idx="277">
                  <c:v>108.92</c:v>
                </c:pt>
                <c:pt idx="278">
                  <c:v>111.43</c:v>
                </c:pt>
                <c:pt idx="279">
                  <c:v>109.43</c:v>
                </c:pt>
                <c:pt idx="280">
                  <c:v>108.76</c:v>
                </c:pt>
                <c:pt idx="281">
                  <c:v>107.21</c:v>
                </c:pt>
                <c:pt idx="282">
                  <c:v>107.13</c:v>
                </c:pt>
                <c:pt idx="283">
                  <c:v>109.71</c:v>
                </c:pt>
                <c:pt idx="284">
                  <c:v>109.26</c:v>
                </c:pt>
                <c:pt idx="285">
                  <c:v>108.08</c:v>
                </c:pt>
                <c:pt idx="286">
                  <c:v>107.52</c:v>
                </c:pt>
                <c:pt idx="287">
                  <c:v>107.35</c:v>
                </c:pt>
                <c:pt idx="288">
                  <c:v>105.74</c:v>
                </c:pt>
                <c:pt idx="289">
                  <c:v>105.32</c:v>
                </c:pt>
                <c:pt idx="290">
                  <c:v>103.92</c:v>
                </c:pt>
                <c:pt idx="291">
                  <c:v>103.17</c:v>
                </c:pt>
                <c:pt idx="292">
                  <c:v>102.14</c:v>
                </c:pt>
                <c:pt idx="293">
                  <c:v>101.73</c:v>
                </c:pt>
                <c:pt idx="294">
                  <c:v>100.39</c:v>
                </c:pt>
                <c:pt idx="295">
                  <c:v>98.52</c:v>
                </c:pt>
                <c:pt idx="296">
                  <c:v>101.27</c:v>
                </c:pt>
                <c:pt idx="297">
                  <c:v>101.23</c:v>
                </c:pt>
                <c:pt idx="298">
                  <c:v>100.8</c:v>
                </c:pt>
                <c:pt idx="299">
                  <c:v>103.36</c:v>
                </c:pt>
                <c:pt idx="300">
                  <c:v>103.09</c:v>
                </c:pt>
                <c:pt idx="301">
                  <c:v>101.33</c:v>
                </c:pt>
                <c:pt idx="302">
                  <c:v>101.33</c:v>
                </c:pt>
                <c:pt idx="303">
                  <c:v>100.05</c:v>
                </c:pt>
                <c:pt idx="304">
                  <c:v>99.1</c:v>
                </c:pt>
                <c:pt idx="305">
                  <c:v>102.08</c:v>
                </c:pt>
                <c:pt idx="306">
                  <c:v>101.44</c:v>
                </c:pt>
                <c:pt idx="307">
                  <c:v>100.09</c:v>
                </c:pt>
                <c:pt idx="308">
                  <c:v>98.49</c:v>
                </c:pt>
                <c:pt idx="309">
                  <c:v>96.78</c:v>
                </c:pt>
                <c:pt idx="310">
                  <c:v>95.63</c:v>
                </c:pt>
                <c:pt idx="311">
                  <c:v>93.96</c:v>
                </c:pt>
                <c:pt idx="312">
                  <c:v>92.27</c:v>
                </c:pt>
                <c:pt idx="313">
                  <c:v>90.35</c:v>
                </c:pt>
                <c:pt idx="314">
                  <c:v>92.91</c:v>
                </c:pt>
                <c:pt idx="315">
                  <c:v>91.71</c:v>
                </c:pt>
                <c:pt idx="316">
                  <c:v>91.34</c:v>
                </c:pt>
                <c:pt idx="317">
                  <c:v>90.05</c:v>
                </c:pt>
                <c:pt idx="318">
                  <c:v>89.87</c:v>
                </c:pt>
                <c:pt idx="319">
                  <c:v>92.63</c:v>
                </c:pt>
                <c:pt idx="320">
                  <c:v>91.36</c:v>
                </c:pt>
                <c:pt idx="321">
                  <c:v>91.04</c:v>
                </c:pt>
                <c:pt idx="322">
                  <c:v>90.45</c:v>
                </c:pt>
                <c:pt idx="323">
                  <c:v>89.75</c:v>
                </c:pt>
                <c:pt idx="324">
                  <c:v>89.51</c:v>
                </c:pt>
                <c:pt idx="325">
                  <c:v>88.66</c:v>
                </c:pt>
                <c:pt idx="326">
                  <c:v>88.17</c:v>
                </c:pt>
                <c:pt idx="327">
                  <c:v>87.02</c:v>
                </c:pt>
                <c:pt idx="328">
                  <c:v>86.95</c:v>
                </c:pt>
                <c:pt idx="329">
                  <c:v>85.86</c:v>
                </c:pt>
                <c:pt idx="330">
                  <c:v>88.48</c:v>
                </c:pt>
                <c:pt idx="331">
                  <c:v>86.96</c:v>
                </c:pt>
                <c:pt idx="332">
                  <c:v>86.49</c:v>
                </c:pt>
                <c:pt idx="333">
                  <c:v>86.09</c:v>
                </c:pt>
                <c:pt idx="334">
                  <c:v>84.37</c:v>
                </c:pt>
                <c:pt idx="335">
                  <c:v>83.22</c:v>
                </c:pt>
                <c:pt idx="336">
                  <c:v>85.72</c:v>
                </c:pt>
                <c:pt idx="337">
                  <c:v>84.73</c:v>
                </c:pt>
                <c:pt idx="338">
                  <c:v>84.15</c:v>
                </c:pt>
                <c:pt idx="339">
                  <c:v>83.26</c:v>
                </c:pt>
                <c:pt idx="340">
                  <c:v>82.5</c:v>
                </c:pt>
                <c:pt idx="341">
                  <c:v>81.739999999999995</c:v>
                </c:pt>
                <c:pt idx="342">
                  <c:v>84.27</c:v>
                </c:pt>
                <c:pt idx="343">
                  <c:v>83</c:v>
                </c:pt>
                <c:pt idx="344">
                  <c:v>85.99</c:v>
                </c:pt>
                <c:pt idx="345">
                  <c:v>84.29</c:v>
                </c:pt>
                <c:pt idx="346">
                  <c:v>83.35</c:v>
                </c:pt>
                <c:pt idx="347">
                  <c:v>86.22</c:v>
                </c:pt>
                <c:pt idx="348">
                  <c:v>85.51</c:v>
                </c:pt>
                <c:pt idx="349">
                  <c:v>84.25</c:v>
                </c:pt>
                <c:pt idx="350">
                  <c:v>84.11</c:v>
                </c:pt>
                <c:pt idx="351">
                  <c:v>86.81</c:v>
                </c:pt>
                <c:pt idx="352">
                  <c:v>85.18</c:v>
                </c:pt>
                <c:pt idx="353">
                  <c:v>85.17</c:v>
                </c:pt>
                <c:pt idx="354">
                  <c:v>83.74</c:v>
                </c:pt>
                <c:pt idx="355">
                  <c:v>83.16</c:v>
                </c:pt>
                <c:pt idx="356">
                  <c:v>82.19</c:v>
                </c:pt>
                <c:pt idx="357">
                  <c:v>80.930000000000007</c:v>
                </c:pt>
                <c:pt idx="358">
                  <c:v>83.66</c:v>
                </c:pt>
                <c:pt idx="359">
                  <c:v>82.17</c:v>
                </c:pt>
                <c:pt idx="360">
                  <c:v>81.81</c:v>
                </c:pt>
                <c:pt idx="361">
                  <c:v>80.97</c:v>
                </c:pt>
                <c:pt idx="362">
                  <c:v>80.41</c:v>
                </c:pt>
                <c:pt idx="363">
                  <c:v>79.86</c:v>
                </c:pt>
                <c:pt idx="364">
                  <c:v>79.52</c:v>
                </c:pt>
                <c:pt idx="365">
                  <c:v>78.86</c:v>
                </c:pt>
                <c:pt idx="366">
                  <c:v>77.11</c:v>
                </c:pt>
                <c:pt idx="367">
                  <c:v>75.290000000000006</c:v>
                </c:pt>
                <c:pt idx="368">
                  <c:v>78.260000000000005</c:v>
                </c:pt>
                <c:pt idx="369">
                  <c:v>77.23</c:v>
                </c:pt>
                <c:pt idx="370">
                  <c:v>79.95</c:v>
                </c:pt>
                <c:pt idx="371">
                  <c:v>79.03</c:v>
                </c:pt>
                <c:pt idx="372">
                  <c:v>78.569999999999993</c:v>
                </c:pt>
                <c:pt idx="373">
                  <c:v>76.849999999999994</c:v>
                </c:pt>
                <c:pt idx="374">
                  <c:v>79.53</c:v>
                </c:pt>
                <c:pt idx="375">
                  <c:v>82.14</c:v>
                </c:pt>
                <c:pt idx="376">
                  <c:v>81.95</c:v>
                </c:pt>
                <c:pt idx="377">
                  <c:v>81.260000000000005</c:v>
                </c:pt>
                <c:pt idx="378">
                  <c:v>79.760000000000005</c:v>
                </c:pt>
                <c:pt idx="379">
                  <c:v>82.5</c:v>
                </c:pt>
                <c:pt idx="380">
                  <c:v>80.88</c:v>
                </c:pt>
                <c:pt idx="381">
                  <c:v>80.27</c:v>
                </c:pt>
                <c:pt idx="382">
                  <c:v>80.06</c:v>
                </c:pt>
                <c:pt idx="383">
                  <c:v>78.17</c:v>
                </c:pt>
                <c:pt idx="384">
                  <c:v>77.03</c:v>
                </c:pt>
                <c:pt idx="385">
                  <c:v>76.48</c:v>
                </c:pt>
                <c:pt idx="386">
                  <c:v>76.209999999999994</c:v>
                </c:pt>
                <c:pt idx="387">
                  <c:v>76.09</c:v>
                </c:pt>
                <c:pt idx="388">
                  <c:v>75.75</c:v>
                </c:pt>
                <c:pt idx="389">
                  <c:v>74.55</c:v>
                </c:pt>
                <c:pt idx="390">
                  <c:v>74.290000000000006</c:v>
                </c:pt>
                <c:pt idx="391">
                  <c:v>73.209999999999994</c:v>
                </c:pt>
                <c:pt idx="392">
                  <c:v>72.27</c:v>
                </c:pt>
                <c:pt idx="393">
                  <c:v>70.48</c:v>
                </c:pt>
                <c:pt idx="394">
                  <c:v>70.05</c:v>
                </c:pt>
                <c:pt idx="395">
                  <c:v>68.349999999999994</c:v>
                </c:pt>
                <c:pt idx="396">
                  <c:v>67.58</c:v>
                </c:pt>
                <c:pt idx="397">
                  <c:v>66.3</c:v>
                </c:pt>
                <c:pt idx="398">
                  <c:v>65.040000000000006</c:v>
                </c:pt>
                <c:pt idx="399">
                  <c:v>63.88</c:v>
                </c:pt>
                <c:pt idx="400">
                  <c:v>63.09</c:v>
                </c:pt>
                <c:pt idx="401">
                  <c:v>61.68</c:v>
                </c:pt>
                <c:pt idx="402">
                  <c:v>60.11</c:v>
                </c:pt>
                <c:pt idx="403">
                  <c:v>63.04</c:v>
                </c:pt>
                <c:pt idx="404">
                  <c:v>65.81</c:v>
                </c:pt>
                <c:pt idx="405">
                  <c:v>64.260000000000005</c:v>
                </c:pt>
                <c:pt idx="406">
                  <c:v>63.08</c:v>
                </c:pt>
                <c:pt idx="407">
                  <c:v>62.49</c:v>
                </c:pt>
                <c:pt idx="408">
                  <c:v>61.45</c:v>
                </c:pt>
                <c:pt idx="409">
                  <c:v>60.3</c:v>
                </c:pt>
                <c:pt idx="410">
                  <c:v>62.81</c:v>
                </c:pt>
                <c:pt idx="411">
                  <c:v>62.35</c:v>
                </c:pt>
                <c:pt idx="412">
                  <c:v>61.53</c:v>
                </c:pt>
                <c:pt idx="413">
                  <c:v>61.16</c:v>
                </c:pt>
                <c:pt idx="414">
                  <c:v>60.65</c:v>
                </c:pt>
                <c:pt idx="415">
                  <c:v>59.06</c:v>
                </c:pt>
                <c:pt idx="416">
                  <c:v>61.49</c:v>
                </c:pt>
                <c:pt idx="417">
                  <c:v>64.209999999999994</c:v>
                </c:pt>
                <c:pt idx="418">
                  <c:v>64.11</c:v>
                </c:pt>
                <c:pt idx="419">
                  <c:v>63.4</c:v>
                </c:pt>
                <c:pt idx="420">
                  <c:v>61.83</c:v>
                </c:pt>
                <c:pt idx="421">
                  <c:v>59.96</c:v>
                </c:pt>
                <c:pt idx="422">
                  <c:v>59.02</c:v>
                </c:pt>
                <c:pt idx="423">
                  <c:v>57.84</c:v>
                </c:pt>
                <c:pt idx="424">
                  <c:v>60.76</c:v>
                </c:pt>
                <c:pt idx="425">
                  <c:v>60.53</c:v>
                </c:pt>
                <c:pt idx="426">
                  <c:v>62.95</c:v>
                </c:pt>
                <c:pt idx="427">
                  <c:v>62.42</c:v>
                </c:pt>
                <c:pt idx="428">
                  <c:v>64.86</c:v>
                </c:pt>
                <c:pt idx="429">
                  <c:v>63.25</c:v>
                </c:pt>
                <c:pt idx="430">
                  <c:v>62.83</c:v>
                </c:pt>
                <c:pt idx="431">
                  <c:v>61.62</c:v>
                </c:pt>
                <c:pt idx="432">
                  <c:v>60.02</c:v>
                </c:pt>
                <c:pt idx="433">
                  <c:v>59.25</c:v>
                </c:pt>
                <c:pt idx="434">
                  <c:v>62.11</c:v>
                </c:pt>
                <c:pt idx="435">
                  <c:v>60.56</c:v>
                </c:pt>
                <c:pt idx="436">
                  <c:v>60.46</c:v>
                </c:pt>
                <c:pt idx="437">
                  <c:v>63.27</c:v>
                </c:pt>
                <c:pt idx="438">
                  <c:v>62.21</c:v>
                </c:pt>
                <c:pt idx="439">
                  <c:v>65.209999999999994</c:v>
                </c:pt>
                <c:pt idx="440">
                  <c:v>64.72</c:v>
                </c:pt>
                <c:pt idx="441">
                  <c:v>64.510000000000005</c:v>
                </c:pt>
                <c:pt idx="442">
                  <c:v>63.15</c:v>
                </c:pt>
                <c:pt idx="443">
                  <c:v>65.959999999999994</c:v>
                </c:pt>
                <c:pt idx="444">
                  <c:v>64.819999999999993</c:v>
                </c:pt>
                <c:pt idx="445">
                  <c:v>63.49</c:v>
                </c:pt>
                <c:pt idx="446">
                  <c:v>62.41</c:v>
                </c:pt>
                <c:pt idx="447">
                  <c:v>65.36</c:v>
                </c:pt>
                <c:pt idx="448">
                  <c:v>64.400000000000006</c:v>
                </c:pt>
                <c:pt idx="449">
                  <c:v>63.79</c:v>
                </c:pt>
                <c:pt idx="450">
                  <c:v>62.37</c:v>
                </c:pt>
                <c:pt idx="451">
                  <c:v>65.239999999999995</c:v>
                </c:pt>
                <c:pt idx="452">
                  <c:v>64.81</c:v>
                </c:pt>
                <c:pt idx="453">
                  <c:v>63.89</c:v>
                </c:pt>
                <c:pt idx="454">
                  <c:v>66.790000000000006</c:v>
                </c:pt>
                <c:pt idx="455">
                  <c:v>65.16</c:v>
                </c:pt>
                <c:pt idx="456">
                  <c:v>67.81</c:v>
                </c:pt>
                <c:pt idx="457">
                  <c:v>70.23</c:v>
                </c:pt>
                <c:pt idx="458">
                  <c:v>69.88</c:v>
                </c:pt>
                <c:pt idx="459">
                  <c:v>69.650000000000006</c:v>
                </c:pt>
                <c:pt idx="460">
                  <c:v>67.95</c:v>
                </c:pt>
                <c:pt idx="461">
                  <c:v>66.98</c:v>
                </c:pt>
                <c:pt idx="462">
                  <c:v>65.760000000000005</c:v>
                </c:pt>
                <c:pt idx="463">
                  <c:v>65.53</c:v>
                </c:pt>
                <c:pt idx="464">
                  <c:v>68.27</c:v>
                </c:pt>
                <c:pt idx="465">
                  <c:v>66.36</c:v>
                </c:pt>
                <c:pt idx="466">
                  <c:v>65</c:v>
                </c:pt>
                <c:pt idx="467">
                  <c:v>67.900000000000006</c:v>
                </c:pt>
                <c:pt idx="468">
                  <c:v>67.61</c:v>
                </c:pt>
                <c:pt idx="469">
                  <c:v>66.87</c:v>
                </c:pt>
                <c:pt idx="470">
                  <c:v>69.790000000000006</c:v>
                </c:pt>
                <c:pt idx="471">
                  <c:v>72.55</c:v>
                </c:pt>
                <c:pt idx="472">
                  <c:v>70.64</c:v>
                </c:pt>
                <c:pt idx="473">
                  <c:v>69.989999999999995</c:v>
                </c:pt>
                <c:pt idx="474">
                  <c:v>68.069999999999993</c:v>
                </c:pt>
                <c:pt idx="475">
                  <c:v>66.72</c:v>
                </c:pt>
                <c:pt idx="476">
                  <c:v>69.349999999999994</c:v>
                </c:pt>
                <c:pt idx="477">
                  <c:v>68.8</c:v>
                </c:pt>
                <c:pt idx="478">
                  <c:v>66.97</c:v>
                </c:pt>
                <c:pt idx="479">
                  <c:v>66.28</c:v>
                </c:pt>
                <c:pt idx="480">
                  <c:v>64.41</c:v>
                </c:pt>
                <c:pt idx="481">
                  <c:v>66.86</c:v>
                </c:pt>
                <c:pt idx="482">
                  <c:v>66.22</c:v>
                </c:pt>
                <c:pt idx="483">
                  <c:v>64.239999999999995</c:v>
                </c:pt>
                <c:pt idx="484">
                  <c:v>62.97</c:v>
                </c:pt>
                <c:pt idx="485">
                  <c:v>61.28</c:v>
                </c:pt>
                <c:pt idx="486">
                  <c:v>63.76</c:v>
                </c:pt>
                <c:pt idx="487">
                  <c:v>63.15</c:v>
                </c:pt>
                <c:pt idx="488">
                  <c:v>62.62</c:v>
                </c:pt>
                <c:pt idx="489">
                  <c:v>65.52</c:v>
                </c:pt>
                <c:pt idx="490">
                  <c:v>65.180000000000007</c:v>
                </c:pt>
                <c:pt idx="491">
                  <c:v>64.34</c:v>
                </c:pt>
                <c:pt idx="492">
                  <c:v>64.28</c:v>
                </c:pt>
                <c:pt idx="493">
                  <c:v>67.06</c:v>
                </c:pt>
                <c:pt idx="494">
                  <c:v>66.61</c:v>
                </c:pt>
                <c:pt idx="495">
                  <c:v>65.150000000000006</c:v>
                </c:pt>
                <c:pt idx="496">
                  <c:v>63.19</c:v>
                </c:pt>
                <c:pt idx="497">
                  <c:v>62.21</c:v>
                </c:pt>
                <c:pt idx="498">
                  <c:v>61.89</c:v>
                </c:pt>
                <c:pt idx="499">
                  <c:v>59.94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C-47BF-B0D5-0FB2AA6B28C8}"/>
            </c:ext>
          </c:extLst>
        </c:ser>
        <c:ser>
          <c:idx val="2"/>
          <c:order val="2"/>
          <c:tx>
            <c:strRef>
              <c:f>'4_1'!$D$1</c:f>
              <c:strCache>
                <c:ptCount val="1"/>
                <c:pt idx="0">
                  <c:v>firma_C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'4_1'!$A$2:$A$501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'4_1'!$D$2:$D$501</c:f>
              <c:numCache>
                <c:formatCode>General</c:formatCode>
                <c:ptCount val="500"/>
                <c:pt idx="0">
                  <c:v>65.430000000000007</c:v>
                </c:pt>
                <c:pt idx="1">
                  <c:v>67.06</c:v>
                </c:pt>
                <c:pt idx="2">
                  <c:v>68.91</c:v>
                </c:pt>
                <c:pt idx="3">
                  <c:v>70.8</c:v>
                </c:pt>
                <c:pt idx="4">
                  <c:v>72.260000000000005</c:v>
                </c:pt>
                <c:pt idx="5">
                  <c:v>73.63</c:v>
                </c:pt>
                <c:pt idx="6">
                  <c:v>73.64</c:v>
                </c:pt>
                <c:pt idx="7">
                  <c:v>71.739999999999995</c:v>
                </c:pt>
                <c:pt idx="8">
                  <c:v>72.89</c:v>
                </c:pt>
                <c:pt idx="9">
                  <c:v>74.319999999999993</c:v>
                </c:pt>
                <c:pt idx="10">
                  <c:v>75.569999999999993</c:v>
                </c:pt>
                <c:pt idx="11">
                  <c:v>77.37</c:v>
                </c:pt>
                <c:pt idx="12">
                  <c:v>75.7</c:v>
                </c:pt>
                <c:pt idx="13">
                  <c:v>75.959999999999994</c:v>
                </c:pt>
                <c:pt idx="14">
                  <c:v>78.040000000000006</c:v>
                </c:pt>
                <c:pt idx="15">
                  <c:v>78.28</c:v>
                </c:pt>
                <c:pt idx="16">
                  <c:v>79.41</c:v>
                </c:pt>
                <c:pt idx="17">
                  <c:v>77.45</c:v>
                </c:pt>
                <c:pt idx="18">
                  <c:v>76.040000000000006</c:v>
                </c:pt>
                <c:pt idx="19">
                  <c:v>77.11</c:v>
                </c:pt>
                <c:pt idx="20">
                  <c:v>78.72</c:v>
                </c:pt>
                <c:pt idx="21">
                  <c:v>77</c:v>
                </c:pt>
                <c:pt idx="22">
                  <c:v>79.03</c:v>
                </c:pt>
                <c:pt idx="23">
                  <c:v>77.540000000000006</c:v>
                </c:pt>
                <c:pt idx="24">
                  <c:v>76.08</c:v>
                </c:pt>
                <c:pt idx="25">
                  <c:v>74.11</c:v>
                </c:pt>
                <c:pt idx="26">
                  <c:v>72.23</c:v>
                </c:pt>
                <c:pt idx="27">
                  <c:v>72.239999999999995</c:v>
                </c:pt>
                <c:pt idx="28">
                  <c:v>74.19</c:v>
                </c:pt>
                <c:pt idx="29">
                  <c:v>75.75</c:v>
                </c:pt>
                <c:pt idx="30">
                  <c:v>74.11</c:v>
                </c:pt>
                <c:pt idx="31">
                  <c:v>74.75</c:v>
                </c:pt>
                <c:pt idx="32">
                  <c:v>72.89</c:v>
                </c:pt>
                <c:pt idx="33">
                  <c:v>71.260000000000005</c:v>
                </c:pt>
                <c:pt idx="34">
                  <c:v>72.92</c:v>
                </c:pt>
                <c:pt idx="35">
                  <c:v>73.63</c:v>
                </c:pt>
                <c:pt idx="36">
                  <c:v>72.040000000000006</c:v>
                </c:pt>
                <c:pt idx="37">
                  <c:v>70.16</c:v>
                </c:pt>
                <c:pt idx="38">
                  <c:v>72.239999999999995</c:v>
                </c:pt>
                <c:pt idx="39">
                  <c:v>70.25</c:v>
                </c:pt>
                <c:pt idx="40">
                  <c:v>71.67</c:v>
                </c:pt>
                <c:pt idx="41">
                  <c:v>73.099999999999994</c:v>
                </c:pt>
                <c:pt idx="42">
                  <c:v>74.36</c:v>
                </c:pt>
                <c:pt idx="43">
                  <c:v>72.81</c:v>
                </c:pt>
                <c:pt idx="44">
                  <c:v>71.02</c:v>
                </c:pt>
                <c:pt idx="45">
                  <c:v>72.37</c:v>
                </c:pt>
                <c:pt idx="46">
                  <c:v>72.58</c:v>
                </c:pt>
                <c:pt idx="47">
                  <c:v>70.73</c:v>
                </c:pt>
                <c:pt idx="48">
                  <c:v>69.03</c:v>
                </c:pt>
                <c:pt idx="49">
                  <c:v>70</c:v>
                </c:pt>
                <c:pt idx="50">
                  <c:v>68.27</c:v>
                </c:pt>
                <c:pt idx="51">
                  <c:v>68.97</c:v>
                </c:pt>
                <c:pt idx="52">
                  <c:v>67.489999999999995</c:v>
                </c:pt>
                <c:pt idx="53">
                  <c:v>67.790000000000006</c:v>
                </c:pt>
                <c:pt idx="54">
                  <c:v>68.91</c:v>
                </c:pt>
                <c:pt idx="55">
                  <c:v>69.81</c:v>
                </c:pt>
                <c:pt idx="56">
                  <c:v>67.84</c:v>
                </c:pt>
                <c:pt idx="57">
                  <c:v>69.349999999999994</c:v>
                </c:pt>
                <c:pt idx="58">
                  <c:v>69.709999999999994</c:v>
                </c:pt>
                <c:pt idx="59">
                  <c:v>67.77</c:v>
                </c:pt>
                <c:pt idx="60">
                  <c:v>69.61</c:v>
                </c:pt>
                <c:pt idx="61">
                  <c:v>71.64</c:v>
                </c:pt>
                <c:pt idx="62">
                  <c:v>73.260000000000005</c:v>
                </c:pt>
                <c:pt idx="63">
                  <c:v>73.27</c:v>
                </c:pt>
                <c:pt idx="64">
                  <c:v>74.290000000000006</c:v>
                </c:pt>
                <c:pt idx="65">
                  <c:v>75.55</c:v>
                </c:pt>
                <c:pt idx="66">
                  <c:v>76.38</c:v>
                </c:pt>
                <c:pt idx="67">
                  <c:v>76.709999999999994</c:v>
                </c:pt>
                <c:pt idx="68">
                  <c:v>78.13</c:v>
                </c:pt>
                <c:pt idx="69">
                  <c:v>79.709999999999994</c:v>
                </c:pt>
                <c:pt idx="70">
                  <c:v>81.349999999999994</c:v>
                </c:pt>
                <c:pt idx="71">
                  <c:v>79.41</c:v>
                </c:pt>
                <c:pt idx="72">
                  <c:v>77.7</c:v>
                </c:pt>
                <c:pt idx="73">
                  <c:v>78.58</c:v>
                </c:pt>
                <c:pt idx="74">
                  <c:v>77.02</c:v>
                </c:pt>
                <c:pt idx="75">
                  <c:v>75.13</c:v>
                </c:pt>
                <c:pt idx="76">
                  <c:v>73.45</c:v>
                </c:pt>
                <c:pt idx="77">
                  <c:v>71.930000000000007</c:v>
                </c:pt>
                <c:pt idx="78">
                  <c:v>72.959999999999994</c:v>
                </c:pt>
                <c:pt idx="79">
                  <c:v>74.28</c:v>
                </c:pt>
                <c:pt idx="80">
                  <c:v>75.78</c:v>
                </c:pt>
                <c:pt idx="81">
                  <c:v>76.88</c:v>
                </c:pt>
                <c:pt idx="82">
                  <c:v>77.36</c:v>
                </c:pt>
                <c:pt idx="83">
                  <c:v>75.790000000000006</c:v>
                </c:pt>
                <c:pt idx="84">
                  <c:v>77.34</c:v>
                </c:pt>
                <c:pt idx="85">
                  <c:v>79.17</c:v>
                </c:pt>
                <c:pt idx="86">
                  <c:v>80.760000000000005</c:v>
                </c:pt>
                <c:pt idx="87">
                  <c:v>79.02</c:v>
                </c:pt>
                <c:pt idx="88">
                  <c:v>79.25</c:v>
                </c:pt>
                <c:pt idx="89">
                  <c:v>80.260000000000005</c:v>
                </c:pt>
                <c:pt idx="90">
                  <c:v>81.260000000000005</c:v>
                </c:pt>
                <c:pt idx="91">
                  <c:v>81.64</c:v>
                </c:pt>
                <c:pt idx="92">
                  <c:v>79.849999999999994</c:v>
                </c:pt>
                <c:pt idx="93">
                  <c:v>81.540000000000006</c:v>
                </c:pt>
                <c:pt idx="94">
                  <c:v>79.87</c:v>
                </c:pt>
                <c:pt idx="95">
                  <c:v>80</c:v>
                </c:pt>
                <c:pt idx="96">
                  <c:v>81.010000000000005</c:v>
                </c:pt>
                <c:pt idx="97">
                  <c:v>79.17</c:v>
                </c:pt>
                <c:pt idx="98">
                  <c:v>80.290000000000006</c:v>
                </c:pt>
                <c:pt idx="99">
                  <c:v>81.599999999999994</c:v>
                </c:pt>
                <c:pt idx="100">
                  <c:v>82.75</c:v>
                </c:pt>
                <c:pt idx="101">
                  <c:v>83.09</c:v>
                </c:pt>
                <c:pt idx="102">
                  <c:v>84.09</c:v>
                </c:pt>
                <c:pt idx="103">
                  <c:v>85.17</c:v>
                </c:pt>
                <c:pt idx="104">
                  <c:v>86</c:v>
                </c:pt>
                <c:pt idx="105">
                  <c:v>84.14</c:v>
                </c:pt>
                <c:pt idx="106">
                  <c:v>86.19</c:v>
                </c:pt>
                <c:pt idx="107">
                  <c:v>86.34</c:v>
                </c:pt>
                <c:pt idx="108">
                  <c:v>87.75</c:v>
                </c:pt>
                <c:pt idx="109">
                  <c:v>86.13</c:v>
                </c:pt>
                <c:pt idx="110">
                  <c:v>87.39</c:v>
                </c:pt>
                <c:pt idx="111">
                  <c:v>88.8</c:v>
                </c:pt>
                <c:pt idx="112">
                  <c:v>89.88</c:v>
                </c:pt>
                <c:pt idx="113">
                  <c:v>91.83</c:v>
                </c:pt>
                <c:pt idx="114">
                  <c:v>93.53</c:v>
                </c:pt>
                <c:pt idx="115">
                  <c:v>93.72</c:v>
                </c:pt>
                <c:pt idx="116">
                  <c:v>94.47</c:v>
                </c:pt>
                <c:pt idx="117">
                  <c:v>94.65</c:v>
                </c:pt>
                <c:pt idx="118">
                  <c:v>92.86</c:v>
                </c:pt>
                <c:pt idx="119">
                  <c:v>94.21</c:v>
                </c:pt>
                <c:pt idx="120">
                  <c:v>96.18</c:v>
                </c:pt>
                <c:pt idx="121">
                  <c:v>96.18</c:v>
                </c:pt>
                <c:pt idx="122">
                  <c:v>94.72</c:v>
                </c:pt>
                <c:pt idx="123">
                  <c:v>95.97</c:v>
                </c:pt>
                <c:pt idx="124">
                  <c:v>94.21</c:v>
                </c:pt>
                <c:pt idx="125">
                  <c:v>95.42</c:v>
                </c:pt>
                <c:pt idx="126">
                  <c:v>93.76</c:v>
                </c:pt>
                <c:pt idx="127">
                  <c:v>94.56</c:v>
                </c:pt>
                <c:pt idx="128">
                  <c:v>92.73</c:v>
                </c:pt>
                <c:pt idx="129">
                  <c:v>93.24</c:v>
                </c:pt>
                <c:pt idx="130">
                  <c:v>94.61</c:v>
                </c:pt>
                <c:pt idx="131">
                  <c:v>95.66</c:v>
                </c:pt>
                <c:pt idx="132">
                  <c:v>96.73</c:v>
                </c:pt>
                <c:pt idx="133">
                  <c:v>98.18</c:v>
                </c:pt>
                <c:pt idx="134">
                  <c:v>96.62</c:v>
                </c:pt>
                <c:pt idx="135">
                  <c:v>98.19</c:v>
                </c:pt>
                <c:pt idx="136">
                  <c:v>99.72</c:v>
                </c:pt>
                <c:pt idx="137">
                  <c:v>100.95</c:v>
                </c:pt>
                <c:pt idx="138">
                  <c:v>99.54</c:v>
                </c:pt>
                <c:pt idx="139">
                  <c:v>101.54</c:v>
                </c:pt>
                <c:pt idx="140">
                  <c:v>101.73</c:v>
                </c:pt>
                <c:pt idx="141">
                  <c:v>101.74</c:v>
                </c:pt>
                <c:pt idx="142">
                  <c:v>100.01</c:v>
                </c:pt>
                <c:pt idx="143">
                  <c:v>98.39</c:v>
                </c:pt>
                <c:pt idx="144">
                  <c:v>96.49</c:v>
                </c:pt>
                <c:pt idx="145">
                  <c:v>97.95</c:v>
                </c:pt>
                <c:pt idx="146">
                  <c:v>96.33</c:v>
                </c:pt>
                <c:pt idx="147">
                  <c:v>94.86</c:v>
                </c:pt>
                <c:pt idx="148">
                  <c:v>96.17</c:v>
                </c:pt>
                <c:pt idx="149">
                  <c:v>97.44</c:v>
                </c:pt>
                <c:pt idx="150">
                  <c:v>98.68</c:v>
                </c:pt>
                <c:pt idx="151">
                  <c:v>99.99</c:v>
                </c:pt>
                <c:pt idx="152">
                  <c:v>100.81</c:v>
                </c:pt>
                <c:pt idx="153">
                  <c:v>100.92</c:v>
                </c:pt>
                <c:pt idx="154">
                  <c:v>102.29</c:v>
                </c:pt>
                <c:pt idx="155">
                  <c:v>100.76</c:v>
                </c:pt>
                <c:pt idx="156">
                  <c:v>102.48</c:v>
                </c:pt>
                <c:pt idx="157">
                  <c:v>102.72</c:v>
                </c:pt>
                <c:pt idx="158">
                  <c:v>104.6</c:v>
                </c:pt>
                <c:pt idx="159">
                  <c:v>106.69</c:v>
                </c:pt>
                <c:pt idx="160">
                  <c:v>106.85</c:v>
                </c:pt>
                <c:pt idx="161">
                  <c:v>107.25</c:v>
                </c:pt>
                <c:pt idx="162">
                  <c:v>108.44</c:v>
                </c:pt>
                <c:pt idx="163">
                  <c:v>110.27</c:v>
                </c:pt>
                <c:pt idx="164">
                  <c:v>110.94</c:v>
                </c:pt>
                <c:pt idx="165">
                  <c:v>109.26</c:v>
                </c:pt>
                <c:pt idx="166">
                  <c:v>110.98</c:v>
                </c:pt>
                <c:pt idx="167">
                  <c:v>111.8</c:v>
                </c:pt>
                <c:pt idx="168">
                  <c:v>110.07</c:v>
                </c:pt>
                <c:pt idx="169">
                  <c:v>110.79</c:v>
                </c:pt>
                <c:pt idx="170">
                  <c:v>109.17</c:v>
                </c:pt>
                <c:pt idx="171">
                  <c:v>107.31</c:v>
                </c:pt>
                <c:pt idx="172">
                  <c:v>107.72</c:v>
                </c:pt>
                <c:pt idx="173">
                  <c:v>105.87</c:v>
                </c:pt>
                <c:pt idx="174">
                  <c:v>106.22</c:v>
                </c:pt>
                <c:pt idx="175">
                  <c:v>107.4</c:v>
                </c:pt>
                <c:pt idx="176">
                  <c:v>108.01</c:v>
                </c:pt>
                <c:pt idx="177">
                  <c:v>106.27</c:v>
                </c:pt>
                <c:pt idx="178">
                  <c:v>108.33</c:v>
                </c:pt>
                <c:pt idx="179">
                  <c:v>109.22</c:v>
                </c:pt>
                <c:pt idx="180">
                  <c:v>107.37</c:v>
                </c:pt>
                <c:pt idx="181">
                  <c:v>107.76</c:v>
                </c:pt>
                <c:pt idx="182">
                  <c:v>108.37</c:v>
                </c:pt>
                <c:pt idx="183">
                  <c:v>109.22</c:v>
                </c:pt>
                <c:pt idx="184">
                  <c:v>107.78</c:v>
                </c:pt>
                <c:pt idx="185">
                  <c:v>109.71</c:v>
                </c:pt>
                <c:pt idx="186">
                  <c:v>107.74</c:v>
                </c:pt>
                <c:pt idx="187">
                  <c:v>109.77</c:v>
                </c:pt>
                <c:pt idx="188">
                  <c:v>111.27</c:v>
                </c:pt>
                <c:pt idx="189">
                  <c:v>109.41</c:v>
                </c:pt>
                <c:pt idx="190">
                  <c:v>109.72</c:v>
                </c:pt>
                <c:pt idx="191">
                  <c:v>108.19</c:v>
                </c:pt>
                <c:pt idx="192">
                  <c:v>109.68</c:v>
                </c:pt>
                <c:pt idx="193">
                  <c:v>110.39</c:v>
                </c:pt>
                <c:pt idx="194">
                  <c:v>111.28</c:v>
                </c:pt>
                <c:pt idx="195">
                  <c:v>112.56</c:v>
                </c:pt>
                <c:pt idx="196">
                  <c:v>113.15</c:v>
                </c:pt>
                <c:pt idx="197">
                  <c:v>114.21</c:v>
                </c:pt>
                <c:pt idx="198">
                  <c:v>114.89</c:v>
                </c:pt>
                <c:pt idx="199">
                  <c:v>114.91</c:v>
                </c:pt>
                <c:pt idx="200">
                  <c:v>112.97</c:v>
                </c:pt>
                <c:pt idx="201">
                  <c:v>111.12</c:v>
                </c:pt>
                <c:pt idx="202">
                  <c:v>111.44</c:v>
                </c:pt>
                <c:pt idx="203">
                  <c:v>113.24</c:v>
                </c:pt>
                <c:pt idx="204">
                  <c:v>111.26</c:v>
                </c:pt>
                <c:pt idx="205">
                  <c:v>109.56</c:v>
                </c:pt>
                <c:pt idx="206">
                  <c:v>109.82</c:v>
                </c:pt>
                <c:pt idx="207">
                  <c:v>111.61</c:v>
                </c:pt>
                <c:pt idx="208">
                  <c:v>110.11</c:v>
                </c:pt>
                <c:pt idx="209">
                  <c:v>111.72</c:v>
                </c:pt>
                <c:pt idx="210">
                  <c:v>111.85</c:v>
                </c:pt>
                <c:pt idx="211">
                  <c:v>113.24</c:v>
                </c:pt>
                <c:pt idx="212">
                  <c:v>114.79</c:v>
                </c:pt>
                <c:pt idx="213">
                  <c:v>113.2</c:v>
                </c:pt>
                <c:pt idx="214">
                  <c:v>113.27</c:v>
                </c:pt>
                <c:pt idx="215">
                  <c:v>111.75</c:v>
                </c:pt>
                <c:pt idx="216">
                  <c:v>112.97</c:v>
                </c:pt>
                <c:pt idx="217">
                  <c:v>114.74</c:v>
                </c:pt>
                <c:pt idx="218">
                  <c:v>115.57</c:v>
                </c:pt>
                <c:pt idx="219">
                  <c:v>116.87</c:v>
                </c:pt>
                <c:pt idx="220">
                  <c:v>114.98</c:v>
                </c:pt>
                <c:pt idx="221">
                  <c:v>115.04</c:v>
                </c:pt>
                <c:pt idx="222">
                  <c:v>113.31</c:v>
                </c:pt>
                <c:pt idx="223">
                  <c:v>114.96</c:v>
                </c:pt>
                <c:pt idx="224">
                  <c:v>116.8</c:v>
                </c:pt>
                <c:pt idx="225">
                  <c:v>115.36</c:v>
                </c:pt>
                <c:pt idx="226">
                  <c:v>116.53</c:v>
                </c:pt>
                <c:pt idx="227">
                  <c:v>117.96</c:v>
                </c:pt>
                <c:pt idx="228">
                  <c:v>118.03</c:v>
                </c:pt>
                <c:pt idx="229">
                  <c:v>119.61</c:v>
                </c:pt>
                <c:pt idx="230">
                  <c:v>120.03</c:v>
                </c:pt>
                <c:pt idx="231">
                  <c:v>121.42</c:v>
                </c:pt>
                <c:pt idx="232">
                  <c:v>119.78</c:v>
                </c:pt>
                <c:pt idx="233">
                  <c:v>117.8</c:v>
                </c:pt>
                <c:pt idx="234">
                  <c:v>118.56</c:v>
                </c:pt>
                <c:pt idx="235">
                  <c:v>119.36</c:v>
                </c:pt>
                <c:pt idx="236">
                  <c:v>121.42</c:v>
                </c:pt>
                <c:pt idx="237">
                  <c:v>122.84</c:v>
                </c:pt>
                <c:pt idx="238">
                  <c:v>123.27</c:v>
                </c:pt>
                <c:pt idx="239">
                  <c:v>124.11</c:v>
                </c:pt>
                <c:pt idx="240">
                  <c:v>122.69</c:v>
                </c:pt>
                <c:pt idx="241">
                  <c:v>123.41</c:v>
                </c:pt>
                <c:pt idx="242">
                  <c:v>124.95</c:v>
                </c:pt>
                <c:pt idx="243">
                  <c:v>123.43</c:v>
                </c:pt>
                <c:pt idx="244">
                  <c:v>124.69</c:v>
                </c:pt>
                <c:pt idx="245">
                  <c:v>126.35</c:v>
                </c:pt>
                <c:pt idx="246">
                  <c:v>128.30000000000001</c:v>
                </c:pt>
                <c:pt idx="247">
                  <c:v>130.11000000000001</c:v>
                </c:pt>
                <c:pt idx="248">
                  <c:v>131.28</c:v>
                </c:pt>
                <c:pt idx="249">
                  <c:v>129.41</c:v>
                </c:pt>
                <c:pt idx="250">
                  <c:v>130.46</c:v>
                </c:pt>
                <c:pt idx="251">
                  <c:v>128.5</c:v>
                </c:pt>
                <c:pt idx="252">
                  <c:v>130.22</c:v>
                </c:pt>
                <c:pt idx="253">
                  <c:v>128.71</c:v>
                </c:pt>
                <c:pt idx="254">
                  <c:v>129.19999999999999</c:v>
                </c:pt>
                <c:pt idx="255">
                  <c:v>127.53</c:v>
                </c:pt>
                <c:pt idx="256">
                  <c:v>127.7</c:v>
                </c:pt>
                <c:pt idx="257">
                  <c:v>126.09</c:v>
                </c:pt>
                <c:pt idx="258">
                  <c:v>126.84</c:v>
                </c:pt>
                <c:pt idx="259">
                  <c:v>127.17</c:v>
                </c:pt>
                <c:pt idx="260">
                  <c:v>127.26</c:v>
                </c:pt>
                <c:pt idx="261">
                  <c:v>127.33</c:v>
                </c:pt>
                <c:pt idx="262">
                  <c:v>128.84</c:v>
                </c:pt>
                <c:pt idx="263">
                  <c:v>130.11000000000001</c:v>
                </c:pt>
                <c:pt idx="264">
                  <c:v>130.80000000000001</c:v>
                </c:pt>
                <c:pt idx="265">
                  <c:v>131.66</c:v>
                </c:pt>
                <c:pt idx="266">
                  <c:v>133.33000000000001</c:v>
                </c:pt>
                <c:pt idx="267">
                  <c:v>135</c:v>
                </c:pt>
                <c:pt idx="268">
                  <c:v>133.07</c:v>
                </c:pt>
                <c:pt idx="269">
                  <c:v>133.78</c:v>
                </c:pt>
                <c:pt idx="270">
                  <c:v>132.02000000000001</c:v>
                </c:pt>
                <c:pt idx="271">
                  <c:v>130.4</c:v>
                </c:pt>
                <c:pt idx="272">
                  <c:v>132.28</c:v>
                </c:pt>
                <c:pt idx="273">
                  <c:v>132.38999999999999</c:v>
                </c:pt>
                <c:pt idx="274">
                  <c:v>130.94</c:v>
                </c:pt>
                <c:pt idx="275">
                  <c:v>129.53</c:v>
                </c:pt>
                <c:pt idx="276">
                  <c:v>129.55000000000001</c:v>
                </c:pt>
                <c:pt idx="277">
                  <c:v>130.43</c:v>
                </c:pt>
                <c:pt idx="278">
                  <c:v>130.88999999999999</c:v>
                </c:pt>
                <c:pt idx="279">
                  <c:v>129.18</c:v>
                </c:pt>
                <c:pt idx="280">
                  <c:v>129.96</c:v>
                </c:pt>
                <c:pt idx="281">
                  <c:v>130.33000000000001</c:v>
                </c:pt>
                <c:pt idx="282">
                  <c:v>130.63999999999999</c:v>
                </c:pt>
                <c:pt idx="283">
                  <c:v>130.78</c:v>
                </c:pt>
                <c:pt idx="284">
                  <c:v>129.13999999999999</c:v>
                </c:pt>
                <c:pt idx="285">
                  <c:v>130.85</c:v>
                </c:pt>
                <c:pt idx="286">
                  <c:v>131.24</c:v>
                </c:pt>
                <c:pt idx="287">
                  <c:v>131.37</c:v>
                </c:pt>
                <c:pt idx="288">
                  <c:v>129.88</c:v>
                </c:pt>
                <c:pt idx="289">
                  <c:v>131.79</c:v>
                </c:pt>
                <c:pt idx="290">
                  <c:v>129.97999999999999</c:v>
                </c:pt>
                <c:pt idx="291">
                  <c:v>130.77000000000001</c:v>
                </c:pt>
                <c:pt idx="292">
                  <c:v>129.31</c:v>
                </c:pt>
                <c:pt idx="293">
                  <c:v>130.66999999999999</c:v>
                </c:pt>
                <c:pt idx="294">
                  <c:v>128.88</c:v>
                </c:pt>
                <c:pt idx="295">
                  <c:v>127.1</c:v>
                </c:pt>
                <c:pt idx="296">
                  <c:v>128.56</c:v>
                </c:pt>
                <c:pt idx="297">
                  <c:v>126.64</c:v>
                </c:pt>
                <c:pt idx="298">
                  <c:v>127.5</c:v>
                </c:pt>
                <c:pt idx="299">
                  <c:v>127.51</c:v>
                </c:pt>
                <c:pt idx="300">
                  <c:v>128.83000000000001</c:v>
                </c:pt>
                <c:pt idx="301">
                  <c:v>126.93</c:v>
                </c:pt>
                <c:pt idx="302">
                  <c:v>128.9</c:v>
                </c:pt>
                <c:pt idx="303">
                  <c:v>129.55000000000001</c:v>
                </c:pt>
                <c:pt idx="304">
                  <c:v>130</c:v>
                </c:pt>
                <c:pt idx="305">
                  <c:v>129.80000000000001</c:v>
                </c:pt>
                <c:pt idx="306">
                  <c:v>131.47</c:v>
                </c:pt>
                <c:pt idx="307">
                  <c:v>131.77000000000001</c:v>
                </c:pt>
                <c:pt idx="308">
                  <c:v>132.02000000000001</c:v>
                </c:pt>
                <c:pt idx="309">
                  <c:v>133.83000000000001</c:v>
                </c:pt>
                <c:pt idx="310">
                  <c:v>135.18</c:v>
                </c:pt>
                <c:pt idx="311">
                  <c:v>137.03</c:v>
                </c:pt>
                <c:pt idx="312">
                  <c:v>138.52000000000001</c:v>
                </c:pt>
                <c:pt idx="313">
                  <c:v>137.19</c:v>
                </c:pt>
                <c:pt idx="314">
                  <c:v>135.94999999999999</c:v>
                </c:pt>
                <c:pt idx="315">
                  <c:v>137</c:v>
                </c:pt>
                <c:pt idx="316">
                  <c:v>137.66999999999999</c:v>
                </c:pt>
                <c:pt idx="317">
                  <c:v>136.63</c:v>
                </c:pt>
                <c:pt idx="318">
                  <c:v>137.87</c:v>
                </c:pt>
                <c:pt idx="319">
                  <c:v>139.09</c:v>
                </c:pt>
                <c:pt idx="320">
                  <c:v>140.12</c:v>
                </c:pt>
                <c:pt idx="321">
                  <c:v>138.57</c:v>
                </c:pt>
                <c:pt idx="322">
                  <c:v>138.84</c:v>
                </c:pt>
                <c:pt idx="323">
                  <c:v>140.71</c:v>
                </c:pt>
                <c:pt idx="324">
                  <c:v>140.85</c:v>
                </c:pt>
                <c:pt idx="325">
                  <c:v>138.94999999999999</c:v>
                </c:pt>
                <c:pt idx="326">
                  <c:v>140.37</c:v>
                </c:pt>
                <c:pt idx="327">
                  <c:v>139.33000000000001</c:v>
                </c:pt>
                <c:pt idx="328">
                  <c:v>141.26</c:v>
                </c:pt>
                <c:pt idx="329">
                  <c:v>142.91999999999999</c:v>
                </c:pt>
                <c:pt idx="330">
                  <c:v>145.30000000000001</c:v>
                </c:pt>
                <c:pt idx="331">
                  <c:v>143.49</c:v>
                </c:pt>
                <c:pt idx="332">
                  <c:v>145.41</c:v>
                </c:pt>
                <c:pt idx="333">
                  <c:v>147.4</c:v>
                </c:pt>
                <c:pt idx="334">
                  <c:v>146.27000000000001</c:v>
                </c:pt>
                <c:pt idx="335">
                  <c:v>148.38</c:v>
                </c:pt>
                <c:pt idx="336">
                  <c:v>150.66999999999999</c:v>
                </c:pt>
                <c:pt idx="337">
                  <c:v>150.84</c:v>
                </c:pt>
                <c:pt idx="338">
                  <c:v>149.72999999999999</c:v>
                </c:pt>
                <c:pt idx="339">
                  <c:v>148.35</c:v>
                </c:pt>
                <c:pt idx="340">
                  <c:v>150.61000000000001</c:v>
                </c:pt>
                <c:pt idx="341">
                  <c:v>148.94999999999999</c:v>
                </c:pt>
                <c:pt idx="342">
                  <c:v>147.16999999999999</c:v>
                </c:pt>
                <c:pt idx="343">
                  <c:v>147.86000000000001</c:v>
                </c:pt>
                <c:pt idx="344">
                  <c:v>149.49</c:v>
                </c:pt>
                <c:pt idx="345">
                  <c:v>147.9</c:v>
                </c:pt>
                <c:pt idx="346">
                  <c:v>146.46</c:v>
                </c:pt>
                <c:pt idx="347">
                  <c:v>144.76</c:v>
                </c:pt>
                <c:pt idx="348">
                  <c:v>146.63999999999999</c:v>
                </c:pt>
                <c:pt idx="349">
                  <c:v>146.84</c:v>
                </c:pt>
                <c:pt idx="350">
                  <c:v>145.82</c:v>
                </c:pt>
                <c:pt idx="351">
                  <c:v>147.19999999999999</c:v>
                </c:pt>
                <c:pt idx="352">
                  <c:v>149.22999999999999</c:v>
                </c:pt>
                <c:pt idx="353">
                  <c:v>150.75</c:v>
                </c:pt>
                <c:pt idx="354">
                  <c:v>151.94999999999999</c:v>
                </c:pt>
                <c:pt idx="355">
                  <c:v>154.04</c:v>
                </c:pt>
                <c:pt idx="356">
                  <c:v>155.46</c:v>
                </c:pt>
                <c:pt idx="357">
                  <c:v>157.47</c:v>
                </c:pt>
                <c:pt idx="358">
                  <c:v>155.78</c:v>
                </c:pt>
                <c:pt idx="359">
                  <c:v>154.38999999999999</c:v>
                </c:pt>
                <c:pt idx="360">
                  <c:v>155.91999999999999</c:v>
                </c:pt>
                <c:pt idx="361">
                  <c:v>154.41999999999999</c:v>
                </c:pt>
                <c:pt idx="362">
                  <c:v>153.37</c:v>
                </c:pt>
                <c:pt idx="363">
                  <c:v>154.38</c:v>
                </c:pt>
                <c:pt idx="364">
                  <c:v>152.55000000000001</c:v>
                </c:pt>
                <c:pt idx="365">
                  <c:v>150.97999999999999</c:v>
                </c:pt>
                <c:pt idx="366">
                  <c:v>151.24</c:v>
                </c:pt>
                <c:pt idx="367">
                  <c:v>153.69</c:v>
                </c:pt>
                <c:pt idx="368">
                  <c:v>155.26</c:v>
                </c:pt>
                <c:pt idx="369">
                  <c:v>153.86000000000001</c:v>
                </c:pt>
                <c:pt idx="370">
                  <c:v>152.09</c:v>
                </c:pt>
                <c:pt idx="371">
                  <c:v>150.44</c:v>
                </c:pt>
                <c:pt idx="372">
                  <c:v>152.88</c:v>
                </c:pt>
                <c:pt idx="373">
                  <c:v>153.57</c:v>
                </c:pt>
                <c:pt idx="374">
                  <c:v>151.80000000000001</c:v>
                </c:pt>
                <c:pt idx="375">
                  <c:v>153.21</c:v>
                </c:pt>
                <c:pt idx="376">
                  <c:v>154.75</c:v>
                </c:pt>
                <c:pt idx="377">
                  <c:v>153.43</c:v>
                </c:pt>
                <c:pt idx="378">
                  <c:v>152.27000000000001</c:v>
                </c:pt>
                <c:pt idx="379">
                  <c:v>151</c:v>
                </c:pt>
                <c:pt idx="380">
                  <c:v>152.36000000000001</c:v>
                </c:pt>
                <c:pt idx="381">
                  <c:v>150.47999999999999</c:v>
                </c:pt>
                <c:pt idx="382">
                  <c:v>151.6</c:v>
                </c:pt>
                <c:pt idx="383">
                  <c:v>149.69999999999999</c:v>
                </c:pt>
                <c:pt idx="384">
                  <c:v>150.75</c:v>
                </c:pt>
                <c:pt idx="385">
                  <c:v>149.30000000000001</c:v>
                </c:pt>
                <c:pt idx="386">
                  <c:v>149.41999999999999</c:v>
                </c:pt>
                <c:pt idx="387">
                  <c:v>147.55000000000001</c:v>
                </c:pt>
                <c:pt idx="388">
                  <c:v>148.07</c:v>
                </c:pt>
                <c:pt idx="389">
                  <c:v>149.9</c:v>
                </c:pt>
                <c:pt idx="390">
                  <c:v>151.68</c:v>
                </c:pt>
                <c:pt idx="391">
                  <c:v>153.25</c:v>
                </c:pt>
                <c:pt idx="392">
                  <c:v>152.22999999999999</c:v>
                </c:pt>
                <c:pt idx="393">
                  <c:v>150.25</c:v>
                </c:pt>
                <c:pt idx="394">
                  <c:v>148.80000000000001</c:v>
                </c:pt>
                <c:pt idx="395">
                  <c:v>146.96</c:v>
                </c:pt>
                <c:pt idx="396">
                  <c:v>145.47999999999999</c:v>
                </c:pt>
                <c:pt idx="397">
                  <c:v>147.35</c:v>
                </c:pt>
                <c:pt idx="398">
                  <c:v>145.4</c:v>
                </c:pt>
                <c:pt idx="399">
                  <c:v>145.47</c:v>
                </c:pt>
                <c:pt idx="400">
                  <c:v>146.12</c:v>
                </c:pt>
                <c:pt idx="401">
                  <c:v>147.22</c:v>
                </c:pt>
                <c:pt idx="402">
                  <c:v>148.13</c:v>
                </c:pt>
                <c:pt idx="403">
                  <c:v>149.9</c:v>
                </c:pt>
                <c:pt idx="404">
                  <c:v>147.96</c:v>
                </c:pt>
                <c:pt idx="405">
                  <c:v>146.51</c:v>
                </c:pt>
                <c:pt idx="406">
                  <c:v>147.87</c:v>
                </c:pt>
                <c:pt idx="407">
                  <c:v>149.41</c:v>
                </c:pt>
                <c:pt idx="408">
                  <c:v>150.38999999999999</c:v>
                </c:pt>
                <c:pt idx="409">
                  <c:v>149.35</c:v>
                </c:pt>
                <c:pt idx="410">
                  <c:v>147.81</c:v>
                </c:pt>
                <c:pt idx="411">
                  <c:v>145.85</c:v>
                </c:pt>
                <c:pt idx="412">
                  <c:v>147.65</c:v>
                </c:pt>
                <c:pt idx="413">
                  <c:v>148</c:v>
                </c:pt>
                <c:pt idx="414">
                  <c:v>149.16</c:v>
                </c:pt>
                <c:pt idx="415">
                  <c:v>148.12</c:v>
                </c:pt>
                <c:pt idx="416">
                  <c:v>146.75</c:v>
                </c:pt>
                <c:pt idx="417">
                  <c:v>148.88</c:v>
                </c:pt>
                <c:pt idx="418">
                  <c:v>150.13999999999999</c:v>
                </c:pt>
                <c:pt idx="419">
                  <c:v>149.12</c:v>
                </c:pt>
                <c:pt idx="420">
                  <c:v>147.93</c:v>
                </c:pt>
                <c:pt idx="421">
                  <c:v>145.99</c:v>
                </c:pt>
                <c:pt idx="422">
                  <c:v>144.71</c:v>
                </c:pt>
                <c:pt idx="423">
                  <c:v>145.03</c:v>
                </c:pt>
                <c:pt idx="424">
                  <c:v>146.52000000000001</c:v>
                </c:pt>
                <c:pt idx="425">
                  <c:v>146.65</c:v>
                </c:pt>
                <c:pt idx="426">
                  <c:v>148.26</c:v>
                </c:pt>
                <c:pt idx="427">
                  <c:v>146.6</c:v>
                </c:pt>
                <c:pt idx="428">
                  <c:v>147.83000000000001</c:v>
                </c:pt>
                <c:pt idx="429">
                  <c:v>150.03</c:v>
                </c:pt>
                <c:pt idx="430">
                  <c:v>151.15</c:v>
                </c:pt>
                <c:pt idx="431">
                  <c:v>149.94999999999999</c:v>
                </c:pt>
                <c:pt idx="432">
                  <c:v>150.97999999999999</c:v>
                </c:pt>
                <c:pt idx="433">
                  <c:v>149.25</c:v>
                </c:pt>
                <c:pt idx="434">
                  <c:v>151.06</c:v>
                </c:pt>
                <c:pt idx="435">
                  <c:v>149.65</c:v>
                </c:pt>
                <c:pt idx="436">
                  <c:v>148.22</c:v>
                </c:pt>
                <c:pt idx="437">
                  <c:v>146.25</c:v>
                </c:pt>
                <c:pt idx="438">
                  <c:v>146.91</c:v>
                </c:pt>
                <c:pt idx="439">
                  <c:v>145.85</c:v>
                </c:pt>
                <c:pt idx="440">
                  <c:v>146.31</c:v>
                </c:pt>
                <c:pt idx="441">
                  <c:v>144.6</c:v>
                </c:pt>
                <c:pt idx="442">
                  <c:v>143.56</c:v>
                </c:pt>
                <c:pt idx="443">
                  <c:v>143.61000000000001</c:v>
                </c:pt>
                <c:pt idx="444">
                  <c:v>143.97999999999999</c:v>
                </c:pt>
                <c:pt idx="445">
                  <c:v>142.51</c:v>
                </c:pt>
                <c:pt idx="446">
                  <c:v>144.03</c:v>
                </c:pt>
                <c:pt idx="447">
                  <c:v>142.49</c:v>
                </c:pt>
                <c:pt idx="448">
                  <c:v>140.54</c:v>
                </c:pt>
                <c:pt idx="449">
                  <c:v>138.88999999999999</c:v>
                </c:pt>
                <c:pt idx="450">
                  <c:v>137.61000000000001</c:v>
                </c:pt>
                <c:pt idx="451">
                  <c:v>138.30000000000001</c:v>
                </c:pt>
                <c:pt idx="452">
                  <c:v>136.81</c:v>
                </c:pt>
                <c:pt idx="453">
                  <c:v>135.43</c:v>
                </c:pt>
                <c:pt idx="454">
                  <c:v>134</c:v>
                </c:pt>
                <c:pt idx="455">
                  <c:v>134.07</c:v>
                </c:pt>
                <c:pt idx="456">
                  <c:v>135.07</c:v>
                </c:pt>
                <c:pt idx="457">
                  <c:v>133.69999999999999</c:v>
                </c:pt>
                <c:pt idx="458">
                  <c:v>132.12</c:v>
                </c:pt>
                <c:pt idx="459">
                  <c:v>132.19999999999999</c:v>
                </c:pt>
                <c:pt idx="460">
                  <c:v>134.63</c:v>
                </c:pt>
                <c:pt idx="461">
                  <c:v>136.87</c:v>
                </c:pt>
                <c:pt idx="462">
                  <c:v>138.55000000000001</c:v>
                </c:pt>
                <c:pt idx="463">
                  <c:v>137.22999999999999</c:v>
                </c:pt>
                <c:pt idx="464">
                  <c:v>135.35</c:v>
                </c:pt>
                <c:pt idx="465">
                  <c:v>133.85</c:v>
                </c:pt>
                <c:pt idx="466">
                  <c:v>134.44999999999999</c:v>
                </c:pt>
                <c:pt idx="467">
                  <c:v>136.01</c:v>
                </c:pt>
                <c:pt idx="468">
                  <c:v>134.69</c:v>
                </c:pt>
                <c:pt idx="469">
                  <c:v>136.71</c:v>
                </c:pt>
                <c:pt idx="470">
                  <c:v>135.55000000000001</c:v>
                </c:pt>
                <c:pt idx="471">
                  <c:v>138.04</c:v>
                </c:pt>
                <c:pt idx="472">
                  <c:v>136.30000000000001</c:v>
                </c:pt>
                <c:pt idx="473">
                  <c:v>136.91</c:v>
                </c:pt>
                <c:pt idx="474">
                  <c:v>137.52000000000001</c:v>
                </c:pt>
                <c:pt idx="475">
                  <c:v>136.02000000000001</c:v>
                </c:pt>
                <c:pt idx="476">
                  <c:v>134.65</c:v>
                </c:pt>
                <c:pt idx="477">
                  <c:v>133.62</c:v>
                </c:pt>
                <c:pt idx="478">
                  <c:v>134.27000000000001</c:v>
                </c:pt>
                <c:pt idx="479">
                  <c:v>134.35</c:v>
                </c:pt>
                <c:pt idx="480">
                  <c:v>133.19</c:v>
                </c:pt>
                <c:pt idx="481">
                  <c:v>132.1</c:v>
                </c:pt>
                <c:pt idx="482">
                  <c:v>132.30000000000001</c:v>
                </c:pt>
                <c:pt idx="483">
                  <c:v>131.22999999999999</c:v>
                </c:pt>
                <c:pt idx="484">
                  <c:v>130.09</c:v>
                </c:pt>
                <c:pt idx="485">
                  <c:v>131.72999999999999</c:v>
                </c:pt>
                <c:pt idx="486">
                  <c:v>130.03</c:v>
                </c:pt>
                <c:pt idx="487">
                  <c:v>128.21</c:v>
                </c:pt>
                <c:pt idx="488">
                  <c:v>128.51</c:v>
                </c:pt>
                <c:pt idx="489">
                  <c:v>127.47</c:v>
                </c:pt>
                <c:pt idx="490">
                  <c:v>126.24</c:v>
                </c:pt>
                <c:pt idx="491">
                  <c:v>128.41</c:v>
                </c:pt>
                <c:pt idx="492">
                  <c:v>128.56</c:v>
                </c:pt>
                <c:pt idx="493">
                  <c:v>128.58000000000001</c:v>
                </c:pt>
                <c:pt idx="494">
                  <c:v>127.41</c:v>
                </c:pt>
                <c:pt idx="495">
                  <c:v>129.69</c:v>
                </c:pt>
                <c:pt idx="496">
                  <c:v>128.27000000000001</c:v>
                </c:pt>
                <c:pt idx="497">
                  <c:v>126.99</c:v>
                </c:pt>
                <c:pt idx="498">
                  <c:v>127.03</c:v>
                </c:pt>
                <c:pt idx="499">
                  <c:v>127.11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AC-47BF-B0D5-0FB2AA6B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998960"/>
        <c:axId val="1204003880"/>
      </c:lineChart>
      <c:catAx>
        <c:axId val="120399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003880"/>
        <c:crosses val="autoZero"/>
        <c:auto val="1"/>
        <c:lblAlgn val="ctr"/>
        <c:lblOffset val="100"/>
        <c:noMultiLvlLbl val="0"/>
      </c:catAx>
      <c:valAx>
        <c:axId val="120400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39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0</xdr:row>
      <xdr:rowOff>133350</xdr:rowOff>
    </xdr:from>
    <xdr:to>
      <xdr:col>24</xdr:col>
      <xdr:colOff>228600</xdr:colOff>
      <xdr:row>32</xdr:row>
      <xdr:rowOff>142875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470A86C-1AED-48E5-9874-44182C30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C8661828-5A92-40E9-BDC1-B67B4FE0E739}" autoFormatId="16" applyNumberFormats="0" applyBorderFormats="0" applyFontFormats="0" applyPatternFormats="0" applyAlignmentFormats="0" applyWidthHeightFormats="0">
  <queryTableRefresh nextId="4">
    <queryTableFields count="3">
      <queryTableField id="1" name="firma_A" tableColumnId="1"/>
      <queryTableField id="2" name="firma_B" tableColumnId="2"/>
      <queryTableField id="3" name="firma_C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2" xr16:uid="{FE060B1F-EDCA-425F-BD89-25A73CA7F891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firma_A" tableColumnId="1"/>
      <queryTableField id="2" name="firma_B" tableColumnId="2"/>
      <queryTableField id="3" name="firma_C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3" xr16:uid="{00C31378-A1FF-4E06-A76A-F90DF152F652}" autoFormatId="16" applyNumberFormats="0" applyBorderFormats="0" applyFontFormats="0" applyPatternFormats="0" applyAlignmentFormats="0" applyWidthHeightFormats="0">
  <queryTableRefresh nextId="10" unboundColumnsRight="4">
    <queryTableFields count="7">
      <queryTableField id="1" name="firma_A" tableColumnId="1"/>
      <queryTableField id="2" name="firma_B" tableColumnId="2"/>
      <queryTableField id="3" name="firma_C" tableColumnId="3"/>
      <queryTableField id="4" dataBound="0" tableColumnId="4"/>
      <queryTableField id="5" dataBound="0" tableColumnId="5"/>
      <queryTableField id="6" dataBound="0" tableColumnId="6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77670-78CF-4407-91D8-25FD226E4715}" name="gielda" displayName="gielda" ref="A1:C501" tableType="queryTable" totalsRowShown="0">
  <autoFilter ref="A1:C501" xr:uid="{1FB97FD4-4898-45C0-847A-83D4E700EAAE}"/>
  <tableColumns count="3">
    <tableColumn id="1" xr3:uid="{5AE24DA3-F4D8-41A7-898D-281923B7FA79}" uniqueName="1" name="firma_A" queryTableFieldId="1"/>
    <tableColumn id="2" xr3:uid="{29610CC2-296F-4D30-8315-34F33FF2C611}" uniqueName="2" name="firma_B" queryTableFieldId="2"/>
    <tableColumn id="3" xr3:uid="{3043A19E-3EB1-4348-ADAE-9FE89C8DFCDE}" uniqueName="3" name="firma_C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E00258-74CE-4414-85C8-98DF20E3DA7C}" name="gielda4" displayName="gielda4" ref="A1:F501" tableType="queryTable" totalsRowShown="0">
  <autoFilter ref="A1:F501" xr:uid="{B0194CE0-F77D-46A1-9347-E6F617E5366F}"/>
  <tableColumns count="6">
    <tableColumn id="1" xr3:uid="{2B65F484-753F-4E45-B58A-394B9354E05A}" uniqueName="1" name="firma_A" queryTableFieldId="1"/>
    <tableColumn id="2" xr3:uid="{6FAA4601-EF2F-4DB6-BB18-0B29304BF0F3}" uniqueName="2" name="firma_B" queryTableFieldId="2"/>
    <tableColumn id="3" xr3:uid="{D5E0F7F3-ADB5-42D8-B7AB-C83FD44985A6}" uniqueName="3" name="firma_C" queryTableFieldId="3"/>
    <tableColumn id="4" xr3:uid="{ADC9BBED-0518-4681-BD8F-151CDD206857}" uniqueName="4" name="ciag_a" queryTableFieldId="4"/>
    <tableColumn id="5" xr3:uid="{006BF4DC-5996-4355-ADDC-CB2DC75B8C54}" uniqueName="5" name="ciag_b" queryTableFieldId="5"/>
    <tableColumn id="6" xr3:uid="{BD2317BB-3740-49F5-B587-4C2D25EB4D0E}" uniqueName="6" name="ciag_c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FC958-4A7F-4D99-9AF7-9D7981CBEF16}" name="gielda__2" displayName="gielda__2" ref="B1:D501" totalsRowShown="0" headerRowDxfId="5" dataDxfId="4">
  <autoFilter ref="B1:D501" xr:uid="{F59F2341-B51D-4828-B530-230C79842095}"/>
  <tableColumns count="3">
    <tableColumn id="1" xr3:uid="{6DAB0EC7-66C0-4A2F-AAE5-C6AB852EFDD8}" name="firma_A" dataDxfId="3"/>
    <tableColumn id="2" xr3:uid="{C1843CF7-5DFE-49A9-85BD-76C2765A5AEC}" name="firma_B" dataDxfId="2"/>
    <tableColumn id="3" xr3:uid="{BD8DFEA0-451F-4925-8FEE-AAE60056736E}" name="firma_C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44D0DE-739E-4C81-9C6A-625ACAEC9AF0}" name="gielda5" displayName="gielda5" ref="A1:G501" tableType="queryTable" totalsRowShown="0">
  <autoFilter ref="A1:G501" xr:uid="{85F3BBCE-EEB3-41CD-883D-F325F2D05CFC}"/>
  <tableColumns count="7">
    <tableColumn id="1" xr3:uid="{8877B96D-FDC1-4282-8119-41FEDBDDD192}" uniqueName="1" name="firma_A" queryTableFieldId="1"/>
    <tableColumn id="2" xr3:uid="{2F1D7FFC-DF2F-4E23-B036-7B34BF275F96}" uniqueName="2" name="firma_B" queryTableFieldId="2"/>
    <tableColumn id="3" xr3:uid="{A530A13E-AFEE-4CC7-8328-6C635E75E690}" uniqueName="3" name="firma_C" queryTableFieldId="3"/>
    <tableColumn id="4" xr3:uid="{85F665BE-A899-466A-A7F1-3BBC0129F55B}" uniqueName="4" name="hossa_a" queryTableFieldId="4"/>
    <tableColumn id="5" xr3:uid="{B8D10189-11F4-4458-A5DD-74CBC84710CA}" uniqueName="5" name="hossa_b" queryTableFieldId="5"/>
    <tableColumn id="6" xr3:uid="{C420F101-057F-4F46-80B4-A4615BFFA99A}" uniqueName="6" name="hossa_c" queryTableFieldId="6"/>
    <tableColumn id="8" xr3:uid="{607141B1-8179-4CB1-AA94-F12FC8037C58}" uniqueName="8" name="czy_ok" queryTableFieldId="8" dataDxfId="0">
      <calculatedColumnFormula>IF(SUM(D2:F2)&gt;=2,1,0)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F16A-C5C3-48EB-AA99-2E5C58FFF184}">
  <dimension ref="A1:C501"/>
  <sheetViews>
    <sheetView workbookViewId="0">
      <selection activeCell="C1" sqref="C1:C1048576"/>
    </sheetView>
  </sheetViews>
  <sheetFormatPr defaultRowHeight="15" x14ac:dyDescent="0.25"/>
  <cols>
    <col min="1" max="1" width="10.28515625" bestFit="1" customWidth="1"/>
    <col min="2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126</v>
      </c>
      <c r="B2">
        <v>135.43</v>
      </c>
      <c r="C2">
        <v>65.430000000000007</v>
      </c>
    </row>
    <row r="3" spans="1:3" x14ac:dyDescent="0.25">
      <c r="A3">
        <v>119</v>
      </c>
      <c r="B3">
        <v>134.99</v>
      </c>
      <c r="C3">
        <v>67.06</v>
      </c>
    </row>
    <row r="4" spans="1:3" x14ac:dyDescent="0.25">
      <c r="A4">
        <v>127</v>
      </c>
      <c r="B4">
        <v>134.04</v>
      </c>
      <c r="C4">
        <v>68.91</v>
      </c>
    </row>
    <row r="5" spans="1:3" x14ac:dyDescent="0.25">
      <c r="A5">
        <v>130</v>
      </c>
      <c r="B5">
        <v>133.76</v>
      </c>
      <c r="C5">
        <v>70.8</v>
      </c>
    </row>
    <row r="6" spans="1:3" x14ac:dyDescent="0.25">
      <c r="A6">
        <v>110</v>
      </c>
      <c r="B6">
        <v>136.72999999999999</v>
      </c>
      <c r="C6">
        <v>72.260000000000005</v>
      </c>
    </row>
    <row r="7" spans="1:3" x14ac:dyDescent="0.25">
      <c r="A7">
        <v>108.71</v>
      </c>
      <c r="B7">
        <v>136.49</v>
      </c>
      <c r="C7">
        <v>73.63</v>
      </c>
    </row>
    <row r="8" spans="1:3" x14ac:dyDescent="0.25">
      <c r="A8">
        <v>109.82</v>
      </c>
      <c r="B8">
        <v>139.22</v>
      </c>
      <c r="C8">
        <v>73.64</v>
      </c>
    </row>
    <row r="9" spans="1:3" x14ac:dyDescent="0.25">
      <c r="A9">
        <v>108.34</v>
      </c>
      <c r="B9">
        <v>138.41</v>
      </c>
      <c r="C9">
        <v>71.739999999999995</v>
      </c>
    </row>
    <row r="10" spans="1:3" x14ac:dyDescent="0.25">
      <c r="A10">
        <v>108.98</v>
      </c>
      <c r="B10">
        <v>137.68</v>
      </c>
      <c r="C10">
        <v>72.89</v>
      </c>
    </row>
    <row r="11" spans="1:3" x14ac:dyDescent="0.25">
      <c r="A11">
        <v>107.72</v>
      </c>
      <c r="B11">
        <v>140.59</v>
      </c>
      <c r="C11">
        <v>74.319999999999993</v>
      </c>
    </row>
    <row r="12" spans="1:3" x14ac:dyDescent="0.25">
      <c r="A12">
        <v>109.1</v>
      </c>
      <c r="B12">
        <v>143.21</v>
      </c>
      <c r="C12">
        <v>75.569999999999993</v>
      </c>
    </row>
    <row r="13" spans="1:3" x14ac:dyDescent="0.25">
      <c r="A13">
        <v>107.73</v>
      </c>
      <c r="B13">
        <v>145.94999999999999</v>
      </c>
      <c r="C13">
        <v>77.37</v>
      </c>
    </row>
    <row r="14" spans="1:3" x14ac:dyDescent="0.25">
      <c r="A14">
        <v>107.75</v>
      </c>
      <c r="B14">
        <v>145.35</v>
      </c>
      <c r="C14">
        <v>75.7</v>
      </c>
    </row>
    <row r="15" spans="1:3" x14ac:dyDescent="0.25">
      <c r="A15">
        <v>110.02</v>
      </c>
      <c r="B15">
        <v>145.35</v>
      </c>
      <c r="C15">
        <v>75.959999999999994</v>
      </c>
    </row>
    <row r="16" spans="1:3" x14ac:dyDescent="0.25">
      <c r="A16">
        <v>112.45</v>
      </c>
      <c r="B16">
        <v>145.24</v>
      </c>
      <c r="C16">
        <v>78.040000000000006</v>
      </c>
    </row>
    <row r="17" spans="1:3" x14ac:dyDescent="0.25">
      <c r="A17">
        <v>110.84</v>
      </c>
      <c r="B17">
        <v>148.19</v>
      </c>
      <c r="C17">
        <v>78.28</v>
      </c>
    </row>
    <row r="18" spans="1:3" x14ac:dyDescent="0.25">
      <c r="A18">
        <v>109.06</v>
      </c>
      <c r="B18">
        <v>146.26</v>
      </c>
      <c r="C18">
        <v>79.41</v>
      </c>
    </row>
    <row r="19" spans="1:3" x14ac:dyDescent="0.25">
      <c r="A19">
        <v>107.28</v>
      </c>
      <c r="B19">
        <v>144.43</v>
      </c>
      <c r="C19">
        <v>77.45</v>
      </c>
    </row>
    <row r="20" spans="1:3" x14ac:dyDescent="0.25">
      <c r="A20">
        <v>108.88</v>
      </c>
      <c r="B20">
        <v>144.19</v>
      </c>
      <c r="C20">
        <v>76.040000000000006</v>
      </c>
    </row>
    <row r="21" spans="1:3" x14ac:dyDescent="0.25">
      <c r="A21">
        <v>111.35</v>
      </c>
      <c r="B21">
        <v>142.59</v>
      </c>
      <c r="C21">
        <v>77.11</v>
      </c>
    </row>
    <row r="22" spans="1:3" x14ac:dyDescent="0.25">
      <c r="A22">
        <v>112.72</v>
      </c>
      <c r="B22">
        <v>142.33000000000001</v>
      </c>
      <c r="C22">
        <v>78.72</v>
      </c>
    </row>
    <row r="23" spans="1:3" x14ac:dyDescent="0.25">
      <c r="A23">
        <v>113.08</v>
      </c>
      <c r="B23">
        <v>141.56</v>
      </c>
      <c r="C23">
        <v>77</v>
      </c>
    </row>
    <row r="24" spans="1:3" x14ac:dyDescent="0.25">
      <c r="A24">
        <v>115.28</v>
      </c>
      <c r="B24">
        <v>139.78</v>
      </c>
      <c r="C24">
        <v>79.03</v>
      </c>
    </row>
    <row r="25" spans="1:3" x14ac:dyDescent="0.25">
      <c r="A25">
        <v>114.25</v>
      </c>
      <c r="B25">
        <v>142.72</v>
      </c>
      <c r="C25">
        <v>77.540000000000006</v>
      </c>
    </row>
    <row r="26" spans="1:3" x14ac:dyDescent="0.25">
      <c r="A26">
        <v>112.65</v>
      </c>
      <c r="B26">
        <v>141.38</v>
      </c>
      <c r="C26">
        <v>76.08</v>
      </c>
    </row>
    <row r="27" spans="1:3" x14ac:dyDescent="0.25">
      <c r="A27">
        <v>115.1</v>
      </c>
      <c r="B27">
        <v>141.34</v>
      </c>
      <c r="C27">
        <v>74.11</v>
      </c>
    </row>
    <row r="28" spans="1:3" x14ac:dyDescent="0.25">
      <c r="A28">
        <v>116.76</v>
      </c>
      <c r="B28">
        <v>140.87</v>
      </c>
      <c r="C28">
        <v>72.23</v>
      </c>
    </row>
    <row r="29" spans="1:3" x14ac:dyDescent="0.25">
      <c r="A29">
        <v>114.96</v>
      </c>
      <c r="B29">
        <v>139.35</v>
      </c>
      <c r="C29">
        <v>72.239999999999995</v>
      </c>
    </row>
    <row r="30" spans="1:3" x14ac:dyDescent="0.25">
      <c r="A30">
        <v>113.89</v>
      </c>
      <c r="B30">
        <v>141.87</v>
      </c>
      <c r="C30">
        <v>74.19</v>
      </c>
    </row>
    <row r="31" spans="1:3" x14ac:dyDescent="0.25">
      <c r="A31">
        <v>112.77</v>
      </c>
      <c r="B31">
        <v>140.41</v>
      </c>
      <c r="C31">
        <v>75.75</v>
      </c>
    </row>
    <row r="32" spans="1:3" x14ac:dyDescent="0.25">
      <c r="A32">
        <v>113.51</v>
      </c>
      <c r="B32">
        <v>138.97999999999999</v>
      </c>
      <c r="C32">
        <v>74.11</v>
      </c>
    </row>
    <row r="33" spans="1:3" x14ac:dyDescent="0.25">
      <c r="A33">
        <v>112.2</v>
      </c>
      <c r="B33">
        <v>137.32</v>
      </c>
      <c r="C33">
        <v>74.75</v>
      </c>
    </row>
    <row r="34" spans="1:3" x14ac:dyDescent="0.25">
      <c r="A34">
        <v>110.36</v>
      </c>
      <c r="B34">
        <v>136.93</v>
      </c>
      <c r="C34">
        <v>72.89</v>
      </c>
    </row>
    <row r="35" spans="1:3" x14ac:dyDescent="0.25">
      <c r="A35">
        <v>112.47</v>
      </c>
      <c r="B35">
        <v>136.37</v>
      </c>
      <c r="C35">
        <v>71.260000000000005</v>
      </c>
    </row>
    <row r="36" spans="1:3" x14ac:dyDescent="0.25">
      <c r="A36">
        <v>112.67</v>
      </c>
      <c r="B36">
        <v>136.24</v>
      </c>
      <c r="C36">
        <v>72.92</v>
      </c>
    </row>
    <row r="37" spans="1:3" x14ac:dyDescent="0.25">
      <c r="A37">
        <v>111.09</v>
      </c>
      <c r="B37">
        <v>134.69</v>
      </c>
      <c r="C37">
        <v>73.63</v>
      </c>
    </row>
    <row r="38" spans="1:3" x14ac:dyDescent="0.25">
      <c r="A38">
        <v>110.06</v>
      </c>
      <c r="B38">
        <v>137.49</v>
      </c>
      <c r="C38">
        <v>72.040000000000006</v>
      </c>
    </row>
    <row r="39" spans="1:3" x14ac:dyDescent="0.25">
      <c r="A39">
        <v>111.55</v>
      </c>
      <c r="B39">
        <v>135.69999999999999</v>
      </c>
      <c r="C39">
        <v>70.16</v>
      </c>
    </row>
    <row r="40" spans="1:3" x14ac:dyDescent="0.25">
      <c r="A40">
        <v>112.25</v>
      </c>
      <c r="B40">
        <v>134.69</v>
      </c>
      <c r="C40">
        <v>72.239999999999995</v>
      </c>
    </row>
    <row r="41" spans="1:3" x14ac:dyDescent="0.25">
      <c r="A41">
        <v>110.59</v>
      </c>
      <c r="B41">
        <v>133.41</v>
      </c>
      <c r="C41">
        <v>70.25</v>
      </c>
    </row>
    <row r="42" spans="1:3" x14ac:dyDescent="0.25">
      <c r="A42">
        <v>109.24</v>
      </c>
      <c r="B42">
        <v>136.24</v>
      </c>
      <c r="C42">
        <v>71.67</v>
      </c>
    </row>
    <row r="43" spans="1:3" x14ac:dyDescent="0.25">
      <c r="A43">
        <v>107.52</v>
      </c>
      <c r="B43">
        <v>136.22</v>
      </c>
      <c r="C43">
        <v>73.099999999999994</v>
      </c>
    </row>
    <row r="44" spans="1:3" x14ac:dyDescent="0.25">
      <c r="A44">
        <v>107.97</v>
      </c>
      <c r="B44">
        <v>135.69999999999999</v>
      </c>
      <c r="C44">
        <v>74.36</v>
      </c>
    </row>
    <row r="45" spans="1:3" x14ac:dyDescent="0.25">
      <c r="A45">
        <v>106.54</v>
      </c>
      <c r="B45">
        <v>134.72</v>
      </c>
      <c r="C45">
        <v>72.81</v>
      </c>
    </row>
    <row r="46" spans="1:3" x14ac:dyDescent="0.25">
      <c r="A46">
        <v>105.18</v>
      </c>
      <c r="B46">
        <v>133.13</v>
      </c>
      <c r="C46">
        <v>71.02</v>
      </c>
    </row>
    <row r="47" spans="1:3" x14ac:dyDescent="0.25">
      <c r="A47">
        <v>103.97</v>
      </c>
      <c r="B47">
        <v>131.47999999999999</v>
      </c>
      <c r="C47">
        <v>72.37</v>
      </c>
    </row>
    <row r="48" spans="1:3" x14ac:dyDescent="0.25">
      <c r="A48">
        <v>105.17</v>
      </c>
      <c r="B48">
        <v>131.35</v>
      </c>
      <c r="C48">
        <v>72.58</v>
      </c>
    </row>
    <row r="49" spans="1:3" x14ac:dyDescent="0.25">
      <c r="A49">
        <v>106.1</v>
      </c>
      <c r="B49">
        <v>131.19999999999999</v>
      </c>
      <c r="C49">
        <v>70.73</v>
      </c>
    </row>
    <row r="50" spans="1:3" x14ac:dyDescent="0.25">
      <c r="A50">
        <v>107.77</v>
      </c>
      <c r="B50">
        <v>130.01</v>
      </c>
      <c r="C50">
        <v>69.03</v>
      </c>
    </row>
    <row r="51" spans="1:3" x14ac:dyDescent="0.25">
      <c r="A51">
        <v>108.02</v>
      </c>
      <c r="B51">
        <v>129.72</v>
      </c>
      <c r="C51">
        <v>70</v>
      </c>
    </row>
    <row r="52" spans="1:3" x14ac:dyDescent="0.25">
      <c r="A52">
        <v>108.88</v>
      </c>
      <c r="B52">
        <v>128.44999999999999</v>
      </c>
      <c r="C52">
        <v>68.27</v>
      </c>
    </row>
    <row r="53" spans="1:3" x14ac:dyDescent="0.25">
      <c r="A53">
        <v>107.26</v>
      </c>
      <c r="B53">
        <v>128.38999999999999</v>
      </c>
      <c r="C53">
        <v>68.97</v>
      </c>
    </row>
    <row r="54" spans="1:3" x14ac:dyDescent="0.25">
      <c r="A54">
        <v>106.11</v>
      </c>
      <c r="B54">
        <v>127.62</v>
      </c>
      <c r="C54">
        <v>67.489999999999995</v>
      </c>
    </row>
    <row r="55" spans="1:3" x14ac:dyDescent="0.25">
      <c r="A55">
        <v>104.42</v>
      </c>
      <c r="B55">
        <v>127.12</v>
      </c>
      <c r="C55">
        <v>67.790000000000006</v>
      </c>
    </row>
    <row r="56" spans="1:3" x14ac:dyDescent="0.25">
      <c r="A56">
        <v>106.04</v>
      </c>
      <c r="B56">
        <v>129.86000000000001</v>
      </c>
      <c r="C56">
        <v>68.91</v>
      </c>
    </row>
    <row r="57" spans="1:3" x14ac:dyDescent="0.25">
      <c r="A57">
        <v>108.4</v>
      </c>
      <c r="B57">
        <v>128.13999999999999</v>
      </c>
      <c r="C57">
        <v>69.81</v>
      </c>
    </row>
    <row r="58" spans="1:3" x14ac:dyDescent="0.25">
      <c r="A58">
        <v>108.53</v>
      </c>
      <c r="B58">
        <v>127.11</v>
      </c>
      <c r="C58">
        <v>67.84</v>
      </c>
    </row>
    <row r="59" spans="1:3" x14ac:dyDescent="0.25">
      <c r="A59">
        <v>109.46</v>
      </c>
      <c r="B59">
        <v>125.12</v>
      </c>
      <c r="C59">
        <v>69.349999999999994</v>
      </c>
    </row>
    <row r="60" spans="1:3" x14ac:dyDescent="0.25">
      <c r="A60">
        <v>108.32</v>
      </c>
      <c r="B60">
        <v>123.31</v>
      </c>
      <c r="C60">
        <v>69.709999999999994</v>
      </c>
    </row>
    <row r="61" spans="1:3" x14ac:dyDescent="0.25">
      <c r="A61">
        <v>106.32</v>
      </c>
      <c r="B61">
        <v>123.23</v>
      </c>
      <c r="C61">
        <v>67.77</v>
      </c>
    </row>
    <row r="62" spans="1:3" x14ac:dyDescent="0.25">
      <c r="A62">
        <v>111.11</v>
      </c>
      <c r="B62">
        <v>126.02</v>
      </c>
      <c r="C62">
        <v>69.61</v>
      </c>
    </row>
    <row r="63" spans="1:3" x14ac:dyDescent="0.25">
      <c r="A63">
        <v>112.07</v>
      </c>
      <c r="B63">
        <v>124.34</v>
      </c>
      <c r="C63">
        <v>71.64</v>
      </c>
    </row>
    <row r="64" spans="1:3" x14ac:dyDescent="0.25">
      <c r="A64">
        <v>110.42</v>
      </c>
      <c r="B64">
        <v>122.71</v>
      </c>
      <c r="C64">
        <v>73.260000000000005</v>
      </c>
    </row>
    <row r="65" spans="1:3" x14ac:dyDescent="0.25">
      <c r="A65">
        <v>108.52</v>
      </c>
      <c r="B65">
        <v>122.53</v>
      </c>
      <c r="C65">
        <v>73.27</v>
      </c>
    </row>
    <row r="66" spans="1:3" x14ac:dyDescent="0.25">
      <c r="A66">
        <v>106.63</v>
      </c>
      <c r="B66">
        <v>122.08</v>
      </c>
      <c r="C66">
        <v>74.290000000000006</v>
      </c>
    </row>
    <row r="67" spans="1:3" x14ac:dyDescent="0.25">
      <c r="A67">
        <v>107.24</v>
      </c>
      <c r="B67">
        <v>124.82</v>
      </c>
      <c r="C67">
        <v>75.55</v>
      </c>
    </row>
    <row r="68" spans="1:3" x14ac:dyDescent="0.25">
      <c r="A68">
        <v>109.24</v>
      </c>
      <c r="B68">
        <v>123.18</v>
      </c>
      <c r="C68">
        <v>76.38</v>
      </c>
    </row>
    <row r="69" spans="1:3" x14ac:dyDescent="0.25">
      <c r="A69">
        <v>108.19</v>
      </c>
      <c r="B69">
        <v>121.65</v>
      </c>
      <c r="C69">
        <v>76.709999999999994</v>
      </c>
    </row>
    <row r="70" spans="1:3" x14ac:dyDescent="0.25">
      <c r="A70">
        <v>106.77</v>
      </c>
      <c r="B70">
        <v>120.46</v>
      </c>
      <c r="C70">
        <v>78.13</v>
      </c>
    </row>
    <row r="71" spans="1:3" x14ac:dyDescent="0.25">
      <c r="A71">
        <v>107.03</v>
      </c>
      <c r="B71">
        <v>118.94</v>
      </c>
      <c r="C71">
        <v>79.709999999999994</v>
      </c>
    </row>
    <row r="72" spans="1:3" x14ac:dyDescent="0.25">
      <c r="A72">
        <v>107.42</v>
      </c>
      <c r="B72">
        <v>121.35</v>
      </c>
      <c r="C72">
        <v>81.349999999999994</v>
      </c>
    </row>
    <row r="73" spans="1:3" x14ac:dyDescent="0.25">
      <c r="A73">
        <v>106.16</v>
      </c>
      <c r="B73">
        <v>119.53</v>
      </c>
      <c r="C73">
        <v>79.41</v>
      </c>
    </row>
    <row r="74" spans="1:3" x14ac:dyDescent="0.25">
      <c r="A74">
        <v>108.3</v>
      </c>
      <c r="B74">
        <v>122.07</v>
      </c>
      <c r="C74">
        <v>77.7</v>
      </c>
    </row>
    <row r="75" spans="1:3" x14ac:dyDescent="0.25">
      <c r="A75">
        <v>106.46</v>
      </c>
      <c r="B75">
        <v>121.46</v>
      </c>
      <c r="C75">
        <v>78.58</v>
      </c>
    </row>
    <row r="76" spans="1:3" x14ac:dyDescent="0.25">
      <c r="A76">
        <v>108.61</v>
      </c>
      <c r="B76">
        <v>121.05</v>
      </c>
      <c r="C76">
        <v>77.02</v>
      </c>
    </row>
    <row r="77" spans="1:3" x14ac:dyDescent="0.25">
      <c r="A77">
        <v>107.56</v>
      </c>
      <c r="B77">
        <v>119.15</v>
      </c>
      <c r="C77">
        <v>75.13</v>
      </c>
    </row>
    <row r="78" spans="1:3" x14ac:dyDescent="0.25">
      <c r="A78">
        <v>109.68</v>
      </c>
      <c r="B78">
        <v>117.48</v>
      </c>
      <c r="C78">
        <v>73.45</v>
      </c>
    </row>
    <row r="79" spans="1:3" x14ac:dyDescent="0.25">
      <c r="A79">
        <v>107.87</v>
      </c>
      <c r="B79">
        <v>120.35</v>
      </c>
      <c r="C79">
        <v>71.930000000000007</v>
      </c>
    </row>
    <row r="80" spans="1:3" x14ac:dyDescent="0.25">
      <c r="A80">
        <v>106.41</v>
      </c>
      <c r="B80">
        <v>119.66</v>
      </c>
      <c r="C80">
        <v>72.959999999999994</v>
      </c>
    </row>
    <row r="81" spans="1:3" x14ac:dyDescent="0.25">
      <c r="A81">
        <v>106.92</v>
      </c>
      <c r="B81">
        <v>117.79</v>
      </c>
      <c r="C81">
        <v>74.28</v>
      </c>
    </row>
    <row r="82" spans="1:3" x14ac:dyDescent="0.25">
      <c r="A82">
        <v>105.03</v>
      </c>
      <c r="B82">
        <v>116.78</v>
      </c>
      <c r="C82">
        <v>75.78</v>
      </c>
    </row>
    <row r="83" spans="1:3" x14ac:dyDescent="0.25">
      <c r="A83">
        <v>103.36</v>
      </c>
      <c r="B83">
        <v>115.69</v>
      </c>
      <c r="C83">
        <v>76.88</v>
      </c>
    </row>
    <row r="84" spans="1:3" x14ac:dyDescent="0.25">
      <c r="A84">
        <v>103.78</v>
      </c>
      <c r="B84">
        <v>114.43</v>
      </c>
      <c r="C84">
        <v>77.36</v>
      </c>
    </row>
    <row r="85" spans="1:3" x14ac:dyDescent="0.25">
      <c r="A85">
        <v>103.98</v>
      </c>
      <c r="B85">
        <v>116.98</v>
      </c>
      <c r="C85">
        <v>75.790000000000006</v>
      </c>
    </row>
    <row r="86" spans="1:3" x14ac:dyDescent="0.25">
      <c r="A86">
        <v>102.21</v>
      </c>
      <c r="B86">
        <v>115.16</v>
      </c>
      <c r="C86">
        <v>77.34</v>
      </c>
    </row>
    <row r="87" spans="1:3" x14ac:dyDescent="0.25">
      <c r="A87">
        <v>100.65</v>
      </c>
      <c r="B87">
        <v>117.73</v>
      </c>
      <c r="C87">
        <v>79.17</v>
      </c>
    </row>
    <row r="88" spans="1:3" x14ac:dyDescent="0.25">
      <c r="A88">
        <v>99.64</v>
      </c>
      <c r="B88">
        <v>116.14</v>
      </c>
      <c r="C88">
        <v>80.760000000000005</v>
      </c>
    </row>
    <row r="89" spans="1:3" x14ac:dyDescent="0.25">
      <c r="A89">
        <v>101.26</v>
      </c>
      <c r="B89">
        <v>114.52</v>
      </c>
      <c r="C89">
        <v>79.02</v>
      </c>
    </row>
    <row r="90" spans="1:3" x14ac:dyDescent="0.25">
      <c r="A90">
        <v>102.85</v>
      </c>
      <c r="B90">
        <v>117.04</v>
      </c>
      <c r="C90">
        <v>79.25</v>
      </c>
    </row>
    <row r="91" spans="1:3" x14ac:dyDescent="0.25">
      <c r="A91">
        <v>101.59</v>
      </c>
      <c r="B91">
        <v>116.49</v>
      </c>
      <c r="C91">
        <v>80.260000000000005</v>
      </c>
    </row>
    <row r="92" spans="1:3" x14ac:dyDescent="0.25">
      <c r="A92">
        <v>102.13</v>
      </c>
      <c r="B92">
        <v>115.06</v>
      </c>
      <c r="C92">
        <v>81.260000000000005</v>
      </c>
    </row>
    <row r="93" spans="1:3" x14ac:dyDescent="0.25">
      <c r="A93">
        <v>100.74</v>
      </c>
      <c r="B93">
        <v>117.47</v>
      </c>
      <c r="C93">
        <v>81.64</v>
      </c>
    </row>
    <row r="94" spans="1:3" x14ac:dyDescent="0.25">
      <c r="A94">
        <v>99.12</v>
      </c>
      <c r="B94">
        <v>120.19</v>
      </c>
      <c r="C94">
        <v>79.849999999999994</v>
      </c>
    </row>
    <row r="95" spans="1:3" x14ac:dyDescent="0.25">
      <c r="A95">
        <v>99.13</v>
      </c>
      <c r="B95">
        <v>122.89</v>
      </c>
      <c r="C95">
        <v>81.540000000000006</v>
      </c>
    </row>
    <row r="96" spans="1:3" x14ac:dyDescent="0.25">
      <c r="A96">
        <v>99.6</v>
      </c>
      <c r="B96">
        <v>122.61</v>
      </c>
      <c r="C96">
        <v>79.87</v>
      </c>
    </row>
    <row r="97" spans="1:3" x14ac:dyDescent="0.25">
      <c r="A97">
        <v>98.53</v>
      </c>
      <c r="B97">
        <v>122.59</v>
      </c>
      <c r="C97">
        <v>80</v>
      </c>
    </row>
    <row r="98" spans="1:3" x14ac:dyDescent="0.25">
      <c r="A98">
        <v>98.74</v>
      </c>
      <c r="B98">
        <v>125.49</v>
      </c>
      <c r="C98">
        <v>81.010000000000005</v>
      </c>
    </row>
    <row r="99" spans="1:3" x14ac:dyDescent="0.25">
      <c r="A99">
        <v>98.96</v>
      </c>
      <c r="B99">
        <v>127.95</v>
      </c>
      <c r="C99">
        <v>79.17</v>
      </c>
    </row>
    <row r="100" spans="1:3" x14ac:dyDescent="0.25">
      <c r="A100">
        <v>97.74</v>
      </c>
      <c r="B100">
        <v>126.34</v>
      </c>
      <c r="C100">
        <v>80.290000000000006</v>
      </c>
    </row>
    <row r="101" spans="1:3" x14ac:dyDescent="0.25">
      <c r="A101">
        <v>95.84</v>
      </c>
      <c r="B101">
        <v>128.94</v>
      </c>
      <c r="C101">
        <v>81.599999999999994</v>
      </c>
    </row>
    <row r="102" spans="1:3" x14ac:dyDescent="0.25">
      <c r="A102">
        <v>94.12</v>
      </c>
      <c r="B102">
        <v>131.63999999999999</v>
      </c>
      <c r="C102">
        <v>82.75</v>
      </c>
    </row>
    <row r="103" spans="1:3" x14ac:dyDescent="0.25">
      <c r="A103">
        <v>92.92</v>
      </c>
      <c r="B103">
        <v>134.62</v>
      </c>
      <c r="C103">
        <v>83.09</v>
      </c>
    </row>
    <row r="104" spans="1:3" x14ac:dyDescent="0.25">
      <c r="A104">
        <v>91.81</v>
      </c>
      <c r="B104">
        <v>134.53</v>
      </c>
      <c r="C104">
        <v>84.09</v>
      </c>
    </row>
    <row r="105" spans="1:3" x14ac:dyDescent="0.25">
      <c r="A105">
        <v>90.67</v>
      </c>
      <c r="B105">
        <v>137.36000000000001</v>
      </c>
      <c r="C105">
        <v>85.17</v>
      </c>
    </row>
    <row r="106" spans="1:3" x14ac:dyDescent="0.25">
      <c r="A106">
        <v>89</v>
      </c>
      <c r="B106">
        <v>136.86000000000001</v>
      </c>
      <c r="C106">
        <v>86</v>
      </c>
    </row>
    <row r="107" spans="1:3" x14ac:dyDescent="0.25">
      <c r="A107">
        <v>91.41</v>
      </c>
      <c r="B107">
        <v>136.07</v>
      </c>
      <c r="C107">
        <v>84.14</v>
      </c>
    </row>
    <row r="108" spans="1:3" x14ac:dyDescent="0.25">
      <c r="A108">
        <v>89.57</v>
      </c>
      <c r="B108">
        <v>134.57</v>
      </c>
      <c r="C108">
        <v>86.19</v>
      </c>
    </row>
    <row r="109" spans="1:3" x14ac:dyDescent="0.25">
      <c r="A109">
        <v>87.61</v>
      </c>
      <c r="B109">
        <v>134.38</v>
      </c>
      <c r="C109">
        <v>86.34</v>
      </c>
    </row>
    <row r="110" spans="1:3" x14ac:dyDescent="0.25">
      <c r="A110">
        <v>86.05</v>
      </c>
      <c r="B110">
        <v>132.80000000000001</v>
      </c>
      <c r="C110">
        <v>87.75</v>
      </c>
    </row>
    <row r="111" spans="1:3" x14ac:dyDescent="0.25">
      <c r="A111">
        <v>84.74</v>
      </c>
      <c r="B111">
        <v>131.24</v>
      </c>
      <c r="C111">
        <v>86.13</v>
      </c>
    </row>
    <row r="112" spans="1:3" x14ac:dyDescent="0.25">
      <c r="A112">
        <v>82.99</v>
      </c>
      <c r="B112">
        <v>129.4</v>
      </c>
      <c r="C112">
        <v>87.39</v>
      </c>
    </row>
    <row r="113" spans="1:3" x14ac:dyDescent="0.25">
      <c r="A113">
        <v>83.24</v>
      </c>
      <c r="B113">
        <v>128.88999999999999</v>
      </c>
      <c r="C113">
        <v>88.8</v>
      </c>
    </row>
    <row r="114" spans="1:3" x14ac:dyDescent="0.25">
      <c r="A114">
        <v>82.01</v>
      </c>
      <c r="B114">
        <v>131.63</v>
      </c>
      <c r="C114">
        <v>89.88</v>
      </c>
    </row>
    <row r="115" spans="1:3" x14ac:dyDescent="0.25">
      <c r="A115">
        <v>83.78</v>
      </c>
      <c r="B115">
        <v>130.61000000000001</v>
      </c>
      <c r="C115">
        <v>91.83</v>
      </c>
    </row>
    <row r="116" spans="1:3" x14ac:dyDescent="0.25">
      <c r="A116">
        <v>84.58</v>
      </c>
      <c r="B116">
        <v>129.29</v>
      </c>
      <c r="C116">
        <v>93.53</v>
      </c>
    </row>
    <row r="117" spans="1:3" x14ac:dyDescent="0.25">
      <c r="A117">
        <v>83.54</v>
      </c>
      <c r="B117">
        <v>128.63999999999999</v>
      </c>
      <c r="C117">
        <v>93.72</v>
      </c>
    </row>
    <row r="118" spans="1:3" x14ac:dyDescent="0.25">
      <c r="A118">
        <v>81.98</v>
      </c>
      <c r="B118">
        <v>126.95</v>
      </c>
      <c r="C118">
        <v>94.47</v>
      </c>
    </row>
    <row r="119" spans="1:3" x14ac:dyDescent="0.25">
      <c r="A119">
        <v>80.83</v>
      </c>
      <c r="B119">
        <v>129.85</v>
      </c>
      <c r="C119">
        <v>94.65</v>
      </c>
    </row>
    <row r="120" spans="1:3" x14ac:dyDescent="0.25">
      <c r="A120">
        <v>82.36</v>
      </c>
      <c r="B120">
        <v>132.72</v>
      </c>
      <c r="C120">
        <v>92.86</v>
      </c>
    </row>
    <row r="121" spans="1:3" x14ac:dyDescent="0.25">
      <c r="A121">
        <v>84.09</v>
      </c>
      <c r="B121">
        <v>131.19999999999999</v>
      </c>
      <c r="C121">
        <v>94.21</v>
      </c>
    </row>
    <row r="122" spans="1:3" x14ac:dyDescent="0.25">
      <c r="A122">
        <v>84.24</v>
      </c>
      <c r="B122">
        <v>130.31</v>
      </c>
      <c r="C122">
        <v>96.18</v>
      </c>
    </row>
    <row r="123" spans="1:3" x14ac:dyDescent="0.25">
      <c r="A123">
        <v>82.95</v>
      </c>
      <c r="B123">
        <v>129.08000000000001</v>
      </c>
      <c r="C123">
        <v>96.18</v>
      </c>
    </row>
    <row r="124" spans="1:3" x14ac:dyDescent="0.25">
      <c r="A124">
        <v>81.31</v>
      </c>
      <c r="B124">
        <v>131.88</v>
      </c>
      <c r="C124">
        <v>94.72</v>
      </c>
    </row>
    <row r="125" spans="1:3" x14ac:dyDescent="0.25">
      <c r="A125">
        <v>79.98</v>
      </c>
      <c r="B125">
        <v>134.6</v>
      </c>
      <c r="C125">
        <v>95.97</v>
      </c>
    </row>
    <row r="126" spans="1:3" x14ac:dyDescent="0.25">
      <c r="A126">
        <v>82.43</v>
      </c>
      <c r="B126">
        <v>137.30000000000001</v>
      </c>
      <c r="C126">
        <v>94.21</v>
      </c>
    </row>
    <row r="127" spans="1:3" x14ac:dyDescent="0.25">
      <c r="A127">
        <v>82.52</v>
      </c>
      <c r="B127">
        <v>136.16</v>
      </c>
      <c r="C127">
        <v>95.42</v>
      </c>
    </row>
    <row r="128" spans="1:3" x14ac:dyDescent="0.25">
      <c r="A128">
        <v>84.65</v>
      </c>
      <c r="B128">
        <v>138.69999999999999</v>
      </c>
      <c r="C128">
        <v>93.76</v>
      </c>
    </row>
    <row r="129" spans="1:3" x14ac:dyDescent="0.25">
      <c r="A129">
        <v>86.94</v>
      </c>
      <c r="B129">
        <v>141.12</v>
      </c>
      <c r="C129">
        <v>94.56</v>
      </c>
    </row>
    <row r="130" spans="1:3" x14ac:dyDescent="0.25">
      <c r="A130">
        <v>85.55</v>
      </c>
      <c r="B130">
        <v>139.78</v>
      </c>
      <c r="C130">
        <v>92.73</v>
      </c>
    </row>
    <row r="131" spans="1:3" x14ac:dyDescent="0.25">
      <c r="A131">
        <v>83.97</v>
      </c>
      <c r="B131">
        <v>139.46</v>
      </c>
      <c r="C131">
        <v>93.24</v>
      </c>
    </row>
    <row r="132" spans="1:3" x14ac:dyDescent="0.25">
      <c r="A132">
        <v>86.02</v>
      </c>
      <c r="B132">
        <v>137.97</v>
      </c>
      <c r="C132">
        <v>94.61</v>
      </c>
    </row>
    <row r="133" spans="1:3" x14ac:dyDescent="0.25">
      <c r="A133">
        <v>86.22</v>
      </c>
      <c r="B133">
        <v>140.63999999999999</v>
      </c>
      <c r="C133">
        <v>95.66</v>
      </c>
    </row>
    <row r="134" spans="1:3" x14ac:dyDescent="0.25">
      <c r="A134">
        <v>85.22</v>
      </c>
      <c r="B134">
        <v>140.30000000000001</v>
      </c>
      <c r="C134">
        <v>96.73</v>
      </c>
    </row>
    <row r="135" spans="1:3" x14ac:dyDescent="0.25">
      <c r="A135">
        <v>87.49</v>
      </c>
      <c r="B135">
        <v>140.18</v>
      </c>
      <c r="C135">
        <v>98.18</v>
      </c>
    </row>
    <row r="136" spans="1:3" x14ac:dyDescent="0.25">
      <c r="A136">
        <v>86.28</v>
      </c>
      <c r="B136">
        <v>138.26</v>
      </c>
      <c r="C136">
        <v>96.62</v>
      </c>
    </row>
    <row r="137" spans="1:3" x14ac:dyDescent="0.25">
      <c r="A137">
        <v>85.13</v>
      </c>
      <c r="B137">
        <v>136.72</v>
      </c>
      <c r="C137">
        <v>98.19</v>
      </c>
    </row>
    <row r="138" spans="1:3" x14ac:dyDescent="0.25">
      <c r="A138">
        <v>85.52</v>
      </c>
      <c r="B138">
        <v>136.54</v>
      </c>
      <c r="C138">
        <v>99.72</v>
      </c>
    </row>
    <row r="139" spans="1:3" x14ac:dyDescent="0.25">
      <c r="A139">
        <v>87.25</v>
      </c>
      <c r="B139">
        <v>135.38999999999999</v>
      </c>
      <c r="C139">
        <v>100.95</v>
      </c>
    </row>
    <row r="140" spans="1:3" x14ac:dyDescent="0.25">
      <c r="A140">
        <v>86.24</v>
      </c>
      <c r="B140">
        <v>134.08000000000001</v>
      </c>
      <c r="C140">
        <v>99.54</v>
      </c>
    </row>
    <row r="141" spans="1:3" x14ac:dyDescent="0.25">
      <c r="A141">
        <v>84.92</v>
      </c>
      <c r="B141">
        <v>133.26</v>
      </c>
      <c r="C141">
        <v>101.54</v>
      </c>
    </row>
    <row r="142" spans="1:3" x14ac:dyDescent="0.25">
      <c r="A142">
        <v>87.16</v>
      </c>
      <c r="B142">
        <v>132.34</v>
      </c>
      <c r="C142">
        <v>101.73</v>
      </c>
    </row>
    <row r="143" spans="1:3" x14ac:dyDescent="0.25">
      <c r="A143">
        <v>85.98</v>
      </c>
      <c r="B143">
        <v>135.11000000000001</v>
      </c>
      <c r="C143">
        <v>101.74</v>
      </c>
    </row>
    <row r="144" spans="1:3" x14ac:dyDescent="0.25">
      <c r="A144">
        <v>88.4</v>
      </c>
      <c r="B144">
        <v>135</v>
      </c>
      <c r="C144">
        <v>100.01</v>
      </c>
    </row>
    <row r="145" spans="1:3" x14ac:dyDescent="0.25">
      <c r="A145">
        <v>86.92</v>
      </c>
      <c r="B145">
        <v>133.35</v>
      </c>
      <c r="C145">
        <v>98.39</v>
      </c>
    </row>
    <row r="146" spans="1:3" x14ac:dyDescent="0.25">
      <c r="A146">
        <v>85.46</v>
      </c>
      <c r="B146">
        <v>132.09</v>
      </c>
      <c r="C146">
        <v>96.49</v>
      </c>
    </row>
    <row r="147" spans="1:3" x14ac:dyDescent="0.25">
      <c r="A147">
        <v>86.18</v>
      </c>
      <c r="B147">
        <v>131.82</v>
      </c>
      <c r="C147">
        <v>97.95</v>
      </c>
    </row>
    <row r="148" spans="1:3" x14ac:dyDescent="0.25">
      <c r="A148">
        <v>85.09</v>
      </c>
      <c r="B148">
        <v>134.54</v>
      </c>
      <c r="C148">
        <v>96.33</v>
      </c>
    </row>
    <row r="149" spans="1:3" x14ac:dyDescent="0.25">
      <c r="A149">
        <v>83.71</v>
      </c>
      <c r="B149">
        <v>137.08000000000001</v>
      </c>
      <c r="C149">
        <v>94.86</v>
      </c>
    </row>
    <row r="150" spans="1:3" x14ac:dyDescent="0.25">
      <c r="A150">
        <v>85.66</v>
      </c>
      <c r="B150">
        <v>136.36000000000001</v>
      </c>
      <c r="C150">
        <v>96.17</v>
      </c>
    </row>
    <row r="151" spans="1:3" x14ac:dyDescent="0.25">
      <c r="A151">
        <v>85.94</v>
      </c>
      <c r="B151">
        <v>134.97999999999999</v>
      </c>
      <c r="C151">
        <v>97.44</v>
      </c>
    </row>
    <row r="152" spans="1:3" x14ac:dyDescent="0.25">
      <c r="A152">
        <v>87.4</v>
      </c>
      <c r="B152">
        <v>133.44</v>
      </c>
      <c r="C152">
        <v>98.68</v>
      </c>
    </row>
    <row r="153" spans="1:3" x14ac:dyDescent="0.25">
      <c r="A153">
        <v>86.27</v>
      </c>
      <c r="B153">
        <v>132.32</v>
      </c>
      <c r="C153">
        <v>99.99</v>
      </c>
    </row>
    <row r="154" spans="1:3" x14ac:dyDescent="0.25">
      <c r="A154">
        <v>88.03</v>
      </c>
      <c r="B154">
        <v>132.25</v>
      </c>
      <c r="C154">
        <v>100.81</v>
      </c>
    </row>
    <row r="155" spans="1:3" x14ac:dyDescent="0.25">
      <c r="A155">
        <v>88.79</v>
      </c>
      <c r="B155">
        <v>134.86000000000001</v>
      </c>
      <c r="C155">
        <v>100.92</v>
      </c>
    </row>
    <row r="156" spans="1:3" x14ac:dyDescent="0.25">
      <c r="A156">
        <v>89.7</v>
      </c>
      <c r="B156">
        <v>133.21</v>
      </c>
      <c r="C156">
        <v>102.29</v>
      </c>
    </row>
    <row r="157" spans="1:3" x14ac:dyDescent="0.25">
      <c r="A157">
        <v>90.26</v>
      </c>
      <c r="B157">
        <v>131.81</v>
      </c>
      <c r="C157">
        <v>100.76</v>
      </c>
    </row>
    <row r="158" spans="1:3" x14ac:dyDescent="0.25">
      <c r="A158">
        <v>88.27</v>
      </c>
      <c r="B158">
        <v>131</v>
      </c>
      <c r="C158">
        <v>102.48</v>
      </c>
    </row>
    <row r="159" spans="1:3" x14ac:dyDescent="0.25">
      <c r="A159">
        <v>88.73</v>
      </c>
      <c r="B159">
        <v>130.27000000000001</v>
      </c>
      <c r="C159">
        <v>102.72</v>
      </c>
    </row>
    <row r="160" spans="1:3" x14ac:dyDescent="0.25">
      <c r="A160">
        <v>87.13</v>
      </c>
      <c r="B160">
        <v>128.56</v>
      </c>
      <c r="C160">
        <v>104.6</v>
      </c>
    </row>
    <row r="161" spans="1:3" x14ac:dyDescent="0.25">
      <c r="A161">
        <v>85.68</v>
      </c>
      <c r="B161">
        <v>127.84</v>
      </c>
      <c r="C161">
        <v>106.69</v>
      </c>
    </row>
    <row r="162" spans="1:3" x14ac:dyDescent="0.25">
      <c r="A162">
        <v>84.27</v>
      </c>
      <c r="B162">
        <v>127.42</v>
      </c>
      <c r="C162">
        <v>106.85</v>
      </c>
    </row>
    <row r="163" spans="1:3" x14ac:dyDescent="0.25">
      <c r="A163">
        <v>82.68</v>
      </c>
      <c r="B163">
        <v>127.09</v>
      </c>
      <c r="C163">
        <v>107.25</v>
      </c>
    </row>
    <row r="164" spans="1:3" x14ac:dyDescent="0.25">
      <c r="A164">
        <v>84.44</v>
      </c>
      <c r="B164">
        <v>126.43</v>
      </c>
      <c r="C164">
        <v>108.44</v>
      </c>
    </row>
    <row r="165" spans="1:3" x14ac:dyDescent="0.25">
      <c r="A165">
        <v>85.82</v>
      </c>
      <c r="B165">
        <v>126.31</v>
      </c>
      <c r="C165">
        <v>110.27</v>
      </c>
    </row>
    <row r="166" spans="1:3" x14ac:dyDescent="0.25">
      <c r="A166">
        <v>84.73</v>
      </c>
      <c r="B166">
        <v>129.22999999999999</v>
      </c>
      <c r="C166">
        <v>110.94</v>
      </c>
    </row>
    <row r="167" spans="1:3" x14ac:dyDescent="0.25">
      <c r="A167">
        <v>86.08</v>
      </c>
      <c r="B167">
        <v>128.37</v>
      </c>
      <c r="C167">
        <v>109.26</v>
      </c>
    </row>
    <row r="168" spans="1:3" x14ac:dyDescent="0.25">
      <c r="A168">
        <v>87.8</v>
      </c>
      <c r="B168">
        <v>128.21</v>
      </c>
      <c r="C168">
        <v>110.98</v>
      </c>
    </row>
    <row r="169" spans="1:3" x14ac:dyDescent="0.25">
      <c r="A169">
        <v>86.31</v>
      </c>
      <c r="B169">
        <v>130.97999999999999</v>
      </c>
      <c r="C169">
        <v>111.8</v>
      </c>
    </row>
    <row r="170" spans="1:3" x14ac:dyDescent="0.25">
      <c r="A170">
        <v>84.68</v>
      </c>
      <c r="B170">
        <v>130.07</v>
      </c>
      <c r="C170">
        <v>110.07</v>
      </c>
    </row>
    <row r="171" spans="1:3" x14ac:dyDescent="0.25">
      <c r="A171">
        <v>82.77</v>
      </c>
      <c r="B171">
        <v>129.9</v>
      </c>
      <c r="C171">
        <v>110.79</v>
      </c>
    </row>
    <row r="172" spans="1:3" x14ac:dyDescent="0.25">
      <c r="A172">
        <v>80.95</v>
      </c>
      <c r="B172">
        <v>129.86000000000001</v>
      </c>
      <c r="C172">
        <v>109.17</v>
      </c>
    </row>
    <row r="173" spans="1:3" x14ac:dyDescent="0.25">
      <c r="A173">
        <v>81.61</v>
      </c>
      <c r="B173">
        <v>128.05000000000001</v>
      </c>
      <c r="C173">
        <v>107.31</v>
      </c>
    </row>
    <row r="174" spans="1:3" x14ac:dyDescent="0.25">
      <c r="A174">
        <v>82.19</v>
      </c>
      <c r="B174">
        <v>130.53</v>
      </c>
      <c r="C174">
        <v>107.72</v>
      </c>
    </row>
    <row r="175" spans="1:3" x14ac:dyDescent="0.25">
      <c r="A175">
        <v>80.69</v>
      </c>
      <c r="B175">
        <v>130.22</v>
      </c>
      <c r="C175">
        <v>105.87</v>
      </c>
    </row>
    <row r="176" spans="1:3" x14ac:dyDescent="0.25">
      <c r="A176">
        <v>81.66</v>
      </c>
      <c r="B176">
        <v>129.61000000000001</v>
      </c>
      <c r="C176">
        <v>106.22</v>
      </c>
    </row>
    <row r="177" spans="1:3" x14ac:dyDescent="0.25">
      <c r="A177">
        <v>80.06</v>
      </c>
      <c r="B177">
        <v>128.19</v>
      </c>
      <c r="C177">
        <v>107.4</v>
      </c>
    </row>
    <row r="178" spans="1:3" x14ac:dyDescent="0.25">
      <c r="A178">
        <v>78.959999999999994</v>
      </c>
      <c r="B178">
        <v>127.64</v>
      </c>
      <c r="C178">
        <v>108.01</v>
      </c>
    </row>
    <row r="179" spans="1:3" x14ac:dyDescent="0.25">
      <c r="A179">
        <v>80.52</v>
      </c>
      <c r="B179">
        <v>126.21</v>
      </c>
      <c r="C179">
        <v>106.27</v>
      </c>
    </row>
    <row r="180" spans="1:3" x14ac:dyDescent="0.25">
      <c r="A180">
        <v>81.67</v>
      </c>
      <c r="B180">
        <v>124.23</v>
      </c>
      <c r="C180">
        <v>108.33</v>
      </c>
    </row>
    <row r="181" spans="1:3" x14ac:dyDescent="0.25">
      <c r="A181">
        <v>82.11</v>
      </c>
      <c r="B181">
        <v>123.24</v>
      </c>
      <c r="C181">
        <v>109.22</v>
      </c>
    </row>
    <row r="182" spans="1:3" x14ac:dyDescent="0.25">
      <c r="A182">
        <v>83.32</v>
      </c>
      <c r="B182">
        <v>126.19</v>
      </c>
      <c r="C182">
        <v>107.37</v>
      </c>
    </row>
    <row r="183" spans="1:3" x14ac:dyDescent="0.25">
      <c r="A183">
        <v>84.79</v>
      </c>
      <c r="B183">
        <v>129.05000000000001</v>
      </c>
      <c r="C183">
        <v>107.76</v>
      </c>
    </row>
    <row r="184" spans="1:3" x14ac:dyDescent="0.25">
      <c r="A184">
        <v>83.25</v>
      </c>
      <c r="B184">
        <v>128.65</v>
      </c>
      <c r="C184">
        <v>108.37</v>
      </c>
    </row>
    <row r="185" spans="1:3" x14ac:dyDescent="0.25">
      <c r="A185">
        <v>81.319999999999993</v>
      </c>
      <c r="B185">
        <v>126.93</v>
      </c>
      <c r="C185">
        <v>109.22</v>
      </c>
    </row>
    <row r="186" spans="1:3" x14ac:dyDescent="0.25">
      <c r="A186">
        <v>82.7</v>
      </c>
      <c r="B186">
        <v>129.41</v>
      </c>
      <c r="C186">
        <v>107.78</v>
      </c>
    </row>
    <row r="187" spans="1:3" x14ac:dyDescent="0.25">
      <c r="A187">
        <v>84.81</v>
      </c>
      <c r="B187">
        <v>129.25</v>
      </c>
      <c r="C187">
        <v>109.71</v>
      </c>
    </row>
    <row r="188" spans="1:3" x14ac:dyDescent="0.25">
      <c r="A188">
        <v>86.6</v>
      </c>
      <c r="B188">
        <v>129.16999999999999</v>
      </c>
      <c r="C188">
        <v>107.74</v>
      </c>
    </row>
    <row r="189" spans="1:3" x14ac:dyDescent="0.25">
      <c r="A189">
        <v>87.71</v>
      </c>
      <c r="B189">
        <v>127.81</v>
      </c>
      <c r="C189">
        <v>109.77</v>
      </c>
    </row>
    <row r="190" spans="1:3" x14ac:dyDescent="0.25">
      <c r="A190">
        <v>86.58</v>
      </c>
      <c r="B190">
        <v>130.62</v>
      </c>
      <c r="C190">
        <v>111.27</v>
      </c>
    </row>
    <row r="191" spans="1:3" x14ac:dyDescent="0.25">
      <c r="A191">
        <v>85.23</v>
      </c>
      <c r="B191">
        <v>129.24</v>
      </c>
      <c r="C191">
        <v>109.41</v>
      </c>
    </row>
    <row r="192" spans="1:3" x14ac:dyDescent="0.25">
      <c r="A192">
        <v>87.45</v>
      </c>
      <c r="B192">
        <v>128.72</v>
      </c>
      <c r="C192">
        <v>109.72</v>
      </c>
    </row>
    <row r="193" spans="1:3" x14ac:dyDescent="0.25">
      <c r="A193">
        <v>86.12</v>
      </c>
      <c r="B193">
        <v>128.01</v>
      </c>
      <c r="C193">
        <v>108.19</v>
      </c>
    </row>
    <row r="194" spans="1:3" x14ac:dyDescent="0.25">
      <c r="A194">
        <v>87.45</v>
      </c>
      <c r="B194">
        <v>127.99</v>
      </c>
      <c r="C194">
        <v>109.68</v>
      </c>
    </row>
    <row r="195" spans="1:3" x14ac:dyDescent="0.25">
      <c r="A195">
        <v>89.49</v>
      </c>
      <c r="B195">
        <v>126.59</v>
      </c>
      <c r="C195">
        <v>110.39</v>
      </c>
    </row>
    <row r="196" spans="1:3" x14ac:dyDescent="0.25">
      <c r="A196">
        <v>87.85</v>
      </c>
      <c r="B196">
        <v>125.24</v>
      </c>
      <c r="C196">
        <v>111.28</v>
      </c>
    </row>
    <row r="197" spans="1:3" x14ac:dyDescent="0.25">
      <c r="A197">
        <v>89.46</v>
      </c>
      <c r="B197">
        <v>123.39</v>
      </c>
      <c r="C197">
        <v>112.56</v>
      </c>
    </row>
    <row r="198" spans="1:3" x14ac:dyDescent="0.25">
      <c r="A198">
        <v>87.6</v>
      </c>
      <c r="B198">
        <v>122.61</v>
      </c>
      <c r="C198">
        <v>113.15</v>
      </c>
    </row>
    <row r="199" spans="1:3" x14ac:dyDescent="0.25">
      <c r="A199">
        <v>87.87</v>
      </c>
      <c r="B199">
        <v>122.54</v>
      </c>
      <c r="C199">
        <v>114.21</v>
      </c>
    </row>
    <row r="200" spans="1:3" x14ac:dyDescent="0.25">
      <c r="A200">
        <v>88.46</v>
      </c>
      <c r="B200">
        <v>121.81</v>
      </c>
      <c r="C200">
        <v>114.89</v>
      </c>
    </row>
    <row r="201" spans="1:3" x14ac:dyDescent="0.25">
      <c r="A201">
        <v>90.4</v>
      </c>
      <c r="B201">
        <v>124.57</v>
      </c>
      <c r="C201">
        <v>114.91</v>
      </c>
    </row>
    <row r="202" spans="1:3" x14ac:dyDescent="0.25">
      <c r="A202">
        <v>88.55</v>
      </c>
      <c r="B202">
        <v>123.78</v>
      </c>
      <c r="C202">
        <v>112.97</v>
      </c>
    </row>
    <row r="203" spans="1:3" x14ac:dyDescent="0.25">
      <c r="A203">
        <v>86.63</v>
      </c>
      <c r="B203">
        <v>126.62</v>
      </c>
      <c r="C203">
        <v>111.12</v>
      </c>
    </row>
    <row r="204" spans="1:3" x14ac:dyDescent="0.25">
      <c r="A204">
        <v>88.98</v>
      </c>
      <c r="B204">
        <v>125.63</v>
      </c>
      <c r="C204">
        <v>111.44</v>
      </c>
    </row>
    <row r="205" spans="1:3" x14ac:dyDescent="0.25">
      <c r="A205">
        <v>90.85</v>
      </c>
      <c r="B205">
        <v>124.55</v>
      </c>
      <c r="C205">
        <v>113.24</v>
      </c>
    </row>
    <row r="206" spans="1:3" x14ac:dyDescent="0.25">
      <c r="A206">
        <v>89.19</v>
      </c>
      <c r="B206">
        <v>123.8</v>
      </c>
      <c r="C206">
        <v>111.26</v>
      </c>
    </row>
    <row r="207" spans="1:3" x14ac:dyDescent="0.25">
      <c r="A207">
        <v>91.15</v>
      </c>
      <c r="B207">
        <v>123.76</v>
      </c>
      <c r="C207">
        <v>109.56</v>
      </c>
    </row>
    <row r="208" spans="1:3" x14ac:dyDescent="0.25">
      <c r="A208">
        <v>93.49</v>
      </c>
      <c r="B208">
        <v>122.59</v>
      </c>
      <c r="C208">
        <v>109.82</v>
      </c>
    </row>
    <row r="209" spans="1:3" x14ac:dyDescent="0.25">
      <c r="A209">
        <v>92.45</v>
      </c>
      <c r="B209">
        <v>121.07</v>
      </c>
      <c r="C209">
        <v>111.61</v>
      </c>
    </row>
    <row r="210" spans="1:3" x14ac:dyDescent="0.25">
      <c r="A210">
        <v>90.51</v>
      </c>
      <c r="B210">
        <v>119.15</v>
      </c>
      <c r="C210">
        <v>110.11</v>
      </c>
    </row>
    <row r="211" spans="1:3" x14ac:dyDescent="0.25">
      <c r="A211">
        <v>91.65</v>
      </c>
      <c r="B211">
        <v>122.04</v>
      </c>
      <c r="C211">
        <v>111.72</v>
      </c>
    </row>
    <row r="212" spans="1:3" x14ac:dyDescent="0.25">
      <c r="A212">
        <v>92.92</v>
      </c>
      <c r="B212">
        <v>120.35</v>
      </c>
      <c r="C212">
        <v>111.85</v>
      </c>
    </row>
    <row r="213" spans="1:3" x14ac:dyDescent="0.25">
      <c r="A213">
        <v>91.21</v>
      </c>
      <c r="B213">
        <v>119.39</v>
      </c>
      <c r="C213">
        <v>113.24</v>
      </c>
    </row>
    <row r="214" spans="1:3" x14ac:dyDescent="0.25">
      <c r="A214">
        <v>93.43</v>
      </c>
      <c r="B214">
        <v>118.26</v>
      </c>
      <c r="C214">
        <v>114.79</v>
      </c>
    </row>
    <row r="215" spans="1:3" x14ac:dyDescent="0.25">
      <c r="A215">
        <v>91.8</v>
      </c>
      <c r="B215">
        <v>117.65</v>
      </c>
      <c r="C215">
        <v>113.2</v>
      </c>
    </row>
    <row r="216" spans="1:3" x14ac:dyDescent="0.25">
      <c r="A216">
        <v>91.8</v>
      </c>
      <c r="B216">
        <v>116.7</v>
      </c>
      <c r="C216">
        <v>113.27</v>
      </c>
    </row>
    <row r="217" spans="1:3" x14ac:dyDescent="0.25">
      <c r="A217">
        <v>92</v>
      </c>
      <c r="B217">
        <v>119.54</v>
      </c>
      <c r="C217">
        <v>111.75</v>
      </c>
    </row>
    <row r="218" spans="1:3" x14ac:dyDescent="0.25">
      <c r="A218">
        <v>92.36</v>
      </c>
      <c r="B218">
        <v>117.82</v>
      </c>
      <c r="C218">
        <v>112.97</v>
      </c>
    </row>
    <row r="219" spans="1:3" x14ac:dyDescent="0.25">
      <c r="A219">
        <v>92.9</v>
      </c>
      <c r="B219">
        <v>116.68</v>
      </c>
      <c r="C219">
        <v>114.74</v>
      </c>
    </row>
    <row r="220" spans="1:3" x14ac:dyDescent="0.25">
      <c r="A220">
        <v>93.1</v>
      </c>
      <c r="B220">
        <v>116.12</v>
      </c>
      <c r="C220">
        <v>115.57</v>
      </c>
    </row>
    <row r="221" spans="1:3" x14ac:dyDescent="0.25">
      <c r="A221">
        <v>91.21</v>
      </c>
      <c r="B221">
        <v>114.56</v>
      </c>
      <c r="C221">
        <v>116.87</v>
      </c>
    </row>
    <row r="222" spans="1:3" x14ac:dyDescent="0.25">
      <c r="A222">
        <v>91.54</v>
      </c>
      <c r="B222">
        <v>114.52</v>
      </c>
      <c r="C222">
        <v>114.98</v>
      </c>
    </row>
    <row r="223" spans="1:3" x14ac:dyDescent="0.25">
      <c r="A223">
        <v>90.34</v>
      </c>
      <c r="B223">
        <v>117.21</v>
      </c>
      <c r="C223">
        <v>115.04</v>
      </c>
    </row>
    <row r="224" spans="1:3" x14ac:dyDescent="0.25">
      <c r="A224">
        <v>92.62</v>
      </c>
      <c r="B224">
        <v>115.46</v>
      </c>
      <c r="C224">
        <v>113.31</v>
      </c>
    </row>
    <row r="225" spans="1:3" x14ac:dyDescent="0.25">
      <c r="A225">
        <v>91.21</v>
      </c>
      <c r="B225">
        <v>118.16</v>
      </c>
      <c r="C225">
        <v>114.96</v>
      </c>
    </row>
    <row r="226" spans="1:3" x14ac:dyDescent="0.25">
      <c r="A226">
        <v>89.52</v>
      </c>
      <c r="B226">
        <v>120.88</v>
      </c>
      <c r="C226">
        <v>116.8</v>
      </c>
    </row>
    <row r="227" spans="1:3" x14ac:dyDescent="0.25">
      <c r="A227">
        <v>90.34</v>
      </c>
      <c r="B227">
        <v>119.2</v>
      </c>
      <c r="C227">
        <v>115.36</v>
      </c>
    </row>
    <row r="228" spans="1:3" x14ac:dyDescent="0.25">
      <c r="A228">
        <v>91.91</v>
      </c>
      <c r="B228">
        <v>121.71</v>
      </c>
      <c r="C228">
        <v>116.53</v>
      </c>
    </row>
    <row r="229" spans="1:3" x14ac:dyDescent="0.25">
      <c r="A229">
        <v>90.8</v>
      </c>
      <c r="B229">
        <v>121</v>
      </c>
      <c r="C229">
        <v>117.96</v>
      </c>
    </row>
    <row r="230" spans="1:3" x14ac:dyDescent="0.25">
      <c r="A230">
        <v>88.98</v>
      </c>
      <c r="B230">
        <v>119.69</v>
      </c>
      <c r="C230">
        <v>118.03</v>
      </c>
    </row>
    <row r="231" spans="1:3" x14ac:dyDescent="0.25">
      <c r="A231">
        <v>89.86</v>
      </c>
      <c r="B231">
        <v>117.74</v>
      </c>
      <c r="C231">
        <v>119.61</v>
      </c>
    </row>
    <row r="232" spans="1:3" x14ac:dyDescent="0.25">
      <c r="A232">
        <v>88.45</v>
      </c>
      <c r="B232">
        <v>115.81</v>
      </c>
      <c r="C232">
        <v>120.03</v>
      </c>
    </row>
    <row r="233" spans="1:3" x14ac:dyDescent="0.25">
      <c r="A233">
        <v>86.77</v>
      </c>
      <c r="B233">
        <v>115.06</v>
      </c>
      <c r="C233">
        <v>121.42</v>
      </c>
    </row>
    <row r="234" spans="1:3" x14ac:dyDescent="0.25">
      <c r="A234">
        <v>85.63</v>
      </c>
      <c r="B234">
        <v>117.64</v>
      </c>
      <c r="C234">
        <v>119.78</v>
      </c>
    </row>
    <row r="235" spans="1:3" x14ac:dyDescent="0.25">
      <c r="A235">
        <v>87.73</v>
      </c>
      <c r="B235">
        <v>116.28</v>
      </c>
      <c r="C235">
        <v>117.8</v>
      </c>
    </row>
    <row r="236" spans="1:3" x14ac:dyDescent="0.25">
      <c r="A236">
        <v>89.17</v>
      </c>
      <c r="B236">
        <v>116.04</v>
      </c>
      <c r="C236">
        <v>118.56</v>
      </c>
    </row>
    <row r="237" spans="1:3" x14ac:dyDescent="0.25">
      <c r="A237">
        <v>88.01</v>
      </c>
      <c r="B237">
        <v>115.24</v>
      </c>
      <c r="C237">
        <v>119.36</v>
      </c>
    </row>
    <row r="238" spans="1:3" x14ac:dyDescent="0.25">
      <c r="A238">
        <v>88.31</v>
      </c>
      <c r="B238">
        <v>114.55</v>
      </c>
      <c r="C238">
        <v>121.42</v>
      </c>
    </row>
    <row r="239" spans="1:3" x14ac:dyDescent="0.25">
      <c r="A239">
        <v>86.56</v>
      </c>
      <c r="B239">
        <v>114.27</v>
      </c>
      <c r="C239">
        <v>122.84</v>
      </c>
    </row>
    <row r="240" spans="1:3" x14ac:dyDescent="0.25">
      <c r="A240">
        <v>87.67</v>
      </c>
      <c r="B240">
        <v>113.44</v>
      </c>
      <c r="C240">
        <v>123.27</v>
      </c>
    </row>
    <row r="241" spans="1:3" x14ac:dyDescent="0.25">
      <c r="A241">
        <v>88.52</v>
      </c>
      <c r="B241">
        <v>112.32</v>
      </c>
      <c r="C241">
        <v>124.11</v>
      </c>
    </row>
    <row r="242" spans="1:3" x14ac:dyDescent="0.25">
      <c r="A242">
        <v>87.25</v>
      </c>
      <c r="B242">
        <v>111.2</v>
      </c>
      <c r="C242">
        <v>122.69</v>
      </c>
    </row>
    <row r="243" spans="1:3" x14ac:dyDescent="0.25">
      <c r="A243">
        <v>85.42</v>
      </c>
      <c r="B243">
        <v>113.85</v>
      </c>
      <c r="C243">
        <v>123.41</v>
      </c>
    </row>
    <row r="244" spans="1:3" x14ac:dyDescent="0.25">
      <c r="A244">
        <v>86.62</v>
      </c>
      <c r="B244">
        <v>112.4</v>
      </c>
      <c r="C244">
        <v>124.95</v>
      </c>
    </row>
    <row r="245" spans="1:3" x14ac:dyDescent="0.25">
      <c r="A245">
        <v>88.88</v>
      </c>
      <c r="B245">
        <v>110.75</v>
      </c>
      <c r="C245">
        <v>123.43</v>
      </c>
    </row>
    <row r="246" spans="1:3" x14ac:dyDescent="0.25">
      <c r="A246">
        <v>91.29</v>
      </c>
      <c r="B246">
        <v>113.66</v>
      </c>
      <c r="C246">
        <v>124.69</v>
      </c>
    </row>
    <row r="247" spans="1:3" x14ac:dyDescent="0.25">
      <c r="A247">
        <v>93.1</v>
      </c>
      <c r="B247">
        <v>116.29</v>
      </c>
      <c r="C247">
        <v>126.35</v>
      </c>
    </row>
    <row r="248" spans="1:3" x14ac:dyDescent="0.25">
      <c r="A248">
        <v>93.12</v>
      </c>
      <c r="B248">
        <v>115.9</v>
      </c>
      <c r="C248">
        <v>128.30000000000001</v>
      </c>
    </row>
    <row r="249" spans="1:3" x14ac:dyDescent="0.25">
      <c r="A249">
        <v>91.63</v>
      </c>
      <c r="B249">
        <v>115.81</v>
      </c>
      <c r="C249">
        <v>130.11000000000001</v>
      </c>
    </row>
    <row r="250" spans="1:3" x14ac:dyDescent="0.25">
      <c r="A250">
        <v>92.81</v>
      </c>
      <c r="B250">
        <v>118.4</v>
      </c>
      <c r="C250">
        <v>131.28</v>
      </c>
    </row>
    <row r="251" spans="1:3" x14ac:dyDescent="0.25">
      <c r="A251">
        <v>91.5</v>
      </c>
      <c r="B251">
        <v>117.81</v>
      </c>
      <c r="C251">
        <v>129.41</v>
      </c>
    </row>
    <row r="252" spans="1:3" x14ac:dyDescent="0.25">
      <c r="A252">
        <v>89.95</v>
      </c>
      <c r="B252">
        <v>116.4</v>
      </c>
      <c r="C252">
        <v>130.46</v>
      </c>
    </row>
    <row r="253" spans="1:3" x14ac:dyDescent="0.25">
      <c r="A253">
        <v>88.12</v>
      </c>
      <c r="B253">
        <v>115.83</v>
      </c>
      <c r="C253">
        <v>128.5</v>
      </c>
    </row>
    <row r="254" spans="1:3" x14ac:dyDescent="0.25">
      <c r="A254">
        <v>89.9</v>
      </c>
      <c r="B254">
        <v>115.44</v>
      </c>
      <c r="C254">
        <v>130.22</v>
      </c>
    </row>
    <row r="255" spans="1:3" x14ac:dyDescent="0.25">
      <c r="A255">
        <v>88.53</v>
      </c>
      <c r="B255">
        <v>114.28</v>
      </c>
      <c r="C255">
        <v>128.71</v>
      </c>
    </row>
    <row r="256" spans="1:3" x14ac:dyDescent="0.25">
      <c r="A256">
        <v>89.84</v>
      </c>
      <c r="B256">
        <v>112.41</v>
      </c>
      <c r="C256">
        <v>129.19999999999999</v>
      </c>
    </row>
    <row r="257" spans="1:3" x14ac:dyDescent="0.25">
      <c r="A257">
        <v>88.49</v>
      </c>
      <c r="B257">
        <v>111.14</v>
      </c>
      <c r="C257">
        <v>127.53</v>
      </c>
    </row>
    <row r="258" spans="1:3" x14ac:dyDescent="0.25">
      <c r="A258">
        <v>89.57</v>
      </c>
      <c r="B258">
        <v>110.14</v>
      </c>
      <c r="C258">
        <v>127.7</v>
      </c>
    </row>
    <row r="259" spans="1:3" x14ac:dyDescent="0.25">
      <c r="A259">
        <v>88.41</v>
      </c>
      <c r="B259">
        <v>109.88</v>
      </c>
      <c r="C259">
        <v>126.09</v>
      </c>
    </row>
    <row r="260" spans="1:3" x14ac:dyDescent="0.25">
      <c r="A260">
        <v>86.51</v>
      </c>
      <c r="B260">
        <v>109.46</v>
      </c>
      <c r="C260">
        <v>126.84</v>
      </c>
    </row>
    <row r="261" spans="1:3" x14ac:dyDescent="0.25">
      <c r="A261">
        <v>85.32</v>
      </c>
      <c r="B261">
        <v>109.05</v>
      </c>
      <c r="C261">
        <v>127.17</v>
      </c>
    </row>
    <row r="262" spans="1:3" x14ac:dyDescent="0.25">
      <c r="A262">
        <v>84.06</v>
      </c>
      <c r="B262">
        <v>108.22</v>
      </c>
      <c r="C262">
        <v>127.26</v>
      </c>
    </row>
    <row r="263" spans="1:3" x14ac:dyDescent="0.25">
      <c r="A263">
        <v>82.3</v>
      </c>
      <c r="B263">
        <v>108.01</v>
      </c>
      <c r="C263">
        <v>127.33</v>
      </c>
    </row>
    <row r="264" spans="1:3" x14ac:dyDescent="0.25">
      <c r="A264">
        <v>80.760000000000005</v>
      </c>
      <c r="B264">
        <v>106.11</v>
      </c>
      <c r="C264">
        <v>128.84</v>
      </c>
    </row>
    <row r="265" spans="1:3" x14ac:dyDescent="0.25">
      <c r="A265">
        <v>79.739999999999995</v>
      </c>
      <c r="B265">
        <v>109.11</v>
      </c>
      <c r="C265">
        <v>130.11000000000001</v>
      </c>
    </row>
    <row r="266" spans="1:3" x14ac:dyDescent="0.25">
      <c r="A266">
        <v>77.97</v>
      </c>
      <c r="B266">
        <v>107.8</v>
      </c>
      <c r="C266">
        <v>130.80000000000001</v>
      </c>
    </row>
    <row r="267" spans="1:3" x14ac:dyDescent="0.25">
      <c r="A267">
        <v>76.87</v>
      </c>
      <c r="B267">
        <v>107.08</v>
      </c>
      <c r="C267">
        <v>131.66</v>
      </c>
    </row>
    <row r="268" spans="1:3" x14ac:dyDescent="0.25">
      <c r="A268">
        <v>75.680000000000007</v>
      </c>
      <c r="B268">
        <v>106.03</v>
      </c>
      <c r="C268">
        <v>133.33000000000001</v>
      </c>
    </row>
    <row r="269" spans="1:3" x14ac:dyDescent="0.25">
      <c r="A269">
        <v>74</v>
      </c>
      <c r="B269">
        <v>108.96</v>
      </c>
      <c r="C269">
        <v>135</v>
      </c>
    </row>
    <row r="270" spans="1:3" x14ac:dyDescent="0.25">
      <c r="A270">
        <v>72.63</v>
      </c>
      <c r="B270">
        <v>111.91</v>
      </c>
      <c r="C270">
        <v>133.07</v>
      </c>
    </row>
    <row r="271" spans="1:3" x14ac:dyDescent="0.25">
      <c r="A271">
        <v>74.45</v>
      </c>
      <c r="B271">
        <v>110.17</v>
      </c>
      <c r="C271">
        <v>133.78</v>
      </c>
    </row>
    <row r="272" spans="1:3" x14ac:dyDescent="0.25">
      <c r="A272">
        <v>76.709999999999994</v>
      </c>
      <c r="B272">
        <v>112.84</v>
      </c>
      <c r="C272">
        <v>132.02000000000001</v>
      </c>
    </row>
    <row r="273" spans="1:3" x14ac:dyDescent="0.25">
      <c r="A273">
        <v>75</v>
      </c>
      <c r="B273">
        <v>111.15</v>
      </c>
      <c r="C273">
        <v>130.4</v>
      </c>
    </row>
    <row r="274" spans="1:3" x14ac:dyDescent="0.25">
      <c r="A274">
        <v>73.349999999999994</v>
      </c>
      <c r="B274">
        <v>109.91</v>
      </c>
      <c r="C274">
        <v>132.28</v>
      </c>
    </row>
    <row r="275" spans="1:3" x14ac:dyDescent="0.25">
      <c r="A275">
        <v>71.900000000000006</v>
      </c>
      <c r="B275">
        <v>109.19</v>
      </c>
      <c r="C275">
        <v>132.38999999999999</v>
      </c>
    </row>
    <row r="276" spans="1:3" x14ac:dyDescent="0.25">
      <c r="A276">
        <v>70.31</v>
      </c>
      <c r="B276">
        <v>108.35</v>
      </c>
      <c r="C276">
        <v>130.94</v>
      </c>
    </row>
    <row r="277" spans="1:3" x14ac:dyDescent="0.25">
      <c r="A277">
        <v>68.63</v>
      </c>
      <c r="B277">
        <v>107.99</v>
      </c>
      <c r="C277">
        <v>129.53</v>
      </c>
    </row>
    <row r="278" spans="1:3" x14ac:dyDescent="0.25">
      <c r="A278">
        <v>71.069999999999993</v>
      </c>
      <c r="B278">
        <v>110.4</v>
      </c>
      <c r="C278">
        <v>129.55000000000001</v>
      </c>
    </row>
    <row r="279" spans="1:3" x14ac:dyDescent="0.25">
      <c r="A279">
        <v>72.34</v>
      </c>
      <c r="B279">
        <v>108.92</v>
      </c>
      <c r="C279">
        <v>130.43</v>
      </c>
    </row>
    <row r="280" spans="1:3" x14ac:dyDescent="0.25">
      <c r="A280">
        <v>71.27</v>
      </c>
      <c r="B280">
        <v>111.43</v>
      </c>
      <c r="C280">
        <v>130.88999999999999</v>
      </c>
    </row>
    <row r="281" spans="1:3" x14ac:dyDescent="0.25">
      <c r="A281">
        <v>71.540000000000006</v>
      </c>
      <c r="B281">
        <v>109.43</v>
      </c>
      <c r="C281">
        <v>129.18</v>
      </c>
    </row>
    <row r="282" spans="1:3" x14ac:dyDescent="0.25">
      <c r="A282">
        <v>72.11</v>
      </c>
      <c r="B282">
        <v>108.76</v>
      </c>
      <c r="C282">
        <v>129.96</v>
      </c>
    </row>
    <row r="283" spans="1:3" x14ac:dyDescent="0.25">
      <c r="A283">
        <v>73.61</v>
      </c>
      <c r="B283">
        <v>107.21</v>
      </c>
      <c r="C283">
        <v>130.33000000000001</v>
      </c>
    </row>
    <row r="284" spans="1:3" x14ac:dyDescent="0.25">
      <c r="A284">
        <v>74.5</v>
      </c>
      <c r="B284">
        <v>107.13</v>
      </c>
      <c r="C284">
        <v>130.63999999999999</v>
      </c>
    </row>
    <row r="285" spans="1:3" x14ac:dyDescent="0.25">
      <c r="A285">
        <v>76.239999999999995</v>
      </c>
      <c r="B285">
        <v>109.71</v>
      </c>
      <c r="C285">
        <v>130.78</v>
      </c>
    </row>
    <row r="286" spans="1:3" x14ac:dyDescent="0.25">
      <c r="A286">
        <v>76.92</v>
      </c>
      <c r="B286">
        <v>109.26</v>
      </c>
      <c r="C286">
        <v>129.13999999999999</v>
      </c>
    </row>
    <row r="287" spans="1:3" x14ac:dyDescent="0.25">
      <c r="A287">
        <v>78.94</v>
      </c>
      <c r="B287">
        <v>108.08</v>
      </c>
      <c r="C287">
        <v>130.85</v>
      </c>
    </row>
    <row r="288" spans="1:3" x14ac:dyDescent="0.25">
      <c r="A288">
        <v>77.64</v>
      </c>
      <c r="B288">
        <v>107.52</v>
      </c>
      <c r="C288">
        <v>131.24</v>
      </c>
    </row>
    <row r="289" spans="1:3" x14ac:dyDescent="0.25">
      <c r="A289">
        <v>76.14</v>
      </c>
      <c r="B289">
        <v>107.35</v>
      </c>
      <c r="C289">
        <v>131.37</v>
      </c>
    </row>
    <row r="290" spans="1:3" x14ac:dyDescent="0.25">
      <c r="A290">
        <v>74.72</v>
      </c>
      <c r="B290">
        <v>105.74</v>
      </c>
      <c r="C290">
        <v>129.88</v>
      </c>
    </row>
    <row r="291" spans="1:3" x14ac:dyDescent="0.25">
      <c r="A291">
        <v>73.02</v>
      </c>
      <c r="B291">
        <v>105.32</v>
      </c>
      <c r="C291">
        <v>131.79</v>
      </c>
    </row>
    <row r="292" spans="1:3" x14ac:dyDescent="0.25">
      <c r="A292">
        <v>73.42</v>
      </c>
      <c r="B292">
        <v>103.92</v>
      </c>
      <c r="C292">
        <v>129.97999999999999</v>
      </c>
    </row>
    <row r="293" spans="1:3" x14ac:dyDescent="0.25">
      <c r="A293">
        <v>71.849999999999994</v>
      </c>
      <c r="B293">
        <v>103.17</v>
      </c>
      <c r="C293">
        <v>130.77000000000001</v>
      </c>
    </row>
    <row r="294" spans="1:3" x14ac:dyDescent="0.25">
      <c r="A294">
        <v>70.02</v>
      </c>
      <c r="B294">
        <v>102.14</v>
      </c>
      <c r="C294">
        <v>129.31</v>
      </c>
    </row>
    <row r="295" spans="1:3" x14ac:dyDescent="0.25">
      <c r="A295">
        <v>68.36</v>
      </c>
      <c r="B295">
        <v>101.73</v>
      </c>
      <c r="C295">
        <v>130.66999999999999</v>
      </c>
    </row>
    <row r="296" spans="1:3" x14ac:dyDescent="0.25">
      <c r="A296">
        <v>66.989999999999995</v>
      </c>
      <c r="B296">
        <v>100.39</v>
      </c>
      <c r="C296">
        <v>128.88</v>
      </c>
    </row>
    <row r="297" spans="1:3" x14ac:dyDescent="0.25">
      <c r="A297">
        <v>65.94</v>
      </c>
      <c r="B297">
        <v>98.52</v>
      </c>
      <c r="C297">
        <v>127.1</v>
      </c>
    </row>
    <row r="298" spans="1:3" x14ac:dyDescent="0.25">
      <c r="A298">
        <v>64.150000000000006</v>
      </c>
      <c r="B298">
        <v>101.27</v>
      </c>
      <c r="C298">
        <v>128.56</v>
      </c>
    </row>
    <row r="299" spans="1:3" x14ac:dyDescent="0.25">
      <c r="A299">
        <v>65.95</v>
      </c>
      <c r="B299">
        <v>101.23</v>
      </c>
      <c r="C299">
        <v>126.64</v>
      </c>
    </row>
    <row r="300" spans="1:3" x14ac:dyDescent="0.25">
      <c r="A300">
        <v>67.45</v>
      </c>
      <c r="B300">
        <v>100.8</v>
      </c>
      <c r="C300">
        <v>127.5</v>
      </c>
    </row>
    <row r="301" spans="1:3" x14ac:dyDescent="0.25">
      <c r="A301">
        <v>65.540000000000006</v>
      </c>
      <c r="B301">
        <v>103.36</v>
      </c>
      <c r="C301">
        <v>127.51</v>
      </c>
    </row>
    <row r="302" spans="1:3" x14ac:dyDescent="0.25">
      <c r="A302">
        <v>67.31</v>
      </c>
      <c r="B302">
        <v>103.09</v>
      </c>
      <c r="C302">
        <v>128.83000000000001</v>
      </c>
    </row>
    <row r="303" spans="1:3" x14ac:dyDescent="0.25">
      <c r="A303">
        <v>68.48</v>
      </c>
      <c r="B303">
        <v>101.33</v>
      </c>
      <c r="C303">
        <v>126.93</v>
      </c>
    </row>
    <row r="304" spans="1:3" x14ac:dyDescent="0.25">
      <c r="A304">
        <v>70.61</v>
      </c>
      <c r="B304">
        <v>101.33</v>
      </c>
      <c r="C304">
        <v>128.9</v>
      </c>
    </row>
    <row r="305" spans="1:3" x14ac:dyDescent="0.25">
      <c r="A305">
        <v>68.95</v>
      </c>
      <c r="B305">
        <v>100.05</v>
      </c>
      <c r="C305">
        <v>129.55000000000001</v>
      </c>
    </row>
    <row r="306" spans="1:3" x14ac:dyDescent="0.25">
      <c r="A306">
        <v>70.34</v>
      </c>
      <c r="B306">
        <v>99.1</v>
      </c>
      <c r="C306">
        <v>130</v>
      </c>
    </row>
    <row r="307" spans="1:3" x14ac:dyDescent="0.25">
      <c r="A307">
        <v>72.260000000000005</v>
      </c>
      <c r="B307">
        <v>102.08</v>
      </c>
      <c r="C307">
        <v>129.80000000000001</v>
      </c>
    </row>
    <row r="308" spans="1:3" x14ac:dyDescent="0.25">
      <c r="A308">
        <v>70.56</v>
      </c>
      <c r="B308">
        <v>101.44</v>
      </c>
      <c r="C308">
        <v>131.47</v>
      </c>
    </row>
    <row r="309" spans="1:3" x14ac:dyDescent="0.25">
      <c r="A309">
        <v>72.2</v>
      </c>
      <c r="B309">
        <v>100.09</v>
      </c>
      <c r="C309">
        <v>131.77000000000001</v>
      </c>
    </row>
    <row r="310" spans="1:3" x14ac:dyDescent="0.25">
      <c r="A310">
        <v>70.36</v>
      </c>
      <c r="B310">
        <v>98.49</v>
      </c>
      <c r="C310">
        <v>132.02000000000001</v>
      </c>
    </row>
    <row r="311" spans="1:3" x14ac:dyDescent="0.25">
      <c r="A311">
        <v>71.61</v>
      </c>
      <c r="B311">
        <v>96.78</v>
      </c>
      <c r="C311">
        <v>133.83000000000001</v>
      </c>
    </row>
    <row r="312" spans="1:3" x14ac:dyDescent="0.25">
      <c r="A312">
        <v>70.290000000000006</v>
      </c>
      <c r="B312">
        <v>95.63</v>
      </c>
      <c r="C312">
        <v>135.18</v>
      </c>
    </row>
    <row r="313" spans="1:3" x14ac:dyDescent="0.25">
      <c r="A313">
        <v>69.23</v>
      </c>
      <c r="B313">
        <v>93.96</v>
      </c>
      <c r="C313">
        <v>137.03</v>
      </c>
    </row>
    <row r="314" spans="1:3" x14ac:dyDescent="0.25">
      <c r="A314">
        <v>67.989999999999995</v>
      </c>
      <c r="B314">
        <v>92.27</v>
      </c>
      <c r="C314">
        <v>138.52000000000001</v>
      </c>
    </row>
    <row r="315" spans="1:3" x14ac:dyDescent="0.25">
      <c r="A315">
        <v>69.44</v>
      </c>
      <c r="B315">
        <v>90.35</v>
      </c>
      <c r="C315">
        <v>137.19</v>
      </c>
    </row>
    <row r="316" spans="1:3" x14ac:dyDescent="0.25">
      <c r="A316">
        <v>70.47</v>
      </c>
      <c r="B316">
        <v>92.91</v>
      </c>
      <c r="C316">
        <v>135.94999999999999</v>
      </c>
    </row>
    <row r="317" spans="1:3" x14ac:dyDescent="0.25">
      <c r="A317">
        <v>71.23</v>
      </c>
      <c r="B317">
        <v>91.71</v>
      </c>
      <c r="C317">
        <v>137</v>
      </c>
    </row>
    <row r="318" spans="1:3" x14ac:dyDescent="0.25">
      <c r="A318">
        <v>70.17</v>
      </c>
      <c r="B318">
        <v>91.34</v>
      </c>
      <c r="C318">
        <v>137.66999999999999</v>
      </c>
    </row>
    <row r="319" spans="1:3" x14ac:dyDescent="0.25">
      <c r="A319">
        <v>71.95</v>
      </c>
      <c r="B319">
        <v>90.05</v>
      </c>
      <c r="C319">
        <v>136.63</v>
      </c>
    </row>
    <row r="320" spans="1:3" x14ac:dyDescent="0.25">
      <c r="A320">
        <v>73.099999999999994</v>
      </c>
      <c r="B320">
        <v>89.87</v>
      </c>
      <c r="C320">
        <v>137.87</v>
      </c>
    </row>
    <row r="321" spans="1:3" x14ac:dyDescent="0.25">
      <c r="A321">
        <v>74.34</v>
      </c>
      <c r="B321">
        <v>92.63</v>
      </c>
      <c r="C321">
        <v>139.09</v>
      </c>
    </row>
    <row r="322" spans="1:3" x14ac:dyDescent="0.25">
      <c r="A322">
        <v>75.400000000000006</v>
      </c>
      <c r="B322">
        <v>91.36</v>
      </c>
      <c r="C322">
        <v>140.12</v>
      </c>
    </row>
    <row r="323" spans="1:3" x14ac:dyDescent="0.25">
      <c r="A323">
        <v>75.91</v>
      </c>
      <c r="B323">
        <v>91.04</v>
      </c>
      <c r="C323">
        <v>138.57</v>
      </c>
    </row>
    <row r="324" spans="1:3" x14ac:dyDescent="0.25">
      <c r="A324">
        <v>74.760000000000005</v>
      </c>
      <c r="B324">
        <v>90.45</v>
      </c>
      <c r="C324">
        <v>138.84</v>
      </c>
    </row>
    <row r="325" spans="1:3" x14ac:dyDescent="0.25">
      <c r="A325">
        <v>75.89</v>
      </c>
      <c r="B325">
        <v>89.75</v>
      </c>
      <c r="C325">
        <v>140.71</v>
      </c>
    </row>
    <row r="326" spans="1:3" x14ac:dyDescent="0.25">
      <c r="A326">
        <v>77.86</v>
      </c>
      <c r="B326">
        <v>89.51</v>
      </c>
      <c r="C326">
        <v>140.85</v>
      </c>
    </row>
    <row r="327" spans="1:3" x14ac:dyDescent="0.25">
      <c r="A327">
        <v>79.27</v>
      </c>
      <c r="B327">
        <v>88.66</v>
      </c>
      <c r="C327">
        <v>138.94999999999999</v>
      </c>
    </row>
    <row r="328" spans="1:3" x14ac:dyDescent="0.25">
      <c r="A328">
        <v>80.73</v>
      </c>
      <c r="B328">
        <v>88.17</v>
      </c>
      <c r="C328">
        <v>140.37</v>
      </c>
    </row>
    <row r="329" spans="1:3" x14ac:dyDescent="0.25">
      <c r="A329">
        <v>81.010000000000005</v>
      </c>
      <c r="B329">
        <v>87.02</v>
      </c>
      <c r="C329">
        <v>139.33000000000001</v>
      </c>
    </row>
    <row r="330" spans="1:3" x14ac:dyDescent="0.25">
      <c r="A330">
        <v>79.97</v>
      </c>
      <c r="B330">
        <v>86.95</v>
      </c>
      <c r="C330">
        <v>141.26</v>
      </c>
    </row>
    <row r="331" spans="1:3" x14ac:dyDescent="0.25">
      <c r="A331">
        <v>77.98</v>
      </c>
      <c r="B331">
        <v>85.86</v>
      </c>
      <c r="C331">
        <v>142.91999999999999</v>
      </c>
    </row>
    <row r="332" spans="1:3" x14ac:dyDescent="0.25">
      <c r="A332">
        <v>79.209999999999994</v>
      </c>
      <c r="B332">
        <v>88.48</v>
      </c>
      <c r="C332">
        <v>145.30000000000001</v>
      </c>
    </row>
    <row r="333" spans="1:3" x14ac:dyDescent="0.25">
      <c r="A333">
        <v>80.59</v>
      </c>
      <c r="B333">
        <v>86.96</v>
      </c>
      <c r="C333">
        <v>143.49</v>
      </c>
    </row>
    <row r="334" spans="1:3" x14ac:dyDescent="0.25">
      <c r="A334">
        <v>83.04</v>
      </c>
      <c r="B334">
        <v>86.49</v>
      </c>
      <c r="C334">
        <v>145.41</v>
      </c>
    </row>
    <row r="335" spans="1:3" x14ac:dyDescent="0.25">
      <c r="A335">
        <v>84.26</v>
      </c>
      <c r="B335">
        <v>86.09</v>
      </c>
      <c r="C335">
        <v>147.4</v>
      </c>
    </row>
    <row r="336" spans="1:3" x14ac:dyDescent="0.25">
      <c r="A336">
        <v>85.28</v>
      </c>
      <c r="B336">
        <v>84.37</v>
      </c>
      <c r="C336">
        <v>146.27000000000001</v>
      </c>
    </row>
    <row r="337" spans="1:3" x14ac:dyDescent="0.25">
      <c r="A337">
        <v>85.74</v>
      </c>
      <c r="B337">
        <v>83.22</v>
      </c>
      <c r="C337">
        <v>148.38</v>
      </c>
    </row>
    <row r="338" spans="1:3" x14ac:dyDescent="0.25">
      <c r="A338">
        <v>84.14</v>
      </c>
      <c r="B338">
        <v>85.72</v>
      </c>
      <c r="C338">
        <v>150.66999999999999</v>
      </c>
    </row>
    <row r="339" spans="1:3" x14ac:dyDescent="0.25">
      <c r="A339">
        <v>86.12</v>
      </c>
      <c r="B339">
        <v>84.73</v>
      </c>
      <c r="C339">
        <v>150.84</v>
      </c>
    </row>
    <row r="340" spans="1:3" x14ac:dyDescent="0.25">
      <c r="A340">
        <v>86.23</v>
      </c>
      <c r="B340">
        <v>84.15</v>
      </c>
      <c r="C340">
        <v>149.72999999999999</v>
      </c>
    </row>
    <row r="341" spans="1:3" x14ac:dyDescent="0.25">
      <c r="A341">
        <v>84.78</v>
      </c>
      <c r="B341">
        <v>83.26</v>
      </c>
      <c r="C341">
        <v>148.35</v>
      </c>
    </row>
    <row r="342" spans="1:3" x14ac:dyDescent="0.25">
      <c r="A342">
        <v>86.91</v>
      </c>
      <c r="B342">
        <v>82.5</v>
      </c>
      <c r="C342">
        <v>150.61000000000001</v>
      </c>
    </row>
    <row r="343" spans="1:3" x14ac:dyDescent="0.25">
      <c r="A343">
        <v>85.3</v>
      </c>
      <c r="B343">
        <v>81.739999999999995</v>
      </c>
      <c r="C343">
        <v>148.94999999999999</v>
      </c>
    </row>
    <row r="344" spans="1:3" x14ac:dyDescent="0.25">
      <c r="A344">
        <v>83.64</v>
      </c>
      <c r="B344">
        <v>84.27</v>
      </c>
      <c r="C344">
        <v>147.16999999999999</v>
      </c>
    </row>
    <row r="345" spans="1:3" x14ac:dyDescent="0.25">
      <c r="A345">
        <v>82.5</v>
      </c>
      <c r="B345">
        <v>83</v>
      </c>
      <c r="C345">
        <v>147.86000000000001</v>
      </c>
    </row>
    <row r="346" spans="1:3" x14ac:dyDescent="0.25">
      <c r="A346">
        <v>83.5</v>
      </c>
      <c r="B346">
        <v>85.99</v>
      </c>
      <c r="C346">
        <v>149.49</v>
      </c>
    </row>
    <row r="347" spans="1:3" x14ac:dyDescent="0.25">
      <c r="A347">
        <v>85.49</v>
      </c>
      <c r="B347">
        <v>84.29</v>
      </c>
      <c r="C347">
        <v>147.9</v>
      </c>
    </row>
    <row r="348" spans="1:3" x14ac:dyDescent="0.25">
      <c r="A348">
        <v>87.71</v>
      </c>
      <c r="B348">
        <v>83.35</v>
      </c>
      <c r="C348">
        <v>146.46</v>
      </c>
    </row>
    <row r="349" spans="1:3" x14ac:dyDescent="0.25">
      <c r="A349">
        <v>85.99</v>
      </c>
      <c r="B349">
        <v>86.22</v>
      </c>
      <c r="C349">
        <v>144.76</v>
      </c>
    </row>
    <row r="350" spans="1:3" x14ac:dyDescent="0.25">
      <c r="A350">
        <v>88.15</v>
      </c>
      <c r="B350">
        <v>85.51</v>
      </c>
      <c r="C350">
        <v>146.63999999999999</v>
      </c>
    </row>
    <row r="351" spans="1:3" x14ac:dyDescent="0.25">
      <c r="A351">
        <v>88.57</v>
      </c>
      <c r="B351">
        <v>84.25</v>
      </c>
      <c r="C351">
        <v>146.84</v>
      </c>
    </row>
    <row r="352" spans="1:3" x14ac:dyDescent="0.25">
      <c r="A352">
        <v>88.75</v>
      </c>
      <c r="B352">
        <v>84.11</v>
      </c>
      <c r="C352">
        <v>145.82</v>
      </c>
    </row>
    <row r="353" spans="1:3" x14ac:dyDescent="0.25">
      <c r="A353">
        <v>89.45</v>
      </c>
      <c r="B353">
        <v>86.81</v>
      </c>
      <c r="C353">
        <v>147.19999999999999</v>
      </c>
    </row>
    <row r="354" spans="1:3" x14ac:dyDescent="0.25">
      <c r="A354">
        <v>87.7</v>
      </c>
      <c r="B354">
        <v>85.18</v>
      </c>
      <c r="C354">
        <v>149.22999999999999</v>
      </c>
    </row>
    <row r="355" spans="1:3" x14ac:dyDescent="0.25">
      <c r="A355">
        <v>85.97</v>
      </c>
      <c r="B355">
        <v>85.17</v>
      </c>
      <c r="C355">
        <v>150.75</v>
      </c>
    </row>
    <row r="356" spans="1:3" x14ac:dyDescent="0.25">
      <c r="A356">
        <v>86.77</v>
      </c>
      <c r="B356">
        <v>83.74</v>
      </c>
      <c r="C356">
        <v>151.94999999999999</v>
      </c>
    </row>
    <row r="357" spans="1:3" x14ac:dyDescent="0.25">
      <c r="A357">
        <v>85.03</v>
      </c>
      <c r="B357">
        <v>83.16</v>
      </c>
      <c r="C357">
        <v>154.04</v>
      </c>
    </row>
    <row r="358" spans="1:3" x14ac:dyDescent="0.25">
      <c r="A358">
        <v>83.62</v>
      </c>
      <c r="B358">
        <v>82.19</v>
      </c>
      <c r="C358">
        <v>155.46</v>
      </c>
    </row>
    <row r="359" spans="1:3" x14ac:dyDescent="0.25">
      <c r="A359">
        <v>85.87</v>
      </c>
      <c r="B359">
        <v>80.930000000000007</v>
      </c>
      <c r="C359">
        <v>157.47</v>
      </c>
    </row>
    <row r="360" spans="1:3" x14ac:dyDescent="0.25">
      <c r="A360">
        <v>86.95</v>
      </c>
      <c r="B360">
        <v>83.66</v>
      </c>
      <c r="C360">
        <v>155.78</v>
      </c>
    </row>
    <row r="361" spans="1:3" x14ac:dyDescent="0.25">
      <c r="A361">
        <v>88.95</v>
      </c>
      <c r="B361">
        <v>82.17</v>
      </c>
      <c r="C361">
        <v>154.38999999999999</v>
      </c>
    </row>
    <row r="362" spans="1:3" x14ac:dyDescent="0.25">
      <c r="A362">
        <v>87.68</v>
      </c>
      <c r="B362">
        <v>81.81</v>
      </c>
      <c r="C362">
        <v>155.91999999999999</v>
      </c>
    </row>
    <row r="363" spans="1:3" x14ac:dyDescent="0.25">
      <c r="A363">
        <v>86.52</v>
      </c>
      <c r="B363">
        <v>80.97</v>
      </c>
      <c r="C363">
        <v>154.41999999999999</v>
      </c>
    </row>
    <row r="364" spans="1:3" x14ac:dyDescent="0.25">
      <c r="A364">
        <v>87.64</v>
      </c>
      <c r="B364">
        <v>80.41</v>
      </c>
      <c r="C364">
        <v>153.37</v>
      </c>
    </row>
    <row r="365" spans="1:3" x14ac:dyDescent="0.25">
      <c r="A365">
        <v>86.51</v>
      </c>
      <c r="B365">
        <v>79.86</v>
      </c>
      <c r="C365">
        <v>154.38</v>
      </c>
    </row>
    <row r="366" spans="1:3" x14ac:dyDescent="0.25">
      <c r="A366">
        <v>85.1</v>
      </c>
      <c r="B366">
        <v>79.52</v>
      </c>
      <c r="C366">
        <v>152.55000000000001</v>
      </c>
    </row>
    <row r="367" spans="1:3" x14ac:dyDescent="0.25">
      <c r="A367">
        <v>86.09</v>
      </c>
      <c r="B367">
        <v>78.86</v>
      </c>
      <c r="C367">
        <v>150.97999999999999</v>
      </c>
    </row>
    <row r="368" spans="1:3" x14ac:dyDescent="0.25">
      <c r="A368">
        <v>84.89</v>
      </c>
      <c r="B368">
        <v>77.11</v>
      </c>
      <c r="C368">
        <v>151.24</v>
      </c>
    </row>
    <row r="369" spans="1:3" x14ac:dyDescent="0.25">
      <c r="A369">
        <v>83.75</v>
      </c>
      <c r="B369">
        <v>75.290000000000006</v>
      </c>
      <c r="C369">
        <v>153.69</v>
      </c>
    </row>
    <row r="370" spans="1:3" x14ac:dyDescent="0.25">
      <c r="A370">
        <v>85.37</v>
      </c>
      <c r="B370">
        <v>78.260000000000005</v>
      </c>
      <c r="C370">
        <v>155.26</v>
      </c>
    </row>
    <row r="371" spans="1:3" x14ac:dyDescent="0.25">
      <c r="A371">
        <v>85.9</v>
      </c>
      <c r="B371">
        <v>77.23</v>
      </c>
      <c r="C371">
        <v>153.86000000000001</v>
      </c>
    </row>
    <row r="372" spans="1:3" x14ac:dyDescent="0.25">
      <c r="A372">
        <v>84.34</v>
      </c>
      <c r="B372">
        <v>79.95</v>
      </c>
      <c r="C372">
        <v>152.09</v>
      </c>
    </row>
    <row r="373" spans="1:3" x14ac:dyDescent="0.25">
      <c r="A373">
        <v>83.32</v>
      </c>
      <c r="B373">
        <v>79.03</v>
      </c>
      <c r="C373">
        <v>150.44</v>
      </c>
    </row>
    <row r="374" spans="1:3" x14ac:dyDescent="0.25">
      <c r="A374">
        <v>83.78</v>
      </c>
      <c r="B374">
        <v>78.569999999999993</v>
      </c>
      <c r="C374">
        <v>152.88</v>
      </c>
    </row>
    <row r="375" spans="1:3" x14ac:dyDescent="0.25">
      <c r="A375">
        <v>81.97</v>
      </c>
      <c r="B375">
        <v>76.849999999999994</v>
      </c>
      <c r="C375">
        <v>153.57</v>
      </c>
    </row>
    <row r="376" spans="1:3" x14ac:dyDescent="0.25">
      <c r="A376">
        <v>83.69</v>
      </c>
      <c r="B376">
        <v>79.53</v>
      </c>
      <c r="C376">
        <v>151.80000000000001</v>
      </c>
    </row>
    <row r="377" spans="1:3" x14ac:dyDescent="0.25">
      <c r="A377">
        <v>82.46</v>
      </c>
      <c r="B377">
        <v>82.14</v>
      </c>
      <c r="C377">
        <v>153.21</v>
      </c>
    </row>
    <row r="378" spans="1:3" x14ac:dyDescent="0.25">
      <c r="A378">
        <v>84.11</v>
      </c>
      <c r="B378">
        <v>81.95</v>
      </c>
      <c r="C378">
        <v>154.75</v>
      </c>
    </row>
    <row r="379" spans="1:3" x14ac:dyDescent="0.25">
      <c r="A379">
        <v>85.63</v>
      </c>
      <c r="B379">
        <v>81.260000000000005</v>
      </c>
      <c r="C379">
        <v>153.43</v>
      </c>
    </row>
    <row r="380" spans="1:3" x14ac:dyDescent="0.25">
      <c r="A380">
        <v>85.83</v>
      </c>
      <c r="B380">
        <v>79.760000000000005</v>
      </c>
      <c r="C380">
        <v>152.27000000000001</v>
      </c>
    </row>
    <row r="381" spans="1:3" x14ac:dyDescent="0.25">
      <c r="A381">
        <v>86.66</v>
      </c>
      <c r="B381">
        <v>82.5</v>
      </c>
      <c r="C381">
        <v>151</v>
      </c>
    </row>
    <row r="382" spans="1:3" x14ac:dyDescent="0.25">
      <c r="A382">
        <v>87.96</v>
      </c>
      <c r="B382">
        <v>80.88</v>
      </c>
      <c r="C382">
        <v>152.36000000000001</v>
      </c>
    </row>
    <row r="383" spans="1:3" x14ac:dyDescent="0.25">
      <c r="A383">
        <v>89.71</v>
      </c>
      <c r="B383">
        <v>80.27</v>
      </c>
      <c r="C383">
        <v>150.47999999999999</v>
      </c>
    </row>
    <row r="384" spans="1:3" x14ac:dyDescent="0.25">
      <c r="A384">
        <v>91.38</v>
      </c>
      <c r="B384">
        <v>80.06</v>
      </c>
      <c r="C384">
        <v>151.6</v>
      </c>
    </row>
    <row r="385" spans="1:3" x14ac:dyDescent="0.25">
      <c r="A385">
        <v>90.08</v>
      </c>
      <c r="B385">
        <v>78.17</v>
      </c>
      <c r="C385">
        <v>149.69999999999999</v>
      </c>
    </row>
    <row r="386" spans="1:3" x14ac:dyDescent="0.25">
      <c r="A386">
        <v>88.79</v>
      </c>
      <c r="B386">
        <v>77.03</v>
      </c>
      <c r="C386">
        <v>150.75</v>
      </c>
    </row>
    <row r="387" spans="1:3" x14ac:dyDescent="0.25">
      <c r="A387">
        <v>86.79</v>
      </c>
      <c r="B387">
        <v>76.48</v>
      </c>
      <c r="C387">
        <v>149.30000000000001</v>
      </c>
    </row>
    <row r="388" spans="1:3" x14ac:dyDescent="0.25">
      <c r="A388">
        <v>84.93</v>
      </c>
      <c r="B388">
        <v>76.209999999999994</v>
      </c>
      <c r="C388">
        <v>149.41999999999999</v>
      </c>
    </row>
    <row r="389" spans="1:3" x14ac:dyDescent="0.25">
      <c r="A389">
        <v>83.65</v>
      </c>
      <c r="B389">
        <v>76.09</v>
      </c>
      <c r="C389">
        <v>147.55000000000001</v>
      </c>
    </row>
    <row r="390" spans="1:3" x14ac:dyDescent="0.25">
      <c r="A390">
        <v>84.46</v>
      </c>
      <c r="B390">
        <v>75.75</v>
      </c>
      <c r="C390">
        <v>148.07</v>
      </c>
    </row>
    <row r="391" spans="1:3" x14ac:dyDescent="0.25">
      <c r="A391">
        <v>82.96</v>
      </c>
      <c r="B391">
        <v>74.55</v>
      </c>
      <c r="C391">
        <v>149.9</v>
      </c>
    </row>
    <row r="392" spans="1:3" x14ac:dyDescent="0.25">
      <c r="A392">
        <v>81.92</v>
      </c>
      <c r="B392">
        <v>74.290000000000006</v>
      </c>
      <c r="C392">
        <v>151.68</v>
      </c>
    </row>
    <row r="393" spans="1:3" x14ac:dyDescent="0.25">
      <c r="A393">
        <v>80.319999999999993</v>
      </c>
      <c r="B393">
        <v>73.209999999999994</v>
      </c>
      <c r="C393">
        <v>153.25</v>
      </c>
    </row>
    <row r="394" spans="1:3" x14ac:dyDescent="0.25">
      <c r="A394">
        <v>80.37</v>
      </c>
      <c r="B394">
        <v>72.27</v>
      </c>
      <c r="C394">
        <v>152.22999999999999</v>
      </c>
    </row>
    <row r="395" spans="1:3" x14ac:dyDescent="0.25">
      <c r="A395">
        <v>81.260000000000005</v>
      </c>
      <c r="B395">
        <v>70.48</v>
      </c>
      <c r="C395">
        <v>150.25</v>
      </c>
    </row>
    <row r="396" spans="1:3" x14ac:dyDescent="0.25">
      <c r="A396">
        <v>83.72</v>
      </c>
      <c r="B396">
        <v>70.05</v>
      </c>
      <c r="C396">
        <v>148.80000000000001</v>
      </c>
    </row>
    <row r="397" spans="1:3" x14ac:dyDescent="0.25">
      <c r="A397">
        <v>84.27</v>
      </c>
      <c r="B397">
        <v>68.349999999999994</v>
      </c>
      <c r="C397">
        <v>146.96</v>
      </c>
    </row>
    <row r="398" spans="1:3" x14ac:dyDescent="0.25">
      <c r="A398">
        <v>82.97</v>
      </c>
      <c r="B398">
        <v>67.58</v>
      </c>
      <c r="C398">
        <v>145.47999999999999</v>
      </c>
    </row>
    <row r="399" spans="1:3" x14ac:dyDescent="0.25">
      <c r="A399">
        <v>83.17</v>
      </c>
      <c r="B399">
        <v>66.3</v>
      </c>
      <c r="C399">
        <v>147.35</v>
      </c>
    </row>
    <row r="400" spans="1:3" x14ac:dyDescent="0.25">
      <c r="A400">
        <v>81.819999999999993</v>
      </c>
      <c r="B400">
        <v>65.040000000000006</v>
      </c>
      <c r="C400">
        <v>145.4</v>
      </c>
    </row>
    <row r="401" spans="1:3" x14ac:dyDescent="0.25">
      <c r="A401">
        <v>84.04</v>
      </c>
      <c r="B401">
        <v>63.88</v>
      </c>
      <c r="C401">
        <v>145.47</v>
      </c>
    </row>
    <row r="402" spans="1:3" x14ac:dyDescent="0.25">
      <c r="A402">
        <v>82.65</v>
      </c>
      <c r="B402">
        <v>63.09</v>
      </c>
      <c r="C402">
        <v>146.12</v>
      </c>
    </row>
    <row r="403" spans="1:3" x14ac:dyDescent="0.25">
      <c r="A403">
        <v>83.94</v>
      </c>
      <c r="B403">
        <v>61.68</v>
      </c>
      <c r="C403">
        <v>147.22</v>
      </c>
    </row>
    <row r="404" spans="1:3" x14ac:dyDescent="0.25">
      <c r="A404">
        <v>82.19</v>
      </c>
      <c r="B404">
        <v>60.11</v>
      </c>
      <c r="C404">
        <v>148.13</v>
      </c>
    </row>
    <row r="405" spans="1:3" x14ac:dyDescent="0.25">
      <c r="A405">
        <v>84.44</v>
      </c>
      <c r="B405">
        <v>63.04</v>
      </c>
      <c r="C405">
        <v>149.9</v>
      </c>
    </row>
    <row r="406" spans="1:3" x14ac:dyDescent="0.25">
      <c r="A406">
        <v>82.85</v>
      </c>
      <c r="B406">
        <v>65.81</v>
      </c>
      <c r="C406">
        <v>147.96</v>
      </c>
    </row>
    <row r="407" spans="1:3" x14ac:dyDescent="0.25">
      <c r="A407">
        <v>84.73</v>
      </c>
      <c r="B407">
        <v>64.260000000000005</v>
      </c>
      <c r="C407">
        <v>146.51</v>
      </c>
    </row>
    <row r="408" spans="1:3" x14ac:dyDescent="0.25">
      <c r="A408">
        <v>84.93</v>
      </c>
      <c r="B408">
        <v>63.08</v>
      </c>
      <c r="C408">
        <v>147.87</v>
      </c>
    </row>
    <row r="409" spans="1:3" x14ac:dyDescent="0.25">
      <c r="A409">
        <v>83.87</v>
      </c>
      <c r="B409">
        <v>62.49</v>
      </c>
      <c r="C409">
        <v>149.41</v>
      </c>
    </row>
    <row r="410" spans="1:3" x14ac:dyDescent="0.25">
      <c r="A410">
        <v>82.71</v>
      </c>
      <c r="B410">
        <v>61.45</v>
      </c>
      <c r="C410">
        <v>150.38999999999999</v>
      </c>
    </row>
    <row r="411" spans="1:3" x14ac:dyDescent="0.25">
      <c r="A411">
        <v>81.37</v>
      </c>
      <c r="B411">
        <v>60.3</v>
      </c>
      <c r="C411">
        <v>149.35</v>
      </c>
    </row>
    <row r="412" spans="1:3" x14ac:dyDescent="0.25">
      <c r="A412">
        <v>80.040000000000006</v>
      </c>
      <c r="B412">
        <v>62.81</v>
      </c>
      <c r="C412">
        <v>147.81</v>
      </c>
    </row>
    <row r="413" spans="1:3" x14ac:dyDescent="0.25">
      <c r="A413">
        <v>81.96</v>
      </c>
      <c r="B413">
        <v>62.35</v>
      </c>
      <c r="C413">
        <v>145.85</v>
      </c>
    </row>
    <row r="414" spans="1:3" x14ac:dyDescent="0.25">
      <c r="A414">
        <v>82.73</v>
      </c>
      <c r="B414">
        <v>61.53</v>
      </c>
      <c r="C414">
        <v>147.65</v>
      </c>
    </row>
    <row r="415" spans="1:3" x14ac:dyDescent="0.25">
      <c r="A415">
        <v>81.599999999999994</v>
      </c>
      <c r="B415">
        <v>61.16</v>
      </c>
      <c r="C415">
        <v>148</v>
      </c>
    </row>
    <row r="416" spans="1:3" x14ac:dyDescent="0.25">
      <c r="A416">
        <v>80.37</v>
      </c>
      <c r="B416">
        <v>60.65</v>
      </c>
      <c r="C416">
        <v>149.16</v>
      </c>
    </row>
    <row r="417" spans="1:3" x14ac:dyDescent="0.25">
      <c r="A417">
        <v>82.29</v>
      </c>
      <c r="B417">
        <v>59.06</v>
      </c>
      <c r="C417">
        <v>148.12</v>
      </c>
    </row>
    <row r="418" spans="1:3" x14ac:dyDescent="0.25">
      <c r="A418">
        <v>83.24</v>
      </c>
      <c r="B418">
        <v>61.49</v>
      </c>
      <c r="C418">
        <v>146.75</v>
      </c>
    </row>
    <row r="419" spans="1:3" x14ac:dyDescent="0.25">
      <c r="A419">
        <v>85.09</v>
      </c>
      <c r="B419">
        <v>64.209999999999994</v>
      </c>
      <c r="C419">
        <v>148.88</v>
      </c>
    </row>
    <row r="420" spans="1:3" x14ac:dyDescent="0.25">
      <c r="A420">
        <v>85.26</v>
      </c>
      <c r="B420">
        <v>64.11</v>
      </c>
      <c r="C420">
        <v>150.13999999999999</v>
      </c>
    </row>
    <row r="421" spans="1:3" x14ac:dyDescent="0.25">
      <c r="A421">
        <v>87.45</v>
      </c>
      <c r="B421">
        <v>63.4</v>
      </c>
      <c r="C421">
        <v>149.12</v>
      </c>
    </row>
    <row r="422" spans="1:3" x14ac:dyDescent="0.25">
      <c r="A422">
        <v>89.82</v>
      </c>
      <c r="B422">
        <v>61.83</v>
      </c>
      <c r="C422">
        <v>147.93</v>
      </c>
    </row>
    <row r="423" spans="1:3" x14ac:dyDescent="0.25">
      <c r="A423">
        <v>91.95</v>
      </c>
      <c r="B423">
        <v>59.96</v>
      </c>
      <c r="C423">
        <v>145.99</v>
      </c>
    </row>
    <row r="424" spans="1:3" x14ac:dyDescent="0.25">
      <c r="A424">
        <v>94.23</v>
      </c>
      <c r="B424">
        <v>59.02</v>
      </c>
      <c r="C424">
        <v>144.71</v>
      </c>
    </row>
    <row r="425" spans="1:3" x14ac:dyDescent="0.25">
      <c r="A425">
        <v>93.11</v>
      </c>
      <c r="B425">
        <v>57.84</v>
      </c>
      <c r="C425">
        <v>145.03</v>
      </c>
    </row>
    <row r="426" spans="1:3" x14ac:dyDescent="0.25">
      <c r="A426">
        <v>93.73</v>
      </c>
      <c r="B426">
        <v>60.76</v>
      </c>
      <c r="C426">
        <v>146.52000000000001</v>
      </c>
    </row>
    <row r="427" spans="1:3" x14ac:dyDescent="0.25">
      <c r="A427">
        <v>95.75</v>
      </c>
      <c r="B427">
        <v>60.53</v>
      </c>
      <c r="C427">
        <v>146.65</v>
      </c>
    </row>
    <row r="428" spans="1:3" x14ac:dyDescent="0.25">
      <c r="A428">
        <v>97.38</v>
      </c>
      <c r="B428">
        <v>62.95</v>
      </c>
      <c r="C428">
        <v>148.26</v>
      </c>
    </row>
    <row r="429" spans="1:3" x14ac:dyDescent="0.25">
      <c r="A429">
        <v>99.66</v>
      </c>
      <c r="B429">
        <v>62.42</v>
      </c>
      <c r="C429">
        <v>146.6</v>
      </c>
    </row>
    <row r="430" spans="1:3" x14ac:dyDescent="0.25">
      <c r="A430">
        <v>98.06</v>
      </c>
      <c r="B430">
        <v>64.86</v>
      </c>
      <c r="C430">
        <v>147.83000000000001</v>
      </c>
    </row>
    <row r="431" spans="1:3" x14ac:dyDescent="0.25">
      <c r="A431">
        <v>99.61</v>
      </c>
      <c r="B431">
        <v>63.25</v>
      </c>
      <c r="C431">
        <v>150.03</v>
      </c>
    </row>
    <row r="432" spans="1:3" x14ac:dyDescent="0.25">
      <c r="A432">
        <v>97.68</v>
      </c>
      <c r="B432">
        <v>62.83</v>
      </c>
      <c r="C432">
        <v>151.15</v>
      </c>
    </row>
    <row r="433" spans="1:3" x14ac:dyDescent="0.25">
      <c r="A433">
        <v>96.12</v>
      </c>
      <c r="B433">
        <v>61.62</v>
      </c>
      <c r="C433">
        <v>149.94999999999999</v>
      </c>
    </row>
    <row r="434" spans="1:3" x14ac:dyDescent="0.25">
      <c r="A434">
        <v>94.84</v>
      </c>
      <c r="B434">
        <v>60.02</v>
      </c>
      <c r="C434">
        <v>150.97999999999999</v>
      </c>
    </row>
    <row r="435" spans="1:3" x14ac:dyDescent="0.25">
      <c r="A435">
        <v>95.23</v>
      </c>
      <c r="B435">
        <v>59.25</v>
      </c>
      <c r="C435">
        <v>149.25</v>
      </c>
    </row>
    <row r="436" spans="1:3" x14ac:dyDescent="0.25">
      <c r="A436">
        <v>96.12</v>
      </c>
      <c r="B436">
        <v>62.11</v>
      </c>
      <c r="C436">
        <v>151.06</v>
      </c>
    </row>
    <row r="437" spans="1:3" x14ac:dyDescent="0.25">
      <c r="A437">
        <v>94.84</v>
      </c>
      <c r="B437">
        <v>60.56</v>
      </c>
      <c r="C437">
        <v>149.65</v>
      </c>
    </row>
    <row r="438" spans="1:3" x14ac:dyDescent="0.25">
      <c r="A438">
        <v>93.28</v>
      </c>
      <c r="B438">
        <v>60.46</v>
      </c>
      <c r="C438">
        <v>148.22</v>
      </c>
    </row>
    <row r="439" spans="1:3" x14ac:dyDescent="0.25">
      <c r="A439">
        <v>91.44</v>
      </c>
      <c r="B439">
        <v>63.27</v>
      </c>
      <c r="C439">
        <v>146.25</v>
      </c>
    </row>
    <row r="440" spans="1:3" x14ac:dyDescent="0.25">
      <c r="A440">
        <v>93.22</v>
      </c>
      <c r="B440">
        <v>62.21</v>
      </c>
      <c r="C440">
        <v>146.91</v>
      </c>
    </row>
    <row r="441" spans="1:3" x14ac:dyDescent="0.25">
      <c r="A441">
        <v>95.34</v>
      </c>
      <c r="B441">
        <v>65.209999999999994</v>
      </c>
      <c r="C441">
        <v>145.85</v>
      </c>
    </row>
    <row r="442" spans="1:3" x14ac:dyDescent="0.25">
      <c r="A442">
        <v>97.18</v>
      </c>
      <c r="B442">
        <v>64.72</v>
      </c>
      <c r="C442">
        <v>146.31</v>
      </c>
    </row>
    <row r="443" spans="1:3" x14ac:dyDescent="0.25">
      <c r="A443">
        <v>95.89</v>
      </c>
      <c r="B443">
        <v>64.510000000000005</v>
      </c>
      <c r="C443">
        <v>144.6</v>
      </c>
    </row>
    <row r="444" spans="1:3" x14ac:dyDescent="0.25">
      <c r="A444">
        <v>94.4</v>
      </c>
      <c r="B444">
        <v>63.15</v>
      </c>
      <c r="C444">
        <v>143.56</v>
      </c>
    </row>
    <row r="445" spans="1:3" x14ac:dyDescent="0.25">
      <c r="A445">
        <v>93.07</v>
      </c>
      <c r="B445">
        <v>65.959999999999994</v>
      </c>
      <c r="C445">
        <v>143.61000000000001</v>
      </c>
    </row>
    <row r="446" spans="1:3" x14ac:dyDescent="0.25">
      <c r="A446">
        <v>93.84</v>
      </c>
      <c r="B446">
        <v>64.819999999999993</v>
      </c>
      <c r="C446">
        <v>143.97999999999999</v>
      </c>
    </row>
    <row r="447" spans="1:3" x14ac:dyDescent="0.25">
      <c r="A447">
        <v>92.78</v>
      </c>
      <c r="B447">
        <v>63.49</v>
      </c>
      <c r="C447">
        <v>142.51</v>
      </c>
    </row>
    <row r="448" spans="1:3" x14ac:dyDescent="0.25">
      <c r="A448">
        <v>94.02</v>
      </c>
      <c r="B448">
        <v>62.41</v>
      </c>
      <c r="C448">
        <v>144.03</v>
      </c>
    </row>
    <row r="449" spans="1:3" x14ac:dyDescent="0.25">
      <c r="A449">
        <v>95.27</v>
      </c>
      <c r="B449">
        <v>65.36</v>
      </c>
      <c r="C449">
        <v>142.49</v>
      </c>
    </row>
    <row r="450" spans="1:3" x14ac:dyDescent="0.25">
      <c r="A450">
        <v>93.67</v>
      </c>
      <c r="B450">
        <v>64.400000000000006</v>
      </c>
      <c r="C450">
        <v>140.54</v>
      </c>
    </row>
    <row r="451" spans="1:3" x14ac:dyDescent="0.25">
      <c r="A451">
        <v>95.35</v>
      </c>
      <c r="B451">
        <v>63.79</v>
      </c>
      <c r="C451">
        <v>138.88999999999999</v>
      </c>
    </row>
    <row r="452" spans="1:3" x14ac:dyDescent="0.25">
      <c r="A452">
        <v>96.14</v>
      </c>
      <c r="B452">
        <v>62.37</v>
      </c>
      <c r="C452">
        <v>137.61000000000001</v>
      </c>
    </row>
    <row r="453" spans="1:3" x14ac:dyDescent="0.25">
      <c r="A453">
        <v>94.99</v>
      </c>
      <c r="B453">
        <v>65.239999999999995</v>
      </c>
      <c r="C453">
        <v>138.30000000000001</v>
      </c>
    </row>
    <row r="454" spans="1:3" x14ac:dyDescent="0.25">
      <c r="A454">
        <v>95.7</v>
      </c>
      <c r="B454">
        <v>64.81</v>
      </c>
      <c r="C454">
        <v>136.81</v>
      </c>
    </row>
    <row r="455" spans="1:3" x14ac:dyDescent="0.25">
      <c r="A455">
        <v>95.72</v>
      </c>
      <c r="B455">
        <v>63.89</v>
      </c>
      <c r="C455">
        <v>135.43</v>
      </c>
    </row>
    <row r="456" spans="1:3" x14ac:dyDescent="0.25">
      <c r="A456">
        <v>96.62</v>
      </c>
      <c r="B456">
        <v>66.790000000000006</v>
      </c>
      <c r="C456">
        <v>134</v>
      </c>
    </row>
    <row r="457" spans="1:3" x14ac:dyDescent="0.25">
      <c r="A457">
        <v>98.19</v>
      </c>
      <c r="B457">
        <v>65.16</v>
      </c>
      <c r="C457">
        <v>134.07</v>
      </c>
    </row>
    <row r="458" spans="1:3" x14ac:dyDescent="0.25">
      <c r="A458">
        <v>97.19</v>
      </c>
      <c r="B458">
        <v>67.81</v>
      </c>
      <c r="C458">
        <v>135.07</v>
      </c>
    </row>
    <row r="459" spans="1:3" x14ac:dyDescent="0.25">
      <c r="A459">
        <v>97.88</v>
      </c>
      <c r="B459">
        <v>70.23</v>
      </c>
      <c r="C459">
        <v>133.69999999999999</v>
      </c>
    </row>
    <row r="460" spans="1:3" x14ac:dyDescent="0.25">
      <c r="A460">
        <v>96.5</v>
      </c>
      <c r="B460">
        <v>69.88</v>
      </c>
      <c r="C460">
        <v>132.12</v>
      </c>
    </row>
    <row r="461" spans="1:3" x14ac:dyDescent="0.25">
      <c r="A461">
        <v>98.32</v>
      </c>
      <c r="B461">
        <v>69.650000000000006</v>
      </c>
      <c r="C461">
        <v>132.19999999999999</v>
      </c>
    </row>
    <row r="462" spans="1:3" x14ac:dyDescent="0.25">
      <c r="A462">
        <v>100.41</v>
      </c>
      <c r="B462">
        <v>67.95</v>
      </c>
      <c r="C462">
        <v>134.63</v>
      </c>
    </row>
    <row r="463" spans="1:3" x14ac:dyDescent="0.25">
      <c r="A463">
        <v>98.63</v>
      </c>
      <c r="B463">
        <v>66.98</v>
      </c>
      <c r="C463">
        <v>136.87</v>
      </c>
    </row>
    <row r="464" spans="1:3" x14ac:dyDescent="0.25">
      <c r="A464">
        <v>96.81</v>
      </c>
      <c r="B464">
        <v>65.760000000000005</v>
      </c>
      <c r="C464">
        <v>138.55000000000001</v>
      </c>
    </row>
    <row r="465" spans="1:3" x14ac:dyDescent="0.25">
      <c r="A465">
        <v>98.88</v>
      </c>
      <c r="B465">
        <v>65.53</v>
      </c>
      <c r="C465">
        <v>137.22999999999999</v>
      </c>
    </row>
    <row r="466" spans="1:3" x14ac:dyDescent="0.25">
      <c r="A466">
        <v>100.54</v>
      </c>
      <c r="B466">
        <v>68.27</v>
      </c>
      <c r="C466">
        <v>135.35</v>
      </c>
    </row>
    <row r="467" spans="1:3" x14ac:dyDescent="0.25">
      <c r="A467">
        <v>102.5</v>
      </c>
      <c r="B467">
        <v>66.36</v>
      </c>
      <c r="C467">
        <v>133.85</v>
      </c>
    </row>
    <row r="468" spans="1:3" x14ac:dyDescent="0.25">
      <c r="A468">
        <v>103.73</v>
      </c>
      <c r="B468">
        <v>65</v>
      </c>
      <c r="C468">
        <v>134.44999999999999</v>
      </c>
    </row>
    <row r="469" spans="1:3" x14ac:dyDescent="0.25">
      <c r="A469">
        <v>101.95</v>
      </c>
      <c r="B469">
        <v>67.900000000000006</v>
      </c>
      <c r="C469">
        <v>136.01</v>
      </c>
    </row>
    <row r="470" spans="1:3" x14ac:dyDescent="0.25">
      <c r="A470">
        <v>100.28</v>
      </c>
      <c r="B470">
        <v>67.61</v>
      </c>
      <c r="C470">
        <v>134.69</v>
      </c>
    </row>
    <row r="471" spans="1:3" x14ac:dyDescent="0.25">
      <c r="A471">
        <v>101.15</v>
      </c>
      <c r="B471">
        <v>66.87</v>
      </c>
      <c r="C471">
        <v>136.71</v>
      </c>
    </row>
    <row r="472" spans="1:3" x14ac:dyDescent="0.25">
      <c r="A472">
        <v>101.53</v>
      </c>
      <c r="B472">
        <v>69.790000000000006</v>
      </c>
      <c r="C472">
        <v>135.55000000000001</v>
      </c>
    </row>
    <row r="473" spans="1:3" x14ac:dyDescent="0.25">
      <c r="A473">
        <v>103.27</v>
      </c>
      <c r="B473">
        <v>72.55</v>
      </c>
      <c r="C473">
        <v>138.04</v>
      </c>
    </row>
    <row r="474" spans="1:3" x14ac:dyDescent="0.25">
      <c r="A474">
        <v>102.2</v>
      </c>
      <c r="B474">
        <v>70.64</v>
      </c>
      <c r="C474">
        <v>136.30000000000001</v>
      </c>
    </row>
    <row r="475" spans="1:3" x14ac:dyDescent="0.25">
      <c r="A475">
        <v>100.83</v>
      </c>
      <c r="B475">
        <v>69.989999999999995</v>
      </c>
      <c r="C475">
        <v>136.91</v>
      </c>
    </row>
    <row r="476" spans="1:3" x14ac:dyDescent="0.25">
      <c r="A476">
        <v>101.6</v>
      </c>
      <c r="B476">
        <v>68.069999999999993</v>
      </c>
      <c r="C476">
        <v>137.52000000000001</v>
      </c>
    </row>
    <row r="477" spans="1:3" x14ac:dyDescent="0.25">
      <c r="A477">
        <v>99.94</v>
      </c>
      <c r="B477">
        <v>66.72</v>
      </c>
      <c r="C477">
        <v>136.02000000000001</v>
      </c>
    </row>
    <row r="478" spans="1:3" x14ac:dyDescent="0.25">
      <c r="A478">
        <v>98.46</v>
      </c>
      <c r="B478">
        <v>69.349999999999994</v>
      </c>
      <c r="C478">
        <v>134.65</v>
      </c>
    </row>
    <row r="479" spans="1:3" x14ac:dyDescent="0.25">
      <c r="A479">
        <v>97.24</v>
      </c>
      <c r="B479">
        <v>68.8</v>
      </c>
      <c r="C479">
        <v>133.62</v>
      </c>
    </row>
    <row r="480" spans="1:3" x14ac:dyDescent="0.25">
      <c r="A480">
        <v>97.6</v>
      </c>
      <c r="B480">
        <v>66.97</v>
      </c>
      <c r="C480">
        <v>134.27000000000001</v>
      </c>
    </row>
    <row r="481" spans="1:3" x14ac:dyDescent="0.25">
      <c r="A481">
        <v>98.91</v>
      </c>
      <c r="B481">
        <v>66.28</v>
      </c>
      <c r="C481">
        <v>134.35</v>
      </c>
    </row>
    <row r="482" spans="1:3" x14ac:dyDescent="0.25">
      <c r="A482">
        <v>101.11</v>
      </c>
      <c r="B482">
        <v>64.41</v>
      </c>
      <c r="C482">
        <v>133.19</v>
      </c>
    </row>
    <row r="483" spans="1:3" x14ac:dyDescent="0.25">
      <c r="A483">
        <v>102.79</v>
      </c>
      <c r="B483">
        <v>66.86</v>
      </c>
      <c r="C483">
        <v>132.1</v>
      </c>
    </row>
    <row r="484" spans="1:3" x14ac:dyDescent="0.25">
      <c r="A484">
        <v>103.54</v>
      </c>
      <c r="B484">
        <v>66.22</v>
      </c>
      <c r="C484">
        <v>132.30000000000001</v>
      </c>
    </row>
    <row r="485" spans="1:3" x14ac:dyDescent="0.25">
      <c r="A485">
        <v>102.54</v>
      </c>
      <c r="B485">
        <v>64.239999999999995</v>
      </c>
      <c r="C485">
        <v>131.22999999999999</v>
      </c>
    </row>
    <row r="486" spans="1:3" x14ac:dyDescent="0.25">
      <c r="A486">
        <v>100.72</v>
      </c>
      <c r="B486">
        <v>62.97</v>
      </c>
      <c r="C486">
        <v>130.09</v>
      </c>
    </row>
    <row r="487" spans="1:3" x14ac:dyDescent="0.25">
      <c r="A487">
        <v>99.66</v>
      </c>
      <c r="B487">
        <v>61.28</v>
      </c>
      <c r="C487">
        <v>131.72999999999999</v>
      </c>
    </row>
    <row r="488" spans="1:3" x14ac:dyDescent="0.25">
      <c r="A488">
        <v>101.44</v>
      </c>
      <c r="B488">
        <v>63.76</v>
      </c>
      <c r="C488">
        <v>130.03</v>
      </c>
    </row>
    <row r="489" spans="1:3" x14ac:dyDescent="0.25">
      <c r="A489">
        <v>99.81</v>
      </c>
      <c r="B489">
        <v>63.15</v>
      </c>
      <c r="C489">
        <v>128.21</v>
      </c>
    </row>
    <row r="490" spans="1:3" x14ac:dyDescent="0.25">
      <c r="A490">
        <v>101.7</v>
      </c>
      <c r="B490">
        <v>62.62</v>
      </c>
      <c r="C490">
        <v>128.51</v>
      </c>
    </row>
    <row r="491" spans="1:3" x14ac:dyDescent="0.25">
      <c r="A491">
        <v>99.88</v>
      </c>
      <c r="B491">
        <v>65.52</v>
      </c>
      <c r="C491">
        <v>127.47</v>
      </c>
    </row>
    <row r="492" spans="1:3" x14ac:dyDescent="0.25">
      <c r="A492">
        <v>102.11</v>
      </c>
      <c r="B492">
        <v>65.180000000000007</v>
      </c>
      <c r="C492">
        <v>126.24</v>
      </c>
    </row>
    <row r="493" spans="1:3" x14ac:dyDescent="0.25">
      <c r="A493">
        <v>104.42</v>
      </c>
      <c r="B493">
        <v>64.34</v>
      </c>
      <c r="C493">
        <v>128.41</v>
      </c>
    </row>
    <row r="494" spans="1:3" x14ac:dyDescent="0.25">
      <c r="A494">
        <v>105.45</v>
      </c>
      <c r="B494">
        <v>64.28</v>
      </c>
      <c r="C494">
        <v>128.56</v>
      </c>
    </row>
    <row r="495" spans="1:3" x14ac:dyDescent="0.25">
      <c r="A495">
        <v>104.12</v>
      </c>
      <c r="B495">
        <v>67.06</v>
      </c>
      <c r="C495">
        <v>128.58000000000001</v>
      </c>
    </row>
    <row r="496" spans="1:3" x14ac:dyDescent="0.25">
      <c r="A496">
        <v>102.55</v>
      </c>
      <c r="B496">
        <v>66.61</v>
      </c>
      <c r="C496">
        <v>127.41</v>
      </c>
    </row>
    <row r="497" spans="1:3" x14ac:dyDescent="0.25">
      <c r="A497">
        <v>100.83</v>
      </c>
      <c r="B497">
        <v>65.150000000000006</v>
      </c>
      <c r="C497">
        <v>129.69</v>
      </c>
    </row>
    <row r="498" spans="1:3" x14ac:dyDescent="0.25">
      <c r="A498">
        <v>102.59</v>
      </c>
      <c r="B498">
        <v>63.19</v>
      </c>
      <c r="C498">
        <v>128.27000000000001</v>
      </c>
    </row>
    <row r="499" spans="1:3" x14ac:dyDescent="0.25">
      <c r="A499">
        <v>101.01</v>
      </c>
      <c r="B499">
        <v>62.21</v>
      </c>
      <c r="C499">
        <v>126.99</v>
      </c>
    </row>
    <row r="500" spans="1:3" x14ac:dyDescent="0.25">
      <c r="A500">
        <v>102.11</v>
      </c>
      <c r="B500">
        <v>61.89</v>
      </c>
      <c r="C500">
        <v>127.03</v>
      </c>
    </row>
    <row r="501" spans="1:3" x14ac:dyDescent="0.25">
      <c r="A501">
        <v>100.38</v>
      </c>
      <c r="B501">
        <v>59.94</v>
      </c>
      <c r="C501">
        <v>127.11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C5CB-FB93-4711-84EB-E6D15F8E05AF}">
  <dimension ref="A1:M501"/>
  <sheetViews>
    <sheetView workbookViewId="0">
      <selection activeCell="M2" sqref="M2"/>
    </sheetView>
  </sheetViews>
  <sheetFormatPr defaultRowHeight="15" x14ac:dyDescent="0.25"/>
  <cols>
    <col min="13" max="13" width="13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H1">
        <f>MAX(gielda4[ciag_a])</f>
        <v>9</v>
      </c>
      <c r="I1" t="s">
        <v>9</v>
      </c>
      <c r="L1" s="2" t="s">
        <v>7</v>
      </c>
      <c r="M1" s="2" t="s">
        <v>8</v>
      </c>
    </row>
    <row r="2" spans="1:13" x14ac:dyDescent="0.25">
      <c r="A2">
        <v>126</v>
      </c>
      <c r="B2">
        <v>135.43</v>
      </c>
      <c r="C2">
        <v>65.430000000000007</v>
      </c>
      <c r="D2">
        <v>1</v>
      </c>
      <c r="E2">
        <v>1</v>
      </c>
      <c r="F2">
        <v>1</v>
      </c>
      <c r="H2">
        <f>MAX(gielda4[ciag_b])</f>
        <v>4</v>
      </c>
      <c r="I2" t="s">
        <v>10</v>
      </c>
      <c r="L2" s="3">
        <f>MAX(H1:H3)</f>
        <v>12</v>
      </c>
      <c r="M2" s="4" t="str">
        <f>VLOOKUP(L2,H1:I3,2,0)</f>
        <v>C</v>
      </c>
    </row>
    <row r="3" spans="1:13" x14ac:dyDescent="0.25">
      <c r="A3">
        <v>119</v>
      </c>
      <c r="B3">
        <v>134.99</v>
      </c>
      <c r="C3">
        <v>67.06</v>
      </c>
      <c r="D3">
        <f>IF(A3&gt;A2,D2+1,1)</f>
        <v>1</v>
      </c>
      <c r="E3">
        <f>IF(B3&gt;B2,E2+1,1)</f>
        <v>1</v>
      </c>
      <c r="F3">
        <f>IF(C3&gt;C2,F2+1,1)</f>
        <v>2</v>
      </c>
      <c r="H3">
        <f>MAX(gielda4[ciag_c])</f>
        <v>12</v>
      </c>
      <c r="I3" t="s">
        <v>11</v>
      </c>
    </row>
    <row r="4" spans="1:13" x14ac:dyDescent="0.25">
      <c r="A4">
        <v>127</v>
      </c>
      <c r="B4">
        <v>134.04</v>
      </c>
      <c r="C4">
        <v>68.91</v>
      </c>
      <c r="D4">
        <f t="shared" ref="D4:D67" si="0">IF(A4&gt;A3,D3+1,1)</f>
        <v>2</v>
      </c>
      <c r="E4">
        <f t="shared" ref="E4:E67" si="1">IF(B4&gt;B3,E3+1,1)</f>
        <v>1</v>
      </c>
      <c r="F4">
        <f t="shared" ref="F4:F67" si="2">IF(C4&gt;C3,F3+1,1)</f>
        <v>3</v>
      </c>
    </row>
    <row r="5" spans="1:13" x14ac:dyDescent="0.25">
      <c r="A5">
        <v>130</v>
      </c>
      <c r="B5">
        <v>133.76</v>
      </c>
      <c r="C5">
        <v>70.8</v>
      </c>
      <c r="D5">
        <f t="shared" si="0"/>
        <v>3</v>
      </c>
      <c r="E5">
        <f t="shared" si="1"/>
        <v>1</v>
      </c>
      <c r="F5">
        <f t="shared" si="2"/>
        <v>4</v>
      </c>
    </row>
    <row r="6" spans="1:13" x14ac:dyDescent="0.25">
      <c r="A6">
        <v>110</v>
      </c>
      <c r="B6">
        <v>136.72999999999999</v>
      </c>
      <c r="C6">
        <v>72.260000000000005</v>
      </c>
      <c r="D6">
        <f t="shared" si="0"/>
        <v>1</v>
      </c>
      <c r="E6">
        <f t="shared" si="1"/>
        <v>2</v>
      </c>
      <c r="F6">
        <f t="shared" si="2"/>
        <v>5</v>
      </c>
    </row>
    <row r="7" spans="1:13" x14ac:dyDescent="0.25">
      <c r="A7">
        <v>108.71</v>
      </c>
      <c r="B7">
        <v>136.49</v>
      </c>
      <c r="C7">
        <v>73.63</v>
      </c>
      <c r="D7">
        <f t="shared" si="0"/>
        <v>1</v>
      </c>
      <c r="E7">
        <f t="shared" si="1"/>
        <v>1</v>
      </c>
      <c r="F7">
        <f t="shared" si="2"/>
        <v>6</v>
      </c>
    </row>
    <row r="8" spans="1:13" x14ac:dyDescent="0.25">
      <c r="A8">
        <v>109.82</v>
      </c>
      <c r="B8">
        <v>139.22</v>
      </c>
      <c r="C8">
        <v>73.64</v>
      </c>
      <c r="D8">
        <f t="shared" si="0"/>
        <v>2</v>
      </c>
      <c r="E8">
        <f t="shared" si="1"/>
        <v>2</v>
      </c>
      <c r="F8">
        <f t="shared" si="2"/>
        <v>7</v>
      </c>
    </row>
    <row r="9" spans="1:13" x14ac:dyDescent="0.25">
      <c r="A9">
        <v>108.34</v>
      </c>
      <c r="B9">
        <v>138.41</v>
      </c>
      <c r="C9">
        <v>71.739999999999995</v>
      </c>
      <c r="D9">
        <f t="shared" si="0"/>
        <v>1</v>
      </c>
      <c r="E9">
        <f t="shared" si="1"/>
        <v>1</v>
      </c>
      <c r="F9">
        <f t="shared" si="2"/>
        <v>1</v>
      </c>
    </row>
    <row r="10" spans="1:13" x14ac:dyDescent="0.25">
      <c r="A10">
        <v>108.98</v>
      </c>
      <c r="B10">
        <v>137.68</v>
      </c>
      <c r="C10">
        <v>72.89</v>
      </c>
      <c r="D10">
        <f t="shared" si="0"/>
        <v>2</v>
      </c>
      <c r="E10">
        <f t="shared" si="1"/>
        <v>1</v>
      </c>
      <c r="F10">
        <f t="shared" si="2"/>
        <v>2</v>
      </c>
    </row>
    <row r="11" spans="1:13" x14ac:dyDescent="0.25">
      <c r="A11">
        <v>107.72</v>
      </c>
      <c r="B11">
        <v>140.59</v>
      </c>
      <c r="C11">
        <v>74.319999999999993</v>
      </c>
      <c r="D11">
        <f t="shared" si="0"/>
        <v>1</v>
      </c>
      <c r="E11">
        <f t="shared" si="1"/>
        <v>2</v>
      </c>
      <c r="F11">
        <f t="shared" si="2"/>
        <v>3</v>
      </c>
    </row>
    <row r="12" spans="1:13" x14ac:dyDescent="0.25">
      <c r="A12">
        <v>109.1</v>
      </c>
      <c r="B12">
        <v>143.21</v>
      </c>
      <c r="C12">
        <v>75.569999999999993</v>
      </c>
      <c r="D12">
        <f t="shared" si="0"/>
        <v>2</v>
      </c>
      <c r="E12">
        <f t="shared" si="1"/>
        <v>3</v>
      </c>
      <c r="F12">
        <f t="shared" si="2"/>
        <v>4</v>
      </c>
    </row>
    <row r="13" spans="1:13" x14ac:dyDescent="0.25">
      <c r="A13">
        <v>107.73</v>
      </c>
      <c r="B13">
        <v>145.94999999999999</v>
      </c>
      <c r="C13">
        <v>77.37</v>
      </c>
      <c r="D13">
        <f t="shared" si="0"/>
        <v>1</v>
      </c>
      <c r="E13">
        <f t="shared" si="1"/>
        <v>4</v>
      </c>
      <c r="F13">
        <f t="shared" si="2"/>
        <v>5</v>
      </c>
    </row>
    <row r="14" spans="1:13" x14ac:dyDescent="0.25">
      <c r="A14">
        <v>107.75</v>
      </c>
      <c r="B14">
        <v>145.35</v>
      </c>
      <c r="C14">
        <v>75.7</v>
      </c>
      <c r="D14">
        <f t="shared" si="0"/>
        <v>2</v>
      </c>
      <c r="E14">
        <f t="shared" si="1"/>
        <v>1</v>
      </c>
      <c r="F14">
        <f t="shared" si="2"/>
        <v>1</v>
      </c>
    </row>
    <row r="15" spans="1:13" x14ac:dyDescent="0.25">
      <c r="A15">
        <v>110.02</v>
      </c>
      <c r="B15">
        <v>145.35</v>
      </c>
      <c r="C15">
        <v>75.959999999999994</v>
      </c>
      <c r="D15">
        <f t="shared" si="0"/>
        <v>3</v>
      </c>
      <c r="E15">
        <f t="shared" si="1"/>
        <v>1</v>
      </c>
      <c r="F15">
        <f t="shared" si="2"/>
        <v>2</v>
      </c>
    </row>
    <row r="16" spans="1:13" x14ac:dyDescent="0.25">
      <c r="A16">
        <v>112.45</v>
      </c>
      <c r="B16">
        <v>145.24</v>
      </c>
      <c r="C16">
        <v>78.040000000000006</v>
      </c>
      <c r="D16">
        <f t="shared" si="0"/>
        <v>4</v>
      </c>
      <c r="E16">
        <f t="shared" si="1"/>
        <v>1</v>
      </c>
      <c r="F16">
        <f t="shared" si="2"/>
        <v>3</v>
      </c>
    </row>
    <row r="17" spans="1:6" x14ac:dyDescent="0.25">
      <c r="A17">
        <v>110.84</v>
      </c>
      <c r="B17">
        <v>148.19</v>
      </c>
      <c r="C17">
        <v>78.28</v>
      </c>
      <c r="D17">
        <f t="shared" si="0"/>
        <v>1</v>
      </c>
      <c r="E17">
        <f t="shared" si="1"/>
        <v>2</v>
      </c>
      <c r="F17">
        <f t="shared" si="2"/>
        <v>4</v>
      </c>
    </row>
    <row r="18" spans="1:6" x14ac:dyDescent="0.25">
      <c r="A18">
        <v>109.06</v>
      </c>
      <c r="B18">
        <v>146.26</v>
      </c>
      <c r="C18">
        <v>79.41</v>
      </c>
      <c r="D18">
        <f t="shared" si="0"/>
        <v>1</v>
      </c>
      <c r="E18">
        <f t="shared" si="1"/>
        <v>1</v>
      </c>
      <c r="F18">
        <f t="shared" si="2"/>
        <v>5</v>
      </c>
    </row>
    <row r="19" spans="1:6" x14ac:dyDescent="0.25">
      <c r="A19">
        <v>107.28</v>
      </c>
      <c r="B19">
        <v>144.43</v>
      </c>
      <c r="C19">
        <v>77.45</v>
      </c>
      <c r="D19">
        <f t="shared" si="0"/>
        <v>1</v>
      </c>
      <c r="E19">
        <f t="shared" si="1"/>
        <v>1</v>
      </c>
      <c r="F19">
        <f t="shared" si="2"/>
        <v>1</v>
      </c>
    </row>
    <row r="20" spans="1:6" x14ac:dyDescent="0.25">
      <c r="A20">
        <v>108.88</v>
      </c>
      <c r="B20">
        <v>144.19</v>
      </c>
      <c r="C20">
        <v>76.040000000000006</v>
      </c>
      <c r="D20">
        <f t="shared" si="0"/>
        <v>2</v>
      </c>
      <c r="E20">
        <f t="shared" si="1"/>
        <v>1</v>
      </c>
      <c r="F20">
        <f t="shared" si="2"/>
        <v>1</v>
      </c>
    </row>
    <row r="21" spans="1:6" x14ac:dyDescent="0.25">
      <c r="A21">
        <v>111.35</v>
      </c>
      <c r="B21">
        <v>142.59</v>
      </c>
      <c r="C21">
        <v>77.11</v>
      </c>
      <c r="D21">
        <f t="shared" si="0"/>
        <v>3</v>
      </c>
      <c r="E21">
        <f t="shared" si="1"/>
        <v>1</v>
      </c>
      <c r="F21">
        <f t="shared" si="2"/>
        <v>2</v>
      </c>
    </row>
    <row r="22" spans="1:6" x14ac:dyDescent="0.25">
      <c r="A22">
        <v>112.72</v>
      </c>
      <c r="B22">
        <v>142.33000000000001</v>
      </c>
      <c r="C22">
        <v>78.72</v>
      </c>
      <c r="D22">
        <f t="shared" si="0"/>
        <v>4</v>
      </c>
      <c r="E22">
        <f t="shared" si="1"/>
        <v>1</v>
      </c>
      <c r="F22">
        <f t="shared" si="2"/>
        <v>3</v>
      </c>
    </row>
    <row r="23" spans="1:6" x14ac:dyDescent="0.25">
      <c r="A23">
        <v>113.08</v>
      </c>
      <c r="B23">
        <v>141.56</v>
      </c>
      <c r="C23">
        <v>77</v>
      </c>
      <c r="D23">
        <f t="shared" si="0"/>
        <v>5</v>
      </c>
      <c r="E23">
        <f t="shared" si="1"/>
        <v>1</v>
      </c>
      <c r="F23">
        <f t="shared" si="2"/>
        <v>1</v>
      </c>
    </row>
    <row r="24" spans="1:6" x14ac:dyDescent="0.25">
      <c r="A24">
        <v>115.28</v>
      </c>
      <c r="B24">
        <v>139.78</v>
      </c>
      <c r="C24">
        <v>79.03</v>
      </c>
      <c r="D24">
        <f t="shared" si="0"/>
        <v>6</v>
      </c>
      <c r="E24">
        <f t="shared" si="1"/>
        <v>1</v>
      </c>
      <c r="F24">
        <f t="shared" si="2"/>
        <v>2</v>
      </c>
    </row>
    <row r="25" spans="1:6" x14ac:dyDescent="0.25">
      <c r="A25">
        <v>114.25</v>
      </c>
      <c r="B25">
        <v>142.72</v>
      </c>
      <c r="C25">
        <v>77.540000000000006</v>
      </c>
      <c r="D25">
        <f t="shared" si="0"/>
        <v>1</v>
      </c>
      <c r="E25">
        <f t="shared" si="1"/>
        <v>2</v>
      </c>
      <c r="F25">
        <f t="shared" si="2"/>
        <v>1</v>
      </c>
    </row>
    <row r="26" spans="1:6" x14ac:dyDescent="0.25">
      <c r="A26">
        <v>112.65</v>
      </c>
      <c r="B26">
        <v>141.38</v>
      </c>
      <c r="C26">
        <v>76.08</v>
      </c>
      <c r="D26">
        <f t="shared" si="0"/>
        <v>1</v>
      </c>
      <c r="E26">
        <f t="shared" si="1"/>
        <v>1</v>
      </c>
      <c r="F26">
        <f t="shared" si="2"/>
        <v>1</v>
      </c>
    </row>
    <row r="27" spans="1:6" x14ac:dyDescent="0.25">
      <c r="A27">
        <v>115.1</v>
      </c>
      <c r="B27">
        <v>141.34</v>
      </c>
      <c r="C27">
        <v>74.11</v>
      </c>
      <c r="D27">
        <f t="shared" si="0"/>
        <v>2</v>
      </c>
      <c r="E27">
        <f t="shared" si="1"/>
        <v>1</v>
      </c>
      <c r="F27">
        <f t="shared" si="2"/>
        <v>1</v>
      </c>
    </row>
    <row r="28" spans="1:6" x14ac:dyDescent="0.25">
      <c r="A28">
        <v>116.76</v>
      </c>
      <c r="B28">
        <v>140.87</v>
      </c>
      <c r="C28">
        <v>72.23</v>
      </c>
      <c r="D28">
        <f t="shared" si="0"/>
        <v>3</v>
      </c>
      <c r="E28">
        <f t="shared" si="1"/>
        <v>1</v>
      </c>
      <c r="F28">
        <f t="shared" si="2"/>
        <v>1</v>
      </c>
    </row>
    <row r="29" spans="1:6" x14ac:dyDescent="0.25">
      <c r="A29">
        <v>114.96</v>
      </c>
      <c r="B29">
        <v>139.35</v>
      </c>
      <c r="C29">
        <v>72.239999999999995</v>
      </c>
      <c r="D29">
        <f t="shared" si="0"/>
        <v>1</v>
      </c>
      <c r="E29">
        <f t="shared" si="1"/>
        <v>1</v>
      </c>
      <c r="F29">
        <f t="shared" si="2"/>
        <v>2</v>
      </c>
    </row>
    <row r="30" spans="1:6" x14ac:dyDescent="0.25">
      <c r="A30">
        <v>113.89</v>
      </c>
      <c r="B30">
        <v>141.87</v>
      </c>
      <c r="C30">
        <v>74.19</v>
      </c>
      <c r="D30">
        <f t="shared" si="0"/>
        <v>1</v>
      </c>
      <c r="E30">
        <f t="shared" si="1"/>
        <v>2</v>
      </c>
      <c r="F30">
        <f t="shared" si="2"/>
        <v>3</v>
      </c>
    </row>
    <row r="31" spans="1:6" x14ac:dyDescent="0.25">
      <c r="A31">
        <v>112.77</v>
      </c>
      <c r="B31">
        <v>140.41</v>
      </c>
      <c r="C31">
        <v>75.75</v>
      </c>
      <c r="D31">
        <f t="shared" si="0"/>
        <v>1</v>
      </c>
      <c r="E31">
        <f t="shared" si="1"/>
        <v>1</v>
      </c>
      <c r="F31">
        <f t="shared" si="2"/>
        <v>4</v>
      </c>
    </row>
    <row r="32" spans="1:6" x14ac:dyDescent="0.25">
      <c r="A32">
        <v>113.51</v>
      </c>
      <c r="B32">
        <v>138.97999999999999</v>
      </c>
      <c r="C32">
        <v>74.11</v>
      </c>
      <c r="D32">
        <f t="shared" si="0"/>
        <v>2</v>
      </c>
      <c r="E32">
        <f t="shared" si="1"/>
        <v>1</v>
      </c>
      <c r="F32">
        <f t="shared" si="2"/>
        <v>1</v>
      </c>
    </row>
    <row r="33" spans="1:6" x14ac:dyDescent="0.25">
      <c r="A33">
        <v>112.2</v>
      </c>
      <c r="B33">
        <v>137.32</v>
      </c>
      <c r="C33">
        <v>74.75</v>
      </c>
      <c r="D33">
        <f t="shared" si="0"/>
        <v>1</v>
      </c>
      <c r="E33">
        <f t="shared" si="1"/>
        <v>1</v>
      </c>
      <c r="F33">
        <f t="shared" si="2"/>
        <v>2</v>
      </c>
    </row>
    <row r="34" spans="1:6" x14ac:dyDescent="0.25">
      <c r="A34">
        <v>110.36</v>
      </c>
      <c r="B34">
        <v>136.93</v>
      </c>
      <c r="C34">
        <v>72.89</v>
      </c>
      <c r="D34">
        <f t="shared" si="0"/>
        <v>1</v>
      </c>
      <c r="E34">
        <f t="shared" si="1"/>
        <v>1</v>
      </c>
      <c r="F34">
        <f t="shared" si="2"/>
        <v>1</v>
      </c>
    </row>
    <row r="35" spans="1:6" x14ac:dyDescent="0.25">
      <c r="A35">
        <v>112.47</v>
      </c>
      <c r="B35">
        <v>136.37</v>
      </c>
      <c r="C35">
        <v>71.260000000000005</v>
      </c>
      <c r="D35">
        <f t="shared" si="0"/>
        <v>2</v>
      </c>
      <c r="E35">
        <f t="shared" si="1"/>
        <v>1</v>
      </c>
      <c r="F35">
        <f t="shared" si="2"/>
        <v>1</v>
      </c>
    </row>
    <row r="36" spans="1:6" x14ac:dyDescent="0.25">
      <c r="A36">
        <v>112.67</v>
      </c>
      <c r="B36">
        <v>136.24</v>
      </c>
      <c r="C36">
        <v>72.92</v>
      </c>
      <c r="D36">
        <f t="shared" si="0"/>
        <v>3</v>
      </c>
      <c r="E36">
        <f t="shared" si="1"/>
        <v>1</v>
      </c>
      <c r="F36">
        <f t="shared" si="2"/>
        <v>2</v>
      </c>
    </row>
    <row r="37" spans="1:6" x14ac:dyDescent="0.25">
      <c r="A37">
        <v>111.09</v>
      </c>
      <c r="B37">
        <v>134.69</v>
      </c>
      <c r="C37">
        <v>73.63</v>
      </c>
      <c r="D37">
        <f t="shared" si="0"/>
        <v>1</v>
      </c>
      <c r="E37">
        <f t="shared" si="1"/>
        <v>1</v>
      </c>
      <c r="F37">
        <f t="shared" si="2"/>
        <v>3</v>
      </c>
    </row>
    <row r="38" spans="1:6" x14ac:dyDescent="0.25">
      <c r="A38">
        <v>110.06</v>
      </c>
      <c r="B38">
        <v>137.49</v>
      </c>
      <c r="C38">
        <v>72.040000000000006</v>
      </c>
      <c r="D38">
        <f t="shared" si="0"/>
        <v>1</v>
      </c>
      <c r="E38">
        <f t="shared" si="1"/>
        <v>2</v>
      </c>
      <c r="F38">
        <f t="shared" si="2"/>
        <v>1</v>
      </c>
    </row>
    <row r="39" spans="1:6" x14ac:dyDescent="0.25">
      <c r="A39">
        <v>111.55</v>
      </c>
      <c r="B39">
        <v>135.69999999999999</v>
      </c>
      <c r="C39">
        <v>70.16</v>
      </c>
      <c r="D39">
        <f t="shared" si="0"/>
        <v>2</v>
      </c>
      <c r="E39">
        <f t="shared" si="1"/>
        <v>1</v>
      </c>
      <c r="F39">
        <f t="shared" si="2"/>
        <v>1</v>
      </c>
    </row>
    <row r="40" spans="1:6" x14ac:dyDescent="0.25">
      <c r="A40">
        <v>112.25</v>
      </c>
      <c r="B40">
        <v>134.69</v>
      </c>
      <c r="C40">
        <v>72.239999999999995</v>
      </c>
      <c r="D40">
        <f t="shared" si="0"/>
        <v>3</v>
      </c>
      <c r="E40">
        <f t="shared" si="1"/>
        <v>1</v>
      </c>
      <c r="F40">
        <f t="shared" si="2"/>
        <v>2</v>
      </c>
    </row>
    <row r="41" spans="1:6" x14ac:dyDescent="0.25">
      <c r="A41">
        <v>110.59</v>
      </c>
      <c r="B41">
        <v>133.41</v>
      </c>
      <c r="C41">
        <v>70.25</v>
      </c>
      <c r="D41">
        <f t="shared" si="0"/>
        <v>1</v>
      </c>
      <c r="E41">
        <f t="shared" si="1"/>
        <v>1</v>
      </c>
      <c r="F41">
        <f t="shared" si="2"/>
        <v>1</v>
      </c>
    </row>
    <row r="42" spans="1:6" x14ac:dyDescent="0.25">
      <c r="A42">
        <v>109.24</v>
      </c>
      <c r="B42">
        <v>136.24</v>
      </c>
      <c r="C42">
        <v>71.67</v>
      </c>
      <c r="D42">
        <f t="shared" si="0"/>
        <v>1</v>
      </c>
      <c r="E42">
        <f t="shared" si="1"/>
        <v>2</v>
      </c>
      <c r="F42">
        <f t="shared" si="2"/>
        <v>2</v>
      </c>
    </row>
    <row r="43" spans="1:6" x14ac:dyDescent="0.25">
      <c r="A43">
        <v>107.52</v>
      </c>
      <c r="B43">
        <v>136.22</v>
      </c>
      <c r="C43">
        <v>73.099999999999994</v>
      </c>
      <c r="D43">
        <f t="shared" si="0"/>
        <v>1</v>
      </c>
      <c r="E43">
        <f t="shared" si="1"/>
        <v>1</v>
      </c>
      <c r="F43">
        <f t="shared" si="2"/>
        <v>3</v>
      </c>
    </row>
    <row r="44" spans="1:6" x14ac:dyDescent="0.25">
      <c r="A44">
        <v>107.97</v>
      </c>
      <c r="B44">
        <v>135.69999999999999</v>
      </c>
      <c r="C44">
        <v>74.36</v>
      </c>
      <c r="D44">
        <f t="shared" si="0"/>
        <v>2</v>
      </c>
      <c r="E44">
        <f t="shared" si="1"/>
        <v>1</v>
      </c>
      <c r="F44">
        <f t="shared" si="2"/>
        <v>4</v>
      </c>
    </row>
    <row r="45" spans="1:6" x14ac:dyDescent="0.25">
      <c r="A45">
        <v>106.54</v>
      </c>
      <c r="B45">
        <v>134.72</v>
      </c>
      <c r="C45">
        <v>72.81</v>
      </c>
      <c r="D45">
        <f t="shared" si="0"/>
        <v>1</v>
      </c>
      <c r="E45">
        <f t="shared" si="1"/>
        <v>1</v>
      </c>
      <c r="F45">
        <f t="shared" si="2"/>
        <v>1</v>
      </c>
    </row>
    <row r="46" spans="1:6" x14ac:dyDescent="0.25">
      <c r="A46">
        <v>105.18</v>
      </c>
      <c r="B46">
        <v>133.13</v>
      </c>
      <c r="C46">
        <v>71.02</v>
      </c>
      <c r="D46">
        <f t="shared" si="0"/>
        <v>1</v>
      </c>
      <c r="E46">
        <f t="shared" si="1"/>
        <v>1</v>
      </c>
      <c r="F46">
        <f t="shared" si="2"/>
        <v>1</v>
      </c>
    </row>
    <row r="47" spans="1:6" x14ac:dyDescent="0.25">
      <c r="A47">
        <v>103.97</v>
      </c>
      <c r="B47">
        <v>131.47999999999999</v>
      </c>
      <c r="C47">
        <v>72.37</v>
      </c>
      <c r="D47">
        <f t="shared" si="0"/>
        <v>1</v>
      </c>
      <c r="E47">
        <f t="shared" si="1"/>
        <v>1</v>
      </c>
      <c r="F47">
        <f t="shared" si="2"/>
        <v>2</v>
      </c>
    </row>
    <row r="48" spans="1:6" x14ac:dyDescent="0.25">
      <c r="A48">
        <v>105.17</v>
      </c>
      <c r="B48">
        <v>131.35</v>
      </c>
      <c r="C48">
        <v>72.58</v>
      </c>
      <c r="D48">
        <f t="shared" si="0"/>
        <v>2</v>
      </c>
      <c r="E48">
        <f t="shared" si="1"/>
        <v>1</v>
      </c>
      <c r="F48">
        <f t="shared" si="2"/>
        <v>3</v>
      </c>
    </row>
    <row r="49" spans="1:6" x14ac:dyDescent="0.25">
      <c r="A49">
        <v>106.1</v>
      </c>
      <c r="B49">
        <v>131.19999999999999</v>
      </c>
      <c r="C49">
        <v>70.73</v>
      </c>
      <c r="D49">
        <f t="shared" si="0"/>
        <v>3</v>
      </c>
      <c r="E49">
        <f t="shared" si="1"/>
        <v>1</v>
      </c>
      <c r="F49">
        <f t="shared" si="2"/>
        <v>1</v>
      </c>
    </row>
    <row r="50" spans="1:6" x14ac:dyDescent="0.25">
      <c r="A50">
        <v>107.77</v>
      </c>
      <c r="B50">
        <v>130.01</v>
      </c>
      <c r="C50">
        <v>69.03</v>
      </c>
      <c r="D50">
        <f t="shared" si="0"/>
        <v>4</v>
      </c>
      <c r="E50">
        <f t="shared" si="1"/>
        <v>1</v>
      </c>
      <c r="F50">
        <f t="shared" si="2"/>
        <v>1</v>
      </c>
    </row>
    <row r="51" spans="1:6" x14ac:dyDescent="0.25">
      <c r="A51">
        <v>108.02</v>
      </c>
      <c r="B51">
        <v>129.72</v>
      </c>
      <c r="C51">
        <v>70</v>
      </c>
      <c r="D51">
        <f t="shared" si="0"/>
        <v>5</v>
      </c>
      <c r="E51">
        <f t="shared" si="1"/>
        <v>1</v>
      </c>
      <c r="F51">
        <f t="shared" si="2"/>
        <v>2</v>
      </c>
    </row>
    <row r="52" spans="1:6" x14ac:dyDescent="0.25">
      <c r="A52">
        <v>108.88</v>
      </c>
      <c r="B52">
        <v>128.44999999999999</v>
      </c>
      <c r="C52">
        <v>68.27</v>
      </c>
      <c r="D52">
        <f t="shared" si="0"/>
        <v>6</v>
      </c>
      <c r="E52">
        <f t="shared" si="1"/>
        <v>1</v>
      </c>
      <c r="F52">
        <f t="shared" si="2"/>
        <v>1</v>
      </c>
    </row>
    <row r="53" spans="1:6" x14ac:dyDescent="0.25">
      <c r="A53">
        <v>107.26</v>
      </c>
      <c r="B53">
        <v>128.38999999999999</v>
      </c>
      <c r="C53">
        <v>68.97</v>
      </c>
      <c r="D53">
        <f t="shared" si="0"/>
        <v>1</v>
      </c>
      <c r="E53">
        <f t="shared" si="1"/>
        <v>1</v>
      </c>
      <c r="F53">
        <f t="shared" si="2"/>
        <v>2</v>
      </c>
    </row>
    <row r="54" spans="1:6" x14ac:dyDescent="0.25">
      <c r="A54">
        <v>106.11</v>
      </c>
      <c r="B54">
        <v>127.62</v>
      </c>
      <c r="C54">
        <v>67.489999999999995</v>
      </c>
      <c r="D54">
        <f t="shared" si="0"/>
        <v>1</v>
      </c>
      <c r="E54">
        <f t="shared" si="1"/>
        <v>1</v>
      </c>
      <c r="F54">
        <f t="shared" si="2"/>
        <v>1</v>
      </c>
    </row>
    <row r="55" spans="1:6" x14ac:dyDescent="0.25">
      <c r="A55">
        <v>104.42</v>
      </c>
      <c r="B55">
        <v>127.12</v>
      </c>
      <c r="C55">
        <v>67.790000000000006</v>
      </c>
      <c r="D55">
        <f t="shared" si="0"/>
        <v>1</v>
      </c>
      <c r="E55">
        <f t="shared" si="1"/>
        <v>1</v>
      </c>
      <c r="F55">
        <f t="shared" si="2"/>
        <v>2</v>
      </c>
    </row>
    <row r="56" spans="1:6" x14ac:dyDescent="0.25">
      <c r="A56">
        <v>106.04</v>
      </c>
      <c r="B56">
        <v>129.86000000000001</v>
      </c>
      <c r="C56">
        <v>68.91</v>
      </c>
      <c r="D56">
        <f t="shared" si="0"/>
        <v>2</v>
      </c>
      <c r="E56">
        <f t="shared" si="1"/>
        <v>2</v>
      </c>
      <c r="F56">
        <f t="shared" si="2"/>
        <v>3</v>
      </c>
    </row>
    <row r="57" spans="1:6" x14ac:dyDescent="0.25">
      <c r="A57">
        <v>108.4</v>
      </c>
      <c r="B57">
        <v>128.13999999999999</v>
      </c>
      <c r="C57">
        <v>69.81</v>
      </c>
      <c r="D57">
        <f t="shared" si="0"/>
        <v>3</v>
      </c>
      <c r="E57">
        <f t="shared" si="1"/>
        <v>1</v>
      </c>
      <c r="F57">
        <f t="shared" si="2"/>
        <v>4</v>
      </c>
    </row>
    <row r="58" spans="1:6" x14ac:dyDescent="0.25">
      <c r="A58">
        <v>108.53</v>
      </c>
      <c r="B58">
        <v>127.11</v>
      </c>
      <c r="C58">
        <v>67.84</v>
      </c>
      <c r="D58">
        <f t="shared" si="0"/>
        <v>4</v>
      </c>
      <c r="E58">
        <f t="shared" si="1"/>
        <v>1</v>
      </c>
      <c r="F58">
        <f t="shared" si="2"/>
        <v>1</v>
      </c>
    </row>
    <row r="59" spans="1:6" x14ac:dyDescent="0.25">
      <c r="A59">
        <v>109.46</v>
      </c>
      <c r="B59">
        <v>125.12</v>
      </c>
      <c r="C59">
        <v>69.349999999999994</v>
      </c>
      <c r="D59">
        <f t="shared" si="0"/>
        <v>5</v>
      </c>
      <c r="E59">
        <f t="shared" si="1"/>
        <v>1</v>
      </c>
      <c r="F59">
        <f t="shared" si="2"/>
        <v>2</v>
      </c>
    </row>
    <row r="60" spans="1:6" x14ac:dyDescent="0.25">
      <c r="A60">
        <v>108.32</v>
      </c>
      <c r="B60">
        <v>123.31</v>
      </c>
      <c r="C60">
        <v>69.709999999999994</v>
      </c>
      <c r="D60">
        <f t="shared" si="0"/>
        <v>1</v>
      </c>
      <c r="E60">
        <f t="shared" si="1"/>
        <v>1</v>
      </c>
      <c r="F60">
        <f t="shared" si="2"/>
        <v>3</v>
      </c>
    </row>
    <row r="61" spans="1:6" x14ac:dyDescent="0.25">
      <c r="A61">
        <v>106.32</v>
      </c>
      <c r="B61">
        <v>123.23</v>
      </c>
      <c r="C61">
        <v>67.77</v>
      </c>
      <c r="D61">
        <f t="shared" si="0"/>
        <v>1</v>
      </c>
      <c r="E61">
        <f t="shared" si="1"/>
        <v>1</v>
      </c>
      <c r="F61">
        <f t="shared" si="2"/>
        <v>1</v>
      </c>
    </row>
    <row r="62" spans="1:6" x14ac:dyDescent="0.25">
      <c r="A62">
        <v>111.11</v>
      </c>
      <c r="B62">
        <v>126.02</v>
      </c>
      <c r="C62">
        <v>69.61</v>
      </c>
      <c r="D62">
        <f t="shared" si="0"/>
        <v>2</v>
      </c>
      <c r="E62">
        <f t="shared" si="1"/>
        <v>2</v>
      </c>
      <c r="F62">
        <f t="shared" si="2"/>
        <v>2</v>
      </c>
    </row>
    <row r="63" spans="1:6" x14ac:dyDescent="0.25">
      <c r="A63">
        <v>112.07</v>
      </c>
      <c r="B63">
        <v>124.34</v>
      </c>
      <c r="C63">
        <v>71.64</v>
      </c>
      <c r="D63">
        <f t="shared" si="0"/>
        <v>3</v>
      </c>
      <c r="E63">
        <f t="shared" si="1"/>
        <v>1</v>
      </c>
      <c r="F63">
        <f t="shared" si="2"/>
        <v>3</v>
      </c>
    </row>
    <row r="64" spans="1:6" x14ac:dyDescent="0.25">
      <c r="A64">
        <v>110.42</v>
      </c>
      <c r="B64">
        <v>122.71</v>
      </c>
      <c r="C64">
        <v>73.260000000000005</v>
      </c>
      <c r="D64">
        <f t="shared" si="0"/>
        <v>1</v>
      </c>
      <c r="E64">
        <f t="shared" si="1"/>
        <v>1</v>
      </c>
      <c r="F64">
        <f t="shared" si="2"/>
        <v>4</v>
      </c>
    </row>
    <row r="65" spans="1:6" x14ac:dyDescent="0.25">
      <c r="A65">
        <v>108.52</v>
      </c>
      <c r="B65">
        <v>122.53</v>
      </c>
      <c r="C65">
        <v>73.27</v>
      </c>
      <c r="D65">
        <f t="shared" si="0"/>
        <v>1</v>
      </c>
      <c r="E65">
        <f t="shared" si="1"/>
        <v>1</v>
      </c>
      <c r="F65">
        <f t="shared" si="2"/>
        <v>5</v>
      </c>
    </row>
    <row r="66" spans="1:6" x14ac:dyDescent="0.25">
      <c r="A66">
        <v>106.63</v>
      </c>
      <c r="B66">
        <v>122.08</v>
      </c>
      <c r="C66">
        <v>74.290000000000006</v>
      </c>
      <c r="D66">
        <f t="shared" si="0"/>
        <v>1</v>
      </c>
      <c r="E66">
        <f t="shared" si="1"/>
        <v>1</v>
      </c>
      <c r="F66">
        <f t="shared" si="2"/>
        <v>6</v>
      </c>
    </row>
    <row r="67" spans="1:6" x14ac:dyDescent="0.25">
      <c r="A67">
        <v>107.24</v>
      </c>
      <c r="B67">
        <v>124.82</v>
      </c>
      <c r="C67">
        <v>75.55</v>
      </c>
      <c r="D67">
        <f t="shared" si="0"/>
        <v>2</v>
      </c>
      <c r="E67">
        <f t="shared" si="1"/>
        <v>2</v>
      </c>
      <c r="F67">
        <f t="shared" si="2"/>
        <v>7</v>
      </c>
    </row>
    <row r="68" spans="1:6" x14ac:dyDescent="0.25">
      <c r="A68">
        <v>109.24</v>
      </c>
      <c r="B68">
        <v>123.18</v>
      </c>
      <c r="C68">
        <v>76.38</v>
      </c>
      <c r="D68">
        <f t="shared" ref="D68:D131" si="3">IF(A68&gt;A67,D67+1,1)</f>
        <v>3</v>
      </c>
      <c r="E68">
        <f t="shared" ref="E68:E131" si="4">IF(B68&gt;B67,E67+1,1)</f>
        <v>1</v>
      </c>
      <c r="F68">
        <f t="shared" ref="F68:F131" si="5">IF(C68&gt;C67,F67+1,1)</f>
        <v>8</v>
      </c>
    </row>
    <row r="69" spans="1:6" x14ac:dyDescent="0.25">
      <c r="A69">
        <v>108.19</v>
      </c>
      <c r="B69">
        <v>121.65</v>
      </c>
      <c r="C69">
        <v>76.709999999999994</v>
      </c>
      <c r="D69">
        <f t="shared" si="3"/>
        <v>1</v>
      </c>
      <c r="E69">
        <f t="shared" si="4"/>
        <v>1</v>
      </c>
      <c r="F69">
        <f t="shared" si="5"/>
        <v>9</v>
      </c>
    </row>
    <row r="70" spans="1:6" x14ac:dyDescent="0.25">
      <c r="A70">
        <v>106.77</v>
      </c>
      <c r="B70">
        <v>120.46</v>
      </c>
      <c r="C70">
        <v>78.13</v>
      </c>
      <c r="D70">
        <f t="shared" si="3"/>
        <v>1</v>
      </c>
      <c r="E70">
        <f t="shared" si="4"/>
        <v>1</v>
      </c>
      <c r="F70">
        <f t="shared" si="5"/>
        <v>10</v>
      </c>
    </row>
    <row r="71" spans="1:6" x14ac:dyDescent="0.25">
      <c r="A71">
        <v>107.03</v>
      </c>
      <c r="B71">
        <v>118.94</v>
      </c>
      <c r="C71">
        <v>79.709999999999994</v>
      </c>
      <c r="D71">
        <f t="shared" si="3"/>
        <v>2</v>
      </c>
      <c r="E71">
        <f t="shared" si="4"/>
        <v>1</v>
      </c>
      <c r="F71">
        <f t="shared" si="5"/>
        <v>11</v>
      </c>
    </row>
    <row r="72" spans="1:6" x14ac:dyDescent="0.25">
      <c r="A72">
        <v>107.42</v>
      </c>
      <c r="B72">
        <v>121.35</v>
      </c>
      <c r="C72">
        <v>81.349999999999994</v>
      </c>
      <c r="D72">
        <f t="shared" si="3"/>
        <v>3</v>
      </c>
      <c r="E72">
        <f t="shared" si="4"/>
        <v>2</v>
      </c>
      <c r="F72">
        <f t="shared" si="5"/>
        <v>12</v>
      </c>
    </row>
    <row r="73" spans="1:6" x14ac:dyDescent="0.25">
      <c r="A73">
        <v>106.16</v>
      </c>
      <c r="B73">
        <v>119.53</v>
      </c>
      <c r="C73">
        <v>79.41</v>
      </c>
      <c r="D73">
        <f t="shared" si="3"/>
        <v>1</v>
      </c>
      <c r="E73">
        <f t="shared" si="4"/>
        <v>1</v>
      </c>
      <c r="F73">
        <f t="shared" si="5"/>
        <v>1</v>
      </c>
    </row>
    <row r="74" spans="1:6" x14ac:dyDescent="0.25">
      <c r="A74">
        <v>108.3</v>
      </c>
      <c r="B74">
        <v>122.07</v>
      </c>
      <c r="C74">
        <v>77.7</v>
      </c>
      <c r="D74">
        <f t="shared" si="3"/>
        <v>2</v>
      </c>
      <c r="E74">
        <f t="shared" si="4"/>
        <v>2</v>
      </c>
      <c r="F74">
        <f t="shared" si="5"/>
        <v>1</v>
      </c>
    </row>
    <row r="75" spans="1:6" x14ac:dyDescent="0.25">
      <c r="A75">
        <v>106.46</v>
      </c>
      <c r="B75">
        <v>121.46</v>
      </c>
      <c r="C75">
        <v>78.58</v>
      </c>
      <c r="D75">
        <f t="shared" si="3"/>
        <v>1</v>
      </c>
      <c r="E75">
        <f t="shared" si="4"/>
        <v>1</v>
      </c>
      <c r="F75">
        <f t="shared" si="5"/>
        <v>2</v>
      </c>
    </row>
    <row r="76" spans="1:6" x14ac:dyDescent="0.25">
      <c r="A76">
        <v>108.61</v>
      </c>
      <c r="B76">
        <v>121.05</v>
      </c>
      <c r="C76">
        <v>77.02</v>
      </c>
      <c r="D76">
        <f t="shared" si="3"/>
        <v>2</v>
      </c>
      <c r="E76">
        <f t="shared" si="4"/>
        <v>1</v>
      </c>
      <c r="F76">
        <f t="shared" si="5"/>
        <v>1</v>
      </c>
    </row>
    <row r="77" spans="1:6" x14ac:dyDescent="0.25">
      <c r="A77">
        <v>107.56</v>
      </c>
      <c r="B77">
        <v>119.15</v>
      </c>
      <c r="C77">
        <v>75.13</v>
      </c>
      <c r="D77">
        <f t="shared" si="3"/>
        <v>1</v>
      </c>
      <c r="E77">
        <f t="shared" si="4"/>
        <v>1</v>
      </c>
      <c r="F77">
        <f t="shared" si="5"/>
        <v>1</v>
      </c>
    </row>
    <row r="78" spans="1:6" x14ac:dyDescent="0.25">
      <c r="A78">
        <v>109.68</v>
      </c>
      <c r="B78">
        <v>117.48</v>
      </c>
      <c r="C78">
        <v>73.45</v>
      </c>
      <c r="D78">
        <f t="shared" si="3"/>
        <v>2</v>
      </c>
      <c r="E78">
        <f t="shared" si="4"/>
        <v>1</v>
      </c>
      <c r="F78">
        <f t="shared" si="5"/>
        <v>1</v>
      </c>
    </row>
    <row r="79" spans="1:6" x14ac:dyDescent="0.25">
      <c r="A79">
        <v>107.87</v>
      </c>
      <c r="B79">
        <v>120.35</v>
      </c>
      <c r="C79">
        <v>71.930000000000007</v>
      </c>
      <c r="D79">
        <f t="shared" si="3"/>
        <v>1</v>
      </c>
      <c r="E79">
        <f t="shared" si="4"/>
        <v>2</v>
      </c>
      <c r="F79">
        <f t="shared" si="5"/>
        <v>1</v>
      </c>
    </row>
    <row r="80" spans="1:6" x14ac:dyDescent="0.25">
      <c r="A80">
        <v>106.41</v>
      </c>
      <c r="B80">
        <v>119.66</v>
      </c>
      <c r="C80">
        <v>72.959999999999994</v>
      </c>
      <c r="D80">
        <f t="shared" si="3"/>
        <v>1</v>
      </c>
      <c r="E80">
        <f t="shared" si="4"/>
        <v>1</v>
      </c>
      <c r="F80">
        <f t="shared" si="5"/>
        <v>2</v>
      </c>
    </row>
    <row r="81" spans="1:6" x14ac:dyDescent="0.25">
      <c r="A81">
        <v>106.92</v>
      </c>
      <c r="B81">
        <v>117.79</v>
      </c>
      <c r="C81">
        <v>74.28</v>
      </c>
      <c r="D81">
        <f t="shared" si="3"/>
        <v>2</v>
      </c>
      <c r="E81">
        <f t="shared" si="4"/>
        <v>1</v>
      </c>
      <c r="F81">
        <f t="shared" si="5"/>
        <v>3</v>
      </c>
    </row>
    <row r="82" spans="1:6" x14ac:dyDescent="0.25">
      <c r="A82">
        <v>105.03</v>
      </c>
      <c r="B82">
        <v>116.78</v>
      </c>
      <c r="C82">
        <v>75.78</v>
      </c>
      <c r="D82">
        <f t="shared" si="3"/>
        <v>1</v>
      </c>
      <c r="E82">
        <f t="shared" si="4"/>
        <v>1</v>
      </c>
      <c r="F82">
        <f t="shared" si="5"/>
        <v>4</v>
      </c>
    </row>
    <row r="83" spans="1:6" x14ac:dyDescent="0.25">
      <c r="A83">
        <v>103.36</v>
      </c>
      <c r="B83">
        <v>115.69</v>
      </c>
      <c r="C83">
        <v>76.88</v>
      </c>
      <c r="D83">
        <f t="shared" si="3"/>
        <v>1</v>
      </c>
      <c r="E83">
        <f t="shared" si="4"/>
        <v>1</v>
      </c>
      <c r="F83">
        <f t="shared" si="5"/>
        <v>5</v>
      </c>
    </row>
    <row r="84" spans="1:6" x14ac:dyDescent="0.25">
      <c r="A84">
        <v>103.78</v>
      </c>
      <c r="B84">
        <v>114.43</v>
      </c>
      <c r="C84">
        <v>77.36</v>
      </c>
      <c r="D84">
        <f t="shared" si="3"/>
        <v>2</v>
      </c>
      <c r="E84">
        <f t="shared" si="4"/>
        <v>1</v>
      </c>
      <c r="F84">
        <f t="shared" si="5"/>
        <v>6</v>
      </c>
    </row>
    <row r="85" spans="1:6" x14ac:dyDescent="0.25">
      <c r="A85">
        <v>103.98</v>
      </c>
      <c r="B85">
        <v>116.98</v>
      </c>
      <c r="C85">
        <v>75.790000000000006</v>
      </c>
      <c r="D85">
        <f t="shared" si="3"/>
        <v>3</v>
      </c>
      <c r="E85">
        <f t="shared" si="4"/>
        <v>2</v>
      </c>
      <c r="F85">
        <f t="shared" si="5"/>
        <v>1</v>
      </c>
    </row>
    <row r="86" spans="1:6" x14ac:dyDescent="0.25">
      <c r="A86">
        <v>102.21</v>
      </c>
      <c r="B86">
        <v>115.16</v>
      </c>
      <c r="C86">
        <v>77.34</v>
      </c>
      <c r="D86">
        <f t="shared" si="3"/>
        <v>1</v>
      </c>
      <c r="E86">
        <f t="shared" si="4"/>
        <v>1</v>
      </c>
      <c r="F86">
        <f t="shared" si="5"/>
        <v>2</v>
      </c>
    </row>
    <row r="87" spans="1:6" x14ac:dyDescent="0.25">
      <c r="A87">
        <v>100.65</v>
      </c>
      <c r="B87">
        <v>117.73</v>
      </c>
      <c r="C87">
        <v>79.17</v>
      </c>
      <c r="D87">
        <f t="shared" si="3"/>
        <v>1</v>
      </c>
      <c r="E87">
        <f t="shared" si="4"/>
        <v>2</v>
      </c>
      <c r="F87">
        <f t="shared" si="5"/>
        <v>3</v>
      </c>
    </row>
    <row r="88" spans="1:6" x14ac:dyDescent="0.25">
      <c r="A88">
        <v>99.64</v>
      </c>
      <c r="B88">
        <v>116.14</v>
      </c>
      <c r="C88">
        <v>80.760000000000005</v>
      </c>
      <c r="D88">
        <f t="shared" si="3"/>
        <v>1</v>
      </c>
      <c r="E88">
        <f t="shared" si="4"/>
        <v>1</v>
      </c>
      <c r="F88">
        <f t="shared" si="5"/>
        <v>4</v>
      </c>
    </row>
    <row r="89" spans="1:6" x14ac:dyDescent="0.25">
      <c r="A89">
        <v>101.26</v>
      </c>
      <c r="B89">
        <v>114.52</v>
      </c>
      <c r="C89">
        <v>79.02</v>
      </c>
      <c r="D89">
        <f t="shared" si="3"/>
        <v>2</v>
      </c>
      <c r="E89">
        <f t="shared" si="4"/>
        <v>1</v>
      </c>
      <c r="F89">
        <f t="shared" si="5"/>
        <v>1</v>
      </c>
    </row>
    <row r="90" spans="1:6" x14ac:dyDescent="0.25">
      <c r="A90">
        <v>102.85</v>
      </c>
      <c r="B90">
        <v>117.04</v>
      </c>
      <c r="C90">
        <v>79.25</v>
      </c>
      <c r="D90">
        <f t="shared" si="3"/>
        <v>3</v>
      </c>
      <c r="E90">
        <f t="shared" si="4"/>
        <v>2</v>
      </c>
      <c r="F90">
        <f t="shared" si="5"/>
        <v>2</v>
      </c>
    </row>
    <row r="91" spans="1:6" x14ac:dyDescent="0.25">
      <c r="A91">
        <v>101.59</v>
      </c>
      <c r="B91">
        <v>116.49</v>
      </c>
      <c r="C91">
        <v>80.260000000000005</v>
      </c>
      <c r="D91">
        <f t="shared" si="3"/>
        <v>1</v>
      </c>
      <c r="E91">
        <f t="shared" si="4"/>
        <v>1</v>
      </c>
      <c r="F91">
        <f t="shared" si="5"/>
        <v>3</v>
      </c>
    </row>
    <row r="92" spans="1:6" x14ac:dyDescent="0.25">
      <c r="A92">
        <v>102.13</v>
      </c>
      <c r="B92">
        <v>115.06</v>
      </c>
      <c r="C92">
        <v>81.260000000000005</v>
      </c>
      <c r="D92">
        <f t="shared" si="3"/>
        <v>2</v>
      </c>
      <c r="E92">
        <f t="shared" si="4"/>
        <v>1</v>
      </c>
      <c r="F92">
        <f t="shared" si="5"/>
        <v>4</v>
      </c>
    </row>
    <row r="93" spans="1:6" x14ac:dyDescent="0.25">
      <c r="A93">
        <v>100.74</v>
      </c>
      <c r="B93">
        <v>117.47</v>
      </c>
      <c r="C93">
        <v>81.64</v>
      </c>
      <c r="D93">
        <f t="shared" si="3"/>
        <v>1</v>
      </c>
      <c r="E93">
        <f t="shared" si="4"/>
        <v>2</v>
      </c>
      <c r="F93">
        <f t="shared" si="5"/>
        <v>5</v>
      </c>
    </row>
    <row r="94" spans="1:6" x14ac:dyDescent="0.25">
      <c r="A94">
        <v>99.12</v>
      </c>
      <c r="B94">
        <v>120.19</v>
      </c>
      <c r="C94">
        <v>79.849999999999994</v>
      </c>
      <c r="D94">
        <f t="shared" si="3"/>
        <v>1</v>
      </c>
      <c r="E94">
        <f t="shared" si="4"/>
        <v>3</v>
      </c>
      <c r="F94">
        <f t="shared" si="5"/>
        <v>1</v>
      </c>
    </row>
    <row r="95" spans="1:6" x14ac:dyDescent="0.25">
      <c r="A95">
        <v>99.13</v>
      </c>
      <c r="B95">
        <v>122.89</v>
      </c>
      <c r="C95">
        <v>81.540000000000006</v>
      </c>
      <c r="D95">
        <f t="shared" si="3"/>
        <v>2</v>
      </c>
      <c r="E95">
        <f t="shared" si="4"/>
        <v>4</v>
      </c>
      <c r="F95">
        <f t="shared" si="5"/>
        <v>2</v>
      </c>
    </row>
    <row r="96" spans="1:6" x14ac:dyDescent="0.25">
      <c r="A96">
        <v>99.6</v>
      </c>
      <c r="B96">
        <v>122.61</v>
      </c>
      <c r="C96">
        <v>79.87</v>
      </c>
      <c r="D96">
        <f t="shared" si="3"/>
        <v>3</v>
      </c>
      <c r="E96">
        <f t="shared" si="4"/>
        <v>1</v>
      </c>
      <c r="F96">
        <f t="shared" si="5"/>
        <v>1</v>
      </c>
    </row>
    <row r="97" spans="1:6" x14ac:dyDescent="0.25">
      <c r="A97">
        <v>98.53</v>
      </c>
      <c r="B97">
        <v>122.59</v>
      </c>
      <c r="C97">
        <v>80</v>
      </c>
      <c r="D97">
        <f t="shared" si="3"/>
        <v>1</v>
      </c>
      <c r="E97">
        <f t="shared" si="4"/>
        <v>1</v>
      </c>
      <c r="F97">
        <f t="shared" si="5"/>
        <v>2</v>
      </c>
    </row>
    <row r="98" spans="1:6" x14ac:dyDescent="0.25">
      <c r="A98">
        <v>98.74</v>
      </c>
      <c r="B98">
        <v>125.49</v>
      </c>
      <c r="C98">
        <v>81.010000000000005</v>
      </c>
      <c r="D98">
        <f t="shared" si="3"/>
        <v>2</v>
      </c>
      <c r="E98">
        <f t="shared" si="4"/>
        <v>2</v>
      </c>
      <c r="F98">
        <f t="shared" si="5"/>
        <v>3</v>
      </c>
    </row>
    <row r="99" spans="1:6" x14ac:dyDescent="0.25">
      <c r="A99">
        <v>98.96</v>
      </c>
      <c r="B99">
        <v>127.95</v>
      </c>
      <c r="C99">
        <v>79.17</v>
      </c>
      <c r="D99">
        <f t="shared" si="3"/>
        <v>3</v>
      </c>
      <c r="E99">
        <f t="shared" si="4"/>
        <v>3</v>
      </c>
      <c r="F99">
        <f t="shared" si="5"/>
        <v>1</v>
      </c>
    </row>
    <row r="100" spans="1:6" x14ac:dyDescent="0.25">
      <c r="A100">
        <v>97.74</v>
      </c>
      <c r="B100">
        <v>126.34</v>
      </c>
      <c r="C100">
        <v>80.290000000000006</v>
      </c>
      <c r="D100">
        <f t="shared" si="3"/>
        <v>1</v>
      </c>
      <c r="E100">
        <f t="shared" si="4"/>
        <v>1</v>
      </c>
      <c r="F100">
        <f t="shared" si="5"/>
        <v>2</v>
      </c>
    </row>
    <row r="101" spans="1:6" x14ac:dyDescent="0.25">
      <c r="A101">
        <v>95.84</v>
      </c>
      <c r="B101">
        <v>128.94</v>
      </c>
      <c r="C101">
        <v>81.599999999999994</v>
      </c>
      <c r="D101">
        <f t="shared" si="3"/>
        <v>1</v>
      </c>
      <c r="E101">
        <f t="shared" si="4"/>
        <v>2</v>
      </c>
      <c r="F101">
        <f t="shared" si="5"/>
        <v>3</v>
      </c>
    </row>
    <row r="102" spans="1:6" x14ac:dyDescent="0.25">
      <c r="A102">
        <v>94.12</v>
      </c>
      <c r="B102">
        <v>131.63999999999999</v>
      </c>
      <c r="C102">
        <v>82.75</v>
      </c>
      <c r="D102">
        <f t="shared" si="3"/>
        <v>1</v>
      </c>
      <c r="E102">
        <f t="shared" si="4"/>
        <v>3</v>
      </c>
      <c r="F102">
        <f t="shared" si="5"/>
        <v>4</v>
      </c>
    </row>
    <row r="103" spans="1:6" x14ac:dyDescent="0.25">
      <c r="A103">
        <v>92.92</v>
      </c>
      <c r="B103">
        <v>134.62</v>
      </c>
      <c r="C103">
        <v>83.09</v>
      </c>
      <c r="D103">
        <f t="shared" si="3"/>
        <v>1</v>
      </c>
      <c r="E103">
        <f t="shared" si="4"/>
        <v>4</v>
      </c>
      <c r="F103">
        <f t="shared" si="5"/>
        <v>5</v>
      </c>
    </row>
    <row r="104" spans="1:6" x14ac:dyDescent="0.25">
      <c r="A104">
        <v>91.81</v>
      </c>
      <c r="B104">
        <v>134.53</v>
      </c>
      <c r="C104">
        <v>84.09</v>
      </c>
      <c r="D104">
        <f t="shared" si="3"/>
        <v>1</v>
      </c>
      <c r="E104">
        <f t="shared" si="4"/>
        <v>1</v>
      </c>
      <c r="F104">
        <f t="shared" si="5"/>
        <v>6</v>
      </c>
    </row>
    <row r="105" spans="1:6" x14ac:dyDescent="0.25">
      <c r="A105">
        <v>90.67</v>
      </c>
      <c r="B105">
        <v>137.36000000000001</v>
      </c>
      <c r="C105">
        <v>85.17</v>
      </c>
      <c r="D105">
        <f t="shared" si="3"/>
        <v>1</v>
      </c>
      <c r="E105">
        <f t="shared" si="4"/>
        <v>2</v>
      </c>
      <c r="F105">
        <f t="shared" si="5"/>
        <v>7</v>
      </c>
    </row>
    <row r="106" spans="1:6" x14ac:dyDescent="0.25">
      <c r="A106">
        <v>89</v>
      </c>
      <c r="B106">
        <v>136.86000000000001</v>
      </c>
      <c r="C106">
        <v>86</v>
      </c>
      <c r="D106">
        <f t="shared" si="3"/>
        <v>1</v>
      </c>
      <c r="E106">
        <f t="shared" si="4"/>
        <v>1</v>
      </c>
      <c r="F106">
        <f t="shared" si="5"/>
        <v>8</v>
      </c>
    </row>
    <row r="107" spans="1:6" x14ac:dyDescent="0.25">
      <c r="A107">
        <v>91.41</v>
      </c>
      <c r="B107">
        <v>136.07</v>
      </c>
      <c r="C107">
        <v>84.14</v>
      </c>
      <c r="D107">
        <f t="shared" si="3"/>
        <v>2</v>
      </c>
      <c r="E107">
        <f t="shared" si="4"/>
        <v>1</v>
      </c>
      <c r="F107">
        <f t="shared" si="5"/>
        <v>1</v>
      </c>
    </row>
    <row r="108" spans="1:6" x14ac:dyDescent="0.25">
      <c r="A108">
        <v>89.57</v>
      </c>
      <c r="B108">
        <v>134.57</v>
      </c>
      <c r="C108">
        <v>86.19</v>
      </c>
      <c r="D108">
        <f t="shared" si="3"/>
        <v>1</v>
      </c>
      <c r="E108">
        <f t="shared" si="4"/>
        <v>1</v>
      </c>
      <c r="F108">
        <f t="shared" si="5"/>
        <v>2</v>
      </c>
    </row>
    <row r="109" spans="1:6" x14ac:dyDescent="0.25">
      <c r="A109">
        <v>87.61</v>
      </c>
      <c r="B109">
        <v>134.38</v>
      </c>
      <c r="C109">
        <v>86.34</v>
      </c>
      <c r="D109">
        <f t="shared" si="3"/>
        <v>1</v>
      </c>
      <c r="E109">
        <f t="shared" si="4"/>
        <v>1</v>
      </c>
      <c r="F109">
        <f t="shared" si="5"/>
        <v>3</v>
      </c>
    </row>
    <row r="110" spans="1:6" x14ac:dyDescent="0.25">
      <c r="A110">
        <v>86.05</v>
      </c>
      <c r="B110">
        <v>132.80000000000001</v>
      </c>
      <c r="C110">
        <v>87.75</v>
      </c>
      <c r="D110">
        <f t="shared" si="3"/>
        <v>1</v>
      </c>
      <c r="E110">
        <f t="shared" si="4"/>
        <v>1</v>
      </c>
      <c r="F110">
        <f t="shared" si="5"/>
        <v>4</v>
      </c>
    </row>
    <row r="111" spans="1:6" x14ac:dyDescent="0.25">
      <c r="A111">
        <v>84.74</v>
      </c>
      <c r="B111">
        <v>131.24</v>
      </c>
      <c r="C111">
        <v>86.13</v>
      </c>
      <c r="D111">
        <f t="shared" si="3"/>
        <v>1</v>
      </c>
      <c r="E111">
        <f t="shared" si="4"/>
        <v>1</v>
      </c>
      <c r="F111">
        <f t="shared" si="5"/>
        <v>1</v>
      </c>
    </row>
    <row r="112" spans="1:6" x14ac:dyDescent="0.25">
      <c r="A112">
        <v>82.99</v>
      </c>
      <c r="B112">
        <v>129.4</v>
      </c>
      <c r="C112">
        <v>87.39</v>
      </c>
      <c r="D112">
        <f t="shared" si="3"/>
        <v>1</v>
      </c>
      <c r="E112">
        <f t="shared" si="4"/>
        <v>1</v>
      </c>
      <c r="F112">
        <f t="shared" si="5"/>
        <v>2</v>
      </c>
    </row>
    <row r="113" spans="1:6" x14ac:dyDescent="0.25">
      <c r="A113">
        <v>83.24</v>
      </c>
      <c r="B113">
        <v>128.88999999999999</v>
      </c>
      <c r="C113">
        <v>88.8</v>
      </c>
      <c r="D113">
        <f t="shared" si="3"/>
        <v>2</v>
      </c>
      <c r="E113">
        <f t="shared" si="4"/>
        <v>1</v>
      </c>
      <c r="F113">
        <f t="shared" si="5"/>
        <v>3</v>
      </c>
    </row>
    <row r="114" spans="1:6" x14ac:dyDescent="0.25">
      <c r="A114">
        <v>82.01</v>
      </c>
      <c r="B114">
        <v>131.63</v>
      </c>
      <c r="C114">
        <v>89.88</v>
      </c>
      <c r="D114">
        <f t="shared" si="3"/>
        <v>1</v>
      </c>
      <c r="E114">
        <f t="shared" si="4"/>
        <v>2</v>
      </c>
      <c r="F114">
        <f t="shared" si="5"/>
        <v>4</v>
      </c>
    </row>
    <row r="115" spans="1:6" x14ac:dyDescent="0.25">
      <c r="A115">
        <v>83.78</v>
      </c>
      <c r="B115">
        <v>130.61000000000001</v>
      </c>
      <c r="C115">
        <v>91.83</v>
      </c>
      <c r="D115">
        <f t="shared" si="3"/>
        <v>2</v>
      </c>
      <c r="E115">
        <f t="shared" si="4"/>
        <v>1</v>
      </c>
      <c r="F115">
        <f t="shared" si="5"/>
        <v>5</v>
      </c>
    </row>
    <row r="116" spans="1:6" x14ac:dyDescent="0.25">
      <c r="A116">
        <v>84.58</v>
      </c>
      <c r="B116">
        <v>129.29</v>
      </c>
      <c r="C116">
        <v>93.53</v>
      </c>
      <c r="D116">
        <f t="shared" si="3"/>
        <v>3</v>
      </c>
      <c r="E116">
        <f t="shared" si="4"/>
        <v>1</v>
      </c>
      <c r="F116">
        <f t="shared" si="5"/>
        <v>6</v>
      </c>
    </row>
    <row r="117" spans="1:6" x14ac:dyDescent="0.25">
      <c r="A117">
        <v>83.54</v>
      </c>
      <c r="B117">
        <v>128.63999999999999</v>
      </c>
      <c r="C117">
        <v>93.72</v>
      </c>
      <c r="D117">
        <f t="shared" si="3"/>
        <v>1</v>
      </c>
      <c r="E117">
        <f t="shared" si="4"/>
        <v>1</v>
      </c>
      <c r="F117">
        <f t="shared" si="5"/>
        <v>7</v>
      </c>
    </row>
    <row r="118" spans="1:6" x14ac:dyDescent="0.25">
      <c r="A118">
        <v>81.98</v>
      </c>
      <c r="B118">
        <v>126.95</v>
      </c>
      <c r="C118">
        <v>94.47</v>
      </c>
      <c r="D118">
        <f t="shared" si="3"/>
        <v>1</v>
      </c>
      <c r="E118">
        <f t="shared" si="4"/>
        <v>1</v>
      </c>
      <c r="F118">
        <f t="shared" si="5"/>
        <v>8</v>
      </c>
    </row>
    <row r="119" spans="1:6" x14ac:dyDescent="0.25">
      <c r="A119">
        <v>80.83</v>
      </c>
      <c r="B119">
        <v>129.85</v>
      </c>
      <c r="C119">
        <v>94.65</v>
      </c>
      <c r="D119">
        <f t="shared" si="3"/>
        <v>1</v>
      </c>
      <c r="E119">
        <f t="shared" si="4"/>
        <v>2</v>
      </c>
      <c r="F119">
        <f t="shared" si="5"/>
        <v>9</v>
      </c>
    </row>
    <row r="120" spans="1:6" x14ac:dyDescent="0.25">
      <c r="A120">
        <v>82.36</v>
      </c>
      <c r="B120">
        <v>132.72</v>
      </c>
      <c r="C120">
        <v>92.86</v>
      </c>
      <c r="D120">
        <f t="shared" si="3"/>
        <v>2</v>
      </c>
      <c r="E120">
        <f t="shared" si="4"/>
        <v>3</v>
      </c>
      <c r="F120">
        <f t="shared" si="5"/>
        <v>1</v>
      </c>
    </row>
    <row r="121" spans="1:6" x14ac:dyDescent="0.25">
      <c r="A121">
        <v>84.09</v>
      </c>
      <c r="B121">
        <v>131.19999999999999</v>
      </c>
      <c r="C121">
        <v>94.21</v>
      </c>
      <c r="D121">
        <f t="shared" si="3"/>
        <v>3</v>
      </c>
      <c r="E121">
        <f t="shared" si="4"/>
        <v>1</v>
      </c>
      <c r="F121">
        <f t="shared" si="5"/>
        <v>2</v>
      </c>
    </row>
    <row r="122" spans="1:6" x14ac:dyDescent="0.25">
      <c r="A122">
        <v>84.24</v>
      </c>
      <c r="B122">
        <v>130.31</v>
      </c>
      <c r="C122">
        <v>96.18</v>
      </c>
      <c r="D122">
        <f t="shared" si="3"/>
        <v>4</v>
      </c>
      <c r="E122">
        <f t="shared" si="4"/>
        <v>1</v>
      </c>
      <c r="F122">
        <f t="shared" si="5"/>
        <v>3</v>
      </c>
    </row>
    <row r="123" spans="1:6" x14ac:dyDescent="0.25">
      <c r="A123">
        <v>82.95</v>
      </c>
      <c r="B123">
        <v>129.08000000000001</v>
      </c>
      <c r="C123">
        <v>96.18</v>
      </c>
      <c r="D123">
        <f t="shared" si="3"/>
        <v>1</v>
      </c>
      <c r="E123">
        <f t="shared" si="4"/>
        <v>1</v>
      </c>
      <c r="F123">
        <f t="shared" si="5"/>
        <v>1</v>
      </c>
    </row>
    <row r="124" spans="1:6" x14ac:dyDescent="0.25">
      <c r="A124">
        <v>81.31</v>
      </c>
      <c r="B124">
        <v>131.88</v>
      </c>
      <c r="C124">
        <v>94.72</v>
      </c>
      <c r="D124">
        <f t="shared" si="3"/>
        <v>1</v>
      </c>
      <c r="E124">
        <f t="shared" si="4"/>
        <v>2</v>
      </c>
      <c r="F124">
        <f t="shared" si="5"/>
        <v>1</v>
      </c>
    </row>
    <row r="125" spans="1:6" x14ac:dyDescent="0.25">
      <c r="A125">
        <v>79.98</v>
      </c>
      <c r="B125">
        <v>134.6</v>
      </c>
      <c r="C125">
        <v>95.97</v>
      </c>
      <c r="D125">
        <f t="shared" si="3"/>
        <v>1</v>
      </c>
      <c r="E125">
        <f t="shared" si="4"/>
        <v>3</v>
      </c>
      <c r="F125">
        <f t="shared" si="5"/>
        <v>2</v>
      </c>
    </row>
    <row r="126" spans="1:6" x14ac:dyDescent="0.25">
      <c r="A126">
        <v>82.43</v>
      </c>
      <c r="B126">
        <v>137.30000000000001</v>
      </c>
      <c r="C126">
        <v>94.21</v>
      </c>
      <c r="D126">
        <f t="shared" si="3"/>
        <v>2</v>
      </c>
      <c r="E126">
        <f t="shared" si="4"/>
        <v>4</v>
      </c>
      <c r="F126">
        <f t="shared" si="5"/>
        <v>1</v>
      </c>
    </row>
    <row r="127" spans="1:6" x14ac:dyDescent="0.25">
      <c r="A127">
        <v>82.52</v>
      </c>
      <c r="B127">
        <v>136.16</v>
      </c>
      <c r="C127">
        <v>95.42</v>
      </c>
      <c r="D127">
        <f t="shared" si="3"/>
        <v>3</v>
      </c>
      <c r="E127">
        <f t="shared" si="4"/>
        <v>1</v>
      </c>
      <c r="F127">
        <f t="shared" si="5"/>
        <v>2</v>
      </c>
    </row>
    <row r="128" spans="1:6" x14ac:dyDescent="0.25">
      <c r="A128">
        <v>84.65</v>
      </c>
      <c r="B128">
        <v>138.69999999999999</v>
      </c>
      <c r="C128">
        <v>93.76</v>
      </c>
      <c r="D128">
        <f t="shared" si="3"/>
        <v>4</v>
      </c>
      <c r="E128">
        <f t="shared" si="4"/>
        <v>2</v>
      </c>
      <c r="F128">
        <f t="shared" si="5"/>
        <v>1</v>
      </c>
    </row>
    <row r="129" spans="1:6" x14ac:dyDescent="0.25">
      <c r="A129">
        <v>86.94</v>
      </c>
      <c r="B129">
        <v>141.12</v>
      </c>
      <c r="C129">
        <v>94.56</v>
      </c>
      <c r="D129">
        <f t="shared" si="3"/>
        <v>5</v>
      </c>
      <c r="E129">
        <f t="shared" si="4"/>
        <v>3</v>
      </c>
      <c r="F129">
        <f t="shared" si="5"/>
        <v>2</v>
      </c>
    </row>
    <row r="130" spans="1:6" x14ac:dyDescent="0.25">
      <c r="A130">
        <v>85.55</v>
      </c>
      <c r="B130">
        <v>139.78</v>
      </c>
      <c r="C130">
        <v>92.73</v>
      </c>
      <c r="D130">
        <f t="shared" si="3"/>
        <v>1</v>
      </c>
      <c r="E130">
        <f t="shared" si="4"/>
        <v>1</v>
      </c>
      <c r="F130">
        <f t="shared" si="5"/>
        <v>1</v>
      </c>
    </row>
    <row r="131" spans="1:6" x14ac:dyDescent="0.25">
      <c r="A131">
        <v>83.97</v>
      </c>
      <c r="B131">
        <v>139.46</v>
      </c>
      <c r="C131">
        <v>93.24</v>
      </c>
      <c r="D131">
        <f t="shared" si="3"/>
        <v>1</v>
      </c>
      <c r="E131">
        <f t="shared" si="4"/>
        <v>1</v>
      </c>
      <c r="F131">
        <f t="shared" si="5"/>
        <v>2</v>
      </c>
    </row>
    <row r="132" spans="1:6" x14ac:dyDescent="0.25">
      <c r="A132">
        <v>86.02</v>
      </c>
      <c r="B132">
        <v>137.97</v>
      </c>
      <c r="C132">
        <v>94.61</v>
      </c>
      <c r="D132">
        <f t="shared" ref="D132:D195" si="6">IF(A132&gt;A131,D131+1,1)</f>
        <v>2</v>
      </c>
      <c r="E132">
        <f t="shared" ref="E132:E195" si="7">IF(B132&gt;B131,E131+1,1)</f>
        <v>1</v>
      </c>
      <c r="F132">
        <f t="shared" ref="F132:F195" si="8">IF(C132&gt;C131,F131+1,1)</f>
        <v>3</v>
      </c>
    </row>
    <row r="133" spans="1:6" x14ac:dyDescent="0.25">
      <c r="A133">
        <v>86.22</v>
      </c>
      <c r="B133">
        <v>140.63999999999999</v>
      </c>
      <c r="C133">
        <v>95.66</v>
      </c>
      <c r="D133">
        <f t="shared" si="6"/>
        <v>3</v>
      </c>
      <c r="E133">
        <f t="shared" si="7"/>
        <v>2</v>
      </c>
      <c r="F133">
        <f t="shared" si="8"/>
        <v>4</v>
      </c>
    </row>
    <row r="134" spans="1:6" x14ac:dyDescent="0.25">
      <c r="A134">
        <v>85.22</v>
      </c>
      <c r="B134">
        <v>140.30000000000001</v>
      </c>
      <c r="C134">
        <v>96.73</v>
      </c>
      <c r="D134">
        <f t="shared" si="6"/>
        <v>1</v>
      </c>
      <c r="E134">
        <f t="shared" si="7"/>
        <v>1</v>
      </c>
      <c r="F134">
        <f t="shared" si="8"/>
        <v>5</v>
      </c>
    </row>
    <row r="135" spans="1:6" x14ac:dyDescent="0.25">
      <c r="A135">
        <v>87.49</v>
      </c>
      <c r="B135">
        <v>140.18</v>
      </c>
      <c r="C135">
        <v>98.18</v>
      </c>
      <c r="D135">
        <f t="shared" si="6"/>
        <v>2</v>
      </c>
      <c r="E135">
        <f t="shared" si="7"/>
        <v>1</v>
      </c>
      <c r="F135">
        <f t="shared" si="8"/>
        <v>6</v>
      </c>
    </row>
    <row r="136" spans="1:6" x14ac:dyDescent="0.25">
      <c r="A136">
        <v>86.28</v>
      </c>
      <c r="B136">
        <v>138.26</v>
      </c>
      <c r="C136">
        <v>96.62</v>
      </c>
      <c r="D136">
        <f t="shared" si="6"/>
        <v>1</v>
      </c>
      <c r="E136">
        <f t="shared" si="7"/>
        <v>1</v>
      </c>
      <c r="F136">
        <f t="shared" si="8"/>
        <v>1</v>
      </c>
    </row>
    <row r="137" spans="1:6" x14ac:dyDescent="0.25">
      <c r="A137">
        <v>85.13</v>
      </c>
      <c r="B137">
        <v>136.72</v>
      </c>
      <c r="C137">
        <v>98.19</v>
      </c>
      <c r="D137">
        <f t="shared" si="6"/>
        <v>1</v>
      </c>
      <c r="E137">
        <f t="shared" si="7"/>
        <v>1</v>
      </c>
      <c r="F137">
        <f t="shared" si="8"/>
        <v>2</v>
      </c>
    </row>
    <row r="138" spans="1:6" x14ac:dyDescent="0.25">
      <c r="A138">
        <v>85.52</v>
      </c>
      <c r="B138">
        <v>136.54</v>
      </c>
      <c r="C138">
        <v>99.72</v>
      </c>
      <c r="D138">
        <f t="shared" si="6"/>
        <v>2</v>
      </c>
      <c r="E138">
        <f t="shared" si="7"/>
        <v>1</v>
      </c>
      <c r="F138">
        <f t="shared" si="8"/>
        <v>3</v>
      </c>
    </row>
    <row r="139" spans="1:6" x14ac:dyDescent="0.25">
      <c r="A139">
        <v>87.25</v>
      </c>
      <c r="B139">
        <v>135.38999999999999</v>
      </c>
      <c r="C139">
        <v>100.95</v>
      </c>
      <c r="D139">
        <f t="shared" si="6"/>
        <v>3</v>
      </c>
      <c r="E139">
        <f t="shared" si="7"/>
        <v>1</v>
      </c>
      <c r="F139">
        <f t="shared" si="8"/>
        <v>4</v>
      </c>
    </row>
    <row r="140" spans="1:6" x14ac:dyDescent="0.25">
      <c r="A140">
        <v>86.24</v>
      </c>
      <c r="B140">
        <v>134.08000000000001</v>
      </c>
      <c r="C140">
        <v>99.54</v>
      </c>
      <c r="D140">
        <f t="shared" si="6"/>
        <v>1</v>
      </c>
      <c r="E140">
        <f t="shared" si="7"/>
        <v>1</v>
      </c>
      <c r="F140">
        <f t="shared" si="8"/>
        <v>1</v>
      </c>
    </row>
    <row r="141" spans="1:6" x14ac:dyDescent="0.25">
      <c r="A141">
        <v>84.92</v>
      </c>
      <c r="B141">
        <v>133.26</v>
      </c>
      <c r="C141">
        <v>101.54</v>
      </c>
      <c r="D141">
        <f t="shared" si="6"/>
        <v>1</v>
      </c>
      <c r="E141">
        <f t="shared" si="7"/>
        <v>1</v>
      </c>
      <c r="F141">
        <f t="shared" si="8"/>
        <v>2</v>
      </c>
    </row>
    <row r="142" spans="1:6" x14ac:dyDescent="0.25">
      <c r="A142">
        <v>87.16</v>
      </c>
      <c r="B142">
        <v>132.34</v>
      </c>
      <c r="C142">
        <v>101.73</v>
      </c>
      <c r="D142">
        <f t="shared" si="6"/>
        <v>2</v>
      </c>
      <c r="E142">
        <f t="shared" si="7"/>
        <v>1</v>
      </c>
      <c r="F142">
        <f t="shared" si="8"/>
        <v>3</v>
      </c>
    </row>
    <row r="143" spans="1:6" x14ac:dyDescent="0.25">
      <c r="A143">
        <v>85.98</v>
      </c>
      <c r="B143">
        <v>135.11000000000001</v>
      </c>
      <c r="C143">
        <v>101.74</v>
      </c>
      <c r="D143">
        <f t="shared" si="6"/>
        <v>1</v>
      </c>
      <c r="E143">
        <f t="shared" si="7"/>
        <v>2</v>
      </c>
      <c r="F143">
        <f t="shared" si="8"/>
        <v>4</v>
      </c>
    </row>
    <row r="144" spans="1:6" x14ac:dyDescent="0.25">
      <c r="A144">
        <v>88.4</v>
      </c>
      <c r="B144">
        <v>135</v>
      </c>
      <c r="C144">
        <v>100.01</v>
      </c>
      <c r="D144">
        <f t="shared" si="6"/>
        <v>2</v>
      </c>
      <c r="E144">
        <f t="shared" si="7"/>
        <v>1</v>
      </c>
      <c r="F144">
        <f t="shared" si="8"/>
        <v>1</v>
      </c>
    </row>
    <row r="145" spans="1:6" x14ac:dyDescent="0.25">
      <c r="A145">
        <v>86.92</v>
      </c>
      <c r="B145">
        <v>133.35</v>
      </c>
      <c r="C145">
        <v>98.39</v>
      </c>
      <c r="D145">
        <f t="shared" si="6"/>
        <v>1</v>
      </c>
      <c r="E145">
        <f t="shared" si="7"/>
        <v>1</v>
      </c>
      <c r="F145">
        <f t="shared" si="8"/>
        <v>1</v>
      </c>
    </row>
    <row r="146" spans="1:6" x14ac:dyDescent="0.25">
      <c r="A146">
        <v>85.46</v>
      </c>
      <c r="B146">
        <v>132.09</v>
      </c>
      <c r="C146">
        <v>96.49</v>
      </c>
      <c r="D146">
        <f t="shared" si="6"/>
        <v>1</v>
      </c>
      <c r="E146">
        <f t="shared" si="7"/>
        <v>1</v>
      </c>
      <c r="F146">
        <f t="shared" si="8"/>
        <v>1</v>
      </c>
    </row>
    <row r="147" spans="1:6" x14ac:dyDescent="0.25">
      <c r="A147">
        <v>86.18</v>
      </c>
      <c r="B147">
        <v>131.82</v>
      </c>
      <c r="C147">
        <v>97.95</v>
      </c>
      <c r="D147">
        <f t="shared" si="6"/>
        <v>2</v>
      </c>
      <c r="E147">
        <f t="shared" si="7"/>
        <v>1</v>
      </c>
      <c r="F147">
        <f t="shared" si="8"/>
        <v>2</v>
      </c>
    </row>
    <row r="148" spans="1:6" x14ac:dyDescent="0.25">
      <c r="A148">
        <v>85.09</v>
      </c>
      <c r="B148">
        <v>134.54</v>
      </c>
      <c r="C148">
        <v>96.33</v>
      </c>
      <c r="D148">
        <f t="shared" si="6"/>
        <v>1</v>
      </c>
      <c r="E148">
        <f t="shared" si="7"/>
        <v>2</v>
      </c>
      <c r="F148">
        <f t="shared" si="8"/>
        <v>1</v>
      </c>
    </row>
    <row r="149" spans="1:6" x14ac:dyDescent="0.25">
      <c r="A149">
        <v>83.71</v>
      </c>
      <c r="B149">
        <v>137.08000000000001</v>
      </c>
      <c r="C149">
        <v>94.86</v>
      </c>
      <c r="D149">
        <f t="shared" si="6"/>
        <v>1</v>
      </c>
      <c r="E149">
        <f t="shared" si="7"/>
        <v>3</v>
      </c>
      <c r="F149">
        <f t="shared" si="8"/>
        <v>1</v>
      </c>
    </row>
    <row r="150" spans="1:6" x14ac:dyDescent="0.25">
      <c r="A150">
        <v>85.66</v>
      </c>
      <c r="B150">
        <v>136.36000000000001</v>
      </c>
      <c r="C150">
        <v>96.17</v>
      </c>
      <c r="D150">
        <f t="shared" si="6"/>
        <v>2</v>
      </c>
      <c r="E150">
        <f t="shared" si="7"/>
        <v>1</v>
      </c>
      <c r="F150">
        <f t="shared" si="8"/>
        <v>2</v>
      </c>
    </row>
    <row r="151" spans="1:6" x14ac:dyDescent="0.25">
      <c r="A151">
        <v>85.94</v>
      </c>
      <c r="B151">
        <v>134.97999999999999</v>
      </c>
      <c r="C151">
        <v>97.44</v>
      </c>
      <c r="D151">
        <f t="shared" si="6"/>
        <v>3</v>
      </c>
      <c r="E151">
        <f t="shared" si="7"/>
        <v>1</v>
      </c>
      <c r="F151">
        <f t="shared" si="8"/>
        <v>3</v>
      </c>
    </row>
    <row r="152" spans="1:6" x14ac:dyDescent="0.25">
      <c r="A152">
        <v>87.4</v>
      </c>
      <c r="B152">
        <v>133.44</v>
      </c>
      <c r="C152">
        <v>98.68</v>
      </c>
      <c r="D152">
        <f t="shared" si="6"/>
        <v>4</v>
      </c>
      <c r="E152">
        <f t="shared" si="7"/>
        <v>1</v>
      </c>
      <c r="F152">
        <f t="shared" si="8"/>
        <v>4</v>
      </c>
    </row>
    <row r="153" spans="1:6" x14ac:dyDescent="0.25">
      <c r="A153">
        <v>86.27</v>
      </c>
      <c r="B153">
        <v>132.32</v>
      </c>
      <c r="C153">
        <v>99.99</v>
      </c>
      <c r="D153">
        <f t="shared" si="6"/>
        <v>1</v>
      </c>
      <c r="E153">
        <f t="shared" si="7"/>
        <v>1</v>
      </c>
      <c r="F153">
        <f t="shared" si="8"/>
        <v>5</v>
      </c>
    </row>
    <row r="154" spans="1:6" x14ac:dyDescent="0.25">
      <c r="A154">
        <v>88.03</v>
      </c>
      <c r="B154">
        <v>132.25</v>
      </c>
      <c r="C154">
        <v>100.81</v>
      </c>
      <c r="D154">
        <f t="shared" si="6"/>
        <v>2</v>
      </c>
      <c r="E154">
        <f t="shared" si="7"/>
        <v>1</v>
      </c>
      <c r="F154">
        <f t="shared" si="8"/>
        <v>6</v>
      </c>
    </row>
    <row r="155" spans="1:6" x14ac:dyDescent="0.25">
      <c r="A155">
        <v>88.79</v>
      </c>
      <c r="B155">
        <v>134.86000000000001</v>
      </c>
      <c r="C155">
        <v>100.92</v>
      </c>
      <c r="D155">
        <f t="shared" si="6"/>
        <v>3</v>
      </c>
      <c r="E155">
        <f t="shared" si="7"/>
        <v>2</v>
      </c>
      <c r="F155">
        <f t="shared" si="8"/>
        <v>7</v>
      </c>
    </row>
    <row r="156" spans="1:6" x14ac:dyDescent="0.25">
      <c r="A156">
        <v>89.7</v>
      </c>
      <c r="B156">
        <v>133.21</v>
      </c>
      <c r="C156">
        <v>102.29</v>
      </c>
      <c r="D156">
        <f t="shared" si="6"/>
        <v>4</v>
      </c>
      <c r="E156">
        <f t="shared" si="7"/>
        <v>1</v>
      </c>
      <c r="F156">
        <f t="shared" si="8"/>
        <v>8</v>
      </c>
    </row>
    <row r="157" spans="1:6" x14ac:dyDescent="0.25">
      <c r="A157">
        <v>90.26</v>
      </c>
      <c r="B157">
        <v>131.81</v>
      </c>
      <c r="C157">
        <v>100.76</v>
      </c>
      <c r="D157">
        <f t="shared" si="6"/>
        <v>5</v>
      </c>
      <c r="E157">
        <f t="shared" si="7"/>
        <v>1</v>
      </c>
      <c r="F157">
        <f t="shared" si="8"/>
        <v>1</v>
      </c>
    </row>
    <row r="158" spans="1:6" x14ac:dyDescent="0.25">
      <c r="A158">
        <v>88.27</v>
      </c>
      <c r="B158">
        <v>131</v>
      </c>
      <c r="C158">
        <v>102.48</v>
      </c>
      <c r="D158">
        <f t="shared" si="6"/>
        <v>1</v>
      </c>
      <c r="E158">
        <f t="shared" si="7"/>
        <v>1</v>
      </c>
      <c r="F158">
        <f t="shared" si="8"/>
        <v>2</v>
      </c>
    </row>
    <row r="159" spans="1:6" x14ac:dyDescent="0.25">
      <c r="A159">
        <v>88.73</v>
      </c>
      <c r="B159">
        <v>130.27000000000001</v>
      </c>
      <c r="C159">
        <v>102.72</v>
      </c>
      <c r="D159">
        <f t="shared" si="6"/>
        <v>2</v>
      </c>
      <c r="E159">
        <f t="shared" si="7"/>
        <v>1</v>
      </c>
      <c r="F159">
        <f t="shared" si="8"/>
        <v>3</v>
      </c>
    </row>
    <row r="160" spans="1:6" x14ac:dyDescent="0.25">
      <c r="A160">
        <v>87.13</v>
      </c>
      <c r="B160">
        <v>128.56</v>
      </c>
      <c r="C160">
        <v>104.6</v>
      </c>
      <c r="D160">
        <f t="shared" si="6"/>
        <v>1</v>
      </c>
      <c r="E160">
        <f t="shared" si="7"/>
        <v>1</v>
      </c>
      <c r="F160">
        <f t="shared" si="8"/>
        <v>4</v>
      </c>
    </row>
    <row r="161" spans="1:6" x14ac:dyDescent="0.25">
      <c r="A161">
        <v>85.68</v>
      </c>
      <c r="B161">
        <v>127.84</v>
      </c>
      <c r="C161">
        <v>106.69</v>
      </c>
      <c r="D161">
        <f t="shared" si="6"/>
        <v>1</v>
      </c>
      <c r="E161">
        <f t="shared" si="7"/>
        <v>1</v>
      </c>
      <c r="F161">
        <f t="shared" si="8"/>
        <v>5</v>
      </c>
    </row>
    <row r="162" spans="1:6" x14ac:dyDescent="0.25">
      <c r="A162">
        <v>84.27</v>
      </c>
      <c r="B162">
        <v>127.42</v>
      </c>
      <c r="C162">
        <v>106.85</v>
      </c>
      <c r="D162">
        <f t="shared" si="6"/>
        <v>1</v>
      </c>
      <c r="E162">
        <f t="shared" si="7"/>
        <v>1</v>
      </c>
      <c r="F162">
        <f t="shared" si="8"/>
        <v>6</v>
      </c>
    </row>
    <row r="163" spans="1:6" x14ac:dyDescent="0.25">
      <c r="A163">
        <v>82.68</v>
      </c>
      <c r="B163">
        <v>127.09</v>
      </c>
      <c r="C163">
        <v>107.25</v>
      </c>
      <c r="D163">
        <f t="shared" si="6"/>
        <v>1</v>
      </c>
      <c r="E163">
        <f t="shared" si="7"/>
        <v>1</v>
      </c>
      <c r="F163">
        <f t="shared" si="8"/>
        <v>7</v>
      </c>
    </row>
    <row r="164" spans="1:6" x14ac:dyDescent="0.25">
      <c r="A164">
        <v>84.44</v>
      </c>
      <c r="B164">
        <v>126.43</v>
      </c>
      <c r="C164">
        <v>108.44</v>
      </c>
      <c r="D164">
        <f t="shared" si="6"/>
        <v>2</v>
      </c>
      <c r="E164">
        <f t="shared" si="7"/>
        <v>1</v>
      </c>
      <c r="F164">
        <f t="shared" si="8"/>
        <v>8</v>
      </c>
    </row>
    <row r="165" spans="1:6" x14ac:dyDescent="0.25">
      <c r="A165">
        <v>85.82</v>
      </c>
      <c r="B165">
        <v>126.31</v>
      </c>
      <c r="C165">
        <v>110.27</v>
      </c>
      <c r="D165">
        <f t="shared" si="6"/>
        <v>3</v>
      </c>
      <c r="E165">
        <f t="shared" si="7"/>
        <v>1</v>
      </c>
      <c r="F165">
        <f t="shared" si="8"/>
        <v>9</v>
      </c>
    </row>
    <row r="166" spans="1:6" x14ac:dyDescent="0.25">
      <c r="A166">
        <v>84.73</v>
      </c>
      <c r="B166">
        <v>129.22999999999999</v>
      </c>
      <c r="C166">
        <v>110.94</v>
      </c>
      <c r="D166">
        <f t="shared" si="6"/>
        <v>1</v>
      </c>
      <c r="E166">
        <f t="shared" si="7"/>
        <v>2</v>
      </c>
      <c r="F166">
        <f t="shared" si="8"/>
        <v>10</v>
      </c>
    </row>
    <row r="167" spans="1:6" x14ac:dyDescent="0.25">
      <c r="A167">
        <v>86.08</v>
      </c>
      <c r="B167">
        <v>128.37</v>
      </c>
      <c r="C167">
        <v>109.26</v>
      </c>
      <c r="D167">
        <f t="shared" si="6"/>
        <v>2</v>
      </c>
      <c r="E167">
        <f t="shared" si="7"/>
        <v>1</v>
      </c>
      <c r="F167">
        <f t="shared" si="8"/>
        <v>1</v>
      </c>
    </row>
    <row r="168" spans="1:6" x14ac:dyDescent="0.25">
      <c r="A168">
        <v>87.8</v>
      </c>
      <c r="B168">
        <v>128.21</v>
      </c>
      <c r="C168">
        <v>110.98</v>
      </c>
      <c r="D168">
        <f t="shared" si="6"/>
        <v>3</v>
      </c>
      <c r="E168">
        <f t="shared" si="7"/>
        <v>1</v>
      </c>
      <c r="F168">
        <f t="shared" si="8"/>
        <v>2</v>
      </c>
    </row>
    <row r="169" spans="1:6" x14ac:dyDescent="0.25">
      <c r="A169">
        <v>86.31</v>
      </c>
      <c r="B169">
        <v>130.97999999999999</v>
      </c>
      <c r="C169">
        <v>111.8</v>
      </c>
      <c r="D169">
        <f t="shared" si="6"/>
        <v>1</v>
      </c>
      <c r="E169">
        <f t="shared" si="7"/>
        <v>2</v>
      </c>
      <c r="F169">
        <f t="shared" si="8"/>
        <v>3</v>
      </c>
    </row>
    <row r="170" spans="1:6" x14ac:dyDescent="0.25">
      <c r="A170">
        <v>84.68</v>
      </c>
      <c r="B170">
        <v>130.07</v>
      </c>
      <c r="C170">
        <v>110.07</v>
      </c>
      <c r="D170">
        <f t="shared" si="6"/>
        <v>1</v>
      </c>
      <c r="E170">
        <f t="shared" si="7"/>
        <v>1</v>
      </c>
      <c r="F170">
        <f t="shared" si="8"/>
        <v>1</v>
      </c>
    </row>
    <row r="171" spans="1:6" x14ac:dyDescent="0.25">
      <c r="A171">
        <v>82.77</v>
      </c>
      <c r="B171">
        <v>129.9</v>
      </c>
      <c r="C171">
        <v>110.79</v>
      </c>
      <c r="D171">
        <f t="shared" si="6"/>
        <v>1</v>
      </c>
      <c r="E171">
        <f t="shared" si="7"/>
        <v>1</v>
      </c>
      <c r="F171">
        <f t="shared" si="8"/>
        <v>2</v>
      </c>
    </row>
    <row r="172" spans="1:6" x14ac:dyDescent="0.25">
      <c r="A172">
        <v>80.95</v>
      </c>
      <c r="B172">
        <v>129.86000000000001</v>
      </c>
      <c r="C172">
        <v>109.17</v>
      </c>
      <c r="D172">
        <f t="shared" si="6"/>
        <v>1</v>
      </c>
      <c r="E172">
        <f t="shared" si="7"/>
        <v>1</v>
      </c>
      <c r="F172">
        <f t="shared" si="8"/>
        <v>1</v>
      </c>
    </row>
    <row r="173" spans="1:6" x14ac:dyDescent="0.25">
      <c r="A173">
        <v>81.61</v>
      </c>
      <c r="B173">
        <v>128.05000000000001</v>
      </c>
      <c r="C173">
        <v>107.31</v>
      </c>
      <c r="D173">
        <f t="shared" si="6"/>
        <v>2</v>
      </c>
      <c r="E173">
        <f t="shared" si="7"/>
        <v>1</v>
      </c>
      <c r="F173">
        <f t="shared" si="8"/>
        <v>1</v>
      </c>
    </row>
    <row r="174" spans="1:6" x14ac:dyDescent="0.25">
      <c r="A174">
        <v>82.19</v>
      </c>
      <c r="B174">
        <v>130.53</v>
      </c>
      <c r="C174">
        <v>107.72</v>
      </c>
      <c r="D174">
        <f t="shared" si="6"/>
        <v>3</v>
      </c>
      <c r="E174">
        <f t="shared" si="7"/>
        <v>2</v>
      </c>
      <c r="F174">
        <f t="shared" si="8"/>
        <v>2</v>
      </c>
    </row>
    <row r="175" spans="1:6" x14ac:dyDescent="0.25">
      <c r="A175">
        <v>80.69</v>
      </c>
      <c r="B175">
        <v>130.22</v>
      </c>
      <c r="C175">
        <v>105.87</v>
      </c>
      <c r="D175">
        <f t="shared" si="6"/>
        <v>1</v>
      </c>
      <c r="E175">
        <f t="shared" si="7"/>
        <v>1</v>
      </c>
      <c r="F175">
        <f t="shared" si="8"/>
        <v>1</v>
      </c>
    </row>
    <row r="176" spans="1:6" x14ac:dyDescent="0.25">
      <c r="A176">
        <v>81.66</v>
      </c>
      <c r="B176">
        <v>129.61000000000001</v>
      </c>
      <c r="C176">
        <v>106.22</v>
      </c>
      <c r="D176">
        <f t="shared" si="6"/>
        <v>2</v>
      </c>
      <c r="E176">
        <f t="shared" si="7"/>
        <v>1</v>
      </c>
      <c r="F176">
        <f t="shared" si="8"/>
        <v>2</v>
      </c>
    </row>
    <row r="177" spans="1:6" x14ac:dyDescent="0.25">
      <c r="A177">
        <v>80.06</v>
      </c>
      <c r="B177">
        <v>128.19</v>
      </c>
      <c r="C177">
        <v>107.4</v>
      </c>
      <c r="D177">
        <f t="shared" si="6"/>
        <v>1</v>
      </c>
      <c r="E177">
        <f t="shared" si="7"/>
        <v>1</v>
      </c>
      <c r="F177">
        <f t="shared" si="8"/>
        <v>3</v>
      </c>
    </row>
    <row r="178" spans="1:6" x14ac:dyDescent="0.25">
      <c r="A178">
        <v>78.959999999999994</v>
      </c>
      <c r="B178">
        <v>127.64</v>
      </c>
      <c r="C178">
        <v>108.01</v>
      </c>
      <c r="D178">
        <f t="shared" si="6"/>
        <v>1</v>
      </c>
      <c r="E178">
        <f t="shared" si="7"/>
        <v>1</v>
      </c>
      <c r="F178">
        <f t="shared" si="8"/>
        <v>4</v>
      </c>
    </row>
    <row r="179" spans="1:6" x14ac:dyDescent="0.25">
      <c r="A179">
        <v>80.52</v>
      </c>
      <c r="B179">
        <v>126.21</v>
      </c>
      <c r="C179">
        <v>106.27</v>
      </c>
      <c r="D179">
        <f t="shared" si="6"/>
        <v>2</v>
      </c>
      <c r="E179">
        <f t="shared" si="7"/>
        <v>1</v>
      </c>
      <c r="F179">
        <f t="shared" si="8"/>
        <v>1</v>
      </c>
    </row>
    <row r="180" spans="1:6" x14ac:dyDescent="0.25">
      <c r="A180">
        <v>81.67</v>
      </c>
      <c r="B180">
        <v>124.23</v>
      </c>
      <c r="C180">
        <v>108.33</v>
      </c>
      <c r="D180">
        <f t="shared" si="6"/>
        <v>3</v>
      </c>
      <c r="E180">
        <f t="shared" si="7"/>
        <v>1</v>
      </c>
      <c r="F180">
        <f t="shared" si="8"/>
        <v>2</v>
      </c>
    </row>
    <row r="181" spans="1:6" x14ac:dyDescent="0.25">
      <c r="A181">
        <v>82.11</v>
      </c>
      <c r="B181">
        <v>123.24</v>
      </c>
      <c r="C181">
        <v>109.22</v>
      </c>
      <c r="D181">
        <f t="shared" si="6"/>
        <v>4</v>
      </c>
      <c r="E181">
        <f t="shared" si="7"/>
        <v>1</v>
      </c>
      <c r="F181">
        <f t="shared" si="8"/>
        <v>3</v>
      </c>
    </row>
    <row r="182" spans="1:6" x14ac:dyDescent="0.25">
      <c r="A182">
        <v>83.32</v>
      </c>
      <c r="B182">
        <v>126.19</v>
      </c>
      <c r="C182">
        <v>107.37</v>
      </c>
      <c r="D182">
        <f t="shared" si="6"/>
        <v>5</v>
      </c>
      <c r="E182">
        <f t="shared" si="7"/>
        <v>2</v>
      </c>
      <c r="F182">
        <f t="shared" si="8"/>
        <v>1</v>
      </c>
    </row>
    <row r="183" spans="1:6" x14ac:dyDescent="0.25">
      <c r="A183">
        <v>84.79</v>
      </c>
      <c r="B183">
        <v>129.05000000000001</v>
      </c>
      <c r="C183">
        <v>107.76</v>
      </c>
      <c r="D183">
        <f t="shared" si="6"/>
        <v>6</v>
      </c>
      <c r="E183">
        <f t="shared" si="7"/>
        <v>3</v>
      </c>
      <c r="F183">
        <f t="shared" si="8"/>
        <v>2</v>
      </c>
    </row>
    <row r="184" spans="1:6" x14ac:dyDescent="0.25">
      <c r="A184">
        <v>83.25</v>
      </c>
      <c r="B184">
        <v>128.65</v>
      </c>
      <c r="C184">
        <v>108.37</v>
      </c>
      <c r="D184">
        <f t="shared" si="6"/>
        <v>1</v>
      </c>
      <c r="E184">
        <f t="shared" si="7"/>
        <v>1</v>
      </c>
      <c r="F184">
        <f t="shared" si="8"/>
        <v>3</v>
      </c>
    </row>
    <row r="185" spans="1:6" x14ac:dyDescent="0.25">
      <c r="A185">
        <v>81.319999999999993</v>
      </c>
      <c r="B185">
        <v>126.93</v>
      </c>
      <c r="C185">
        <v>109.22</v>
      </c>
      <c r="D185">
        <f t="shared" si="6"/>
        <v>1</v>
      </c>
      <c r="E185">
        <f t="shared" si="7"/>
        <v>1</v>
      </c>
      <c r="F185">
        <f t="shared" si="8"/>
        <v>4</v>
      </c>
    </row>
    <row r="186" spans="1:6" x14ac:dyDescent="0.25">
      <c r="A186">
        <v>82.7</v>
      </c>
      <c r="B186">
        <v>129.41</v>
      </c>
      <c r="C186">
        <v>107.78</v>
      </c>
      <c r="D186">
        <f t="shared" si="6"/>
        <v>2</v>
      </c>
      <c r="E186">
        <f t="shared" si="7"/>
        <v>2</v>
      </c>
      <c r="F186">
        <f t="shared" si="8"/>
        <v>1</v>
      </c>
    </row>
    <row r="187" spans="1:6" x14ac:dyDescent="0.25">
      <c r="A187">
        <v>84.81</v>
      </c>
      <c r="B187">
        <v>129.25</v>
      </c>
      <c r="C187">
        <v>109.71</v>
      </c>
      <c r="D187">
        <f t="shared" si="6"/>
        <v>3</v>
      </c>
      <c r="E187">
        <f t="shared" si="7"/>
        <v>1</v>
      </c>
      <c r="F187">
        <f t="shared" si="8"/>
        <v>2</v>
      </c>
    </row>
    <row r="188" spans="1:6" x14ac:dyDescent="0.25">
      <c r="A188">
        <v>86.6</v>
      </c>
      <c r="B188">
        <v>129.16999999999999</v>
      </c>
      <c r="C188">
        <v>107.74</v>
      </c>
      <c r="D188">
        <f t="shared" si="6"/>
        <v>4</v>
      </c>
      <c r="E188">
        <f t="shared" si="7"/>
        <v>1</v>
      </c>
      <c r="F188">
        <f t="shared" si="8"/>
        <v>1</v>
      </c>
    </row>
    <row r="189" spans="1:6" x14ac:dyDescent="0.25">
      <c r="A189">
        <v>87.71</v>
      </c>
      <c r="B189">
        <v>127.81</v>
      </c>
      <c r="C189">
        <v>109.77</v>
      </c>
      <c r="D189">
        <f t="shared" si="6"/>
        <v>5</v>
      </c>
      <c r="E189">
        <f t="shared" si="7"/>
        <v>1</v>
      </c>
      <c r="F189">
        <f t="shared" si="8"/>
        <v>2</v>
      </c>
    </row>
    <row r="190" spans="1:6" x14ac:dyDescent="0.25">
      <c r="A190">
        <v>86.58</v>
      </c>
      <c r="B190">
        <v>130.62</v>
      </c>
      <c r="C190">
        <v>111.27</v>
      </c>
      <c r="D190">
        <f t="shared" si="6"/>
        <v>1</v>
      </c>
      <c r="E190">
        <f t="shared" si="7"/>
        <v>2</v>
      </c>
      <c r="F190">
        <f t="shared" si="8"/>
        <v>3</v>
      </c>
    </row>
    <row r="191" spans="1:6" x14ac:dyDescent="0.25">
      <c r="A191">
        <v>85.23</v>
      </c>
      <c r="B191">
        <v>129.24</v>
      </c>
      <c r="C191">
        <v>109.41</v>
      </c>
      <c r="D191">
        <f t="shared" si="6"/>
        <v>1</v>
      </c>
      <c r="E191">
        <f t="shared" si="7"/>
        <v>1</v>
      </c>
      <c r="F191">
        <f t="shared" si="8"/>
        <v>1</v>
      </c>
    </row>
    <row r="192" spans="1:6" x14ac:dyDescent="0.25">
      <c r="A192">
        <v>87.45</v>
      </c>
      <c r="B192">
        <v>128.72</v>
      </c>
      <c r="C192">
        <v>109.72</v>
      </c>
      <c r="D192">
        <f t="shared" si="6"/>
        <v>2</v>
      </c>
      <c r="E192">
        <f t="shared" si="7"/>
        <v>1</v>
      </c>
      <c r="F192">
        <f t="shared" si="8"/>
        <v>2</v>
      </c>
    </row>
    <row r="193" spans="1:6" x14ac:dyDescent="0.25">
      <c r="A193">
        <v>86.12</v>
      </c>
      <c r="B193">
        <v>128.01</v>
      </c>
      <c r="C193">
        <v>108.19</v>
      </c>
      <c r="D193">
        <f t="shared" si="6"/>
        <v>1</v>
      </c>
      <c r="E193">
        <f t="shared" si="7"/>
        <v>1</v>
      </c>
      <c r="F193">
        <f t="shared" si="8"/>
        <v>1</v>
      </c>
    </row>
    <row r="194" spans="1:6" x14ac:dyDescent="0.25">
      <c r="A194">
        <v>87.45</v>
      </c>
      <c r="B194">
        <v>127.99</v>
      </c>
      <c r="C194">
        <v>109.68</v>
      </c>
      <c r="D194">
        <f t="shared" si="6"/>
        <v>2</v>
      </c>
      <c r="E194">
        <f t="shared" si="7"/>
        <v>1</v>
      </c>
      <c r="F194">
        <f t="shared" si="8"/>
        <v>2</v>
      </c>
    </row>
    <row r="195" spans="1:6" x14ac:dyDescent="0.25">
      <c r="A195">
        <v>89.49</v>
      </c>
      <c r="B195">
        <v>126.59</v>
      </c>
      <c r="C195">
        <v>110.39</v>
      </c>
      <c r="D195">
        <f t="shared" si="6"/>
        <v>3</v>
      </c>
      <c r="E195">
        <f t="shared" si="7"/>
        <v>1</v>
      </c>
      <c r="F195">
        <f t="shared" si="8"/>
        <v>3</v>
      </c>
    </row>
    <row r="196" spans="1:6" x14ac:dyDescent="0.25">
      <c r="A196">
        <v>87.85</v>
      </c>
      <c r="B196">
        <v>125.24</v>
      </c>
      <c r="C196">
        <v>111.28</v>
      </c>
      <c r="D196">
        <f t="shared" ref="D196:D259" si="9">IF(A196&gt;A195,D195+1,1)</f>
        <v>1</v>
      </c>
      <c r="E196">
        <f t="shared" ref="E196:E259" si="10">IF(B196&gt;B195,E195+1,1)</f>
        <v>1</v>
      </c>
      <c r="F196">
        <f t="shared" ref="F196:F259" si="11">IF(C196&gt;C195,F195+1,1)</f>
        <v>4</v>
      </c>
    </row>
    <row r="197" spans="1:6" x14ac:dyDescent="0.25">
      <c r="A197">
        <v>89.46</v>
      </c>
      <c r="B197">
        <v>123.39</v>
      </c>
      <c r="C197">
        <v>112.56</v>
      </c>
      <c r="D197">
        <f t="shared" si="9"/>
        <v>2</v>
      </c>
      <c r="E197">
        <f t="shared" si="10"/>
        <v>1</v>
      </c>
      <c r="F197">
        <f t="shared" si="11"/>
        <v>5</v>
      </c>
    </row>
    <row r="198" spans="1:6" x14ac:dyDescent="0.25">
      <c r="A198">
        <v>87.6</v>
      </c>
      <c r="B198">
        <v>122.61</v>
      </c>
      <c r="C198">
        <v>113.15</v>
      </c>
      <c r="D198">
        <f t="shared" si="9"/>
        <v>1</v>
      </c>
      <c r="E198">
        <f t="shared" si="10"/>
        <v>1</v>
      </c>
      <c r="F198">
        <f t="shared" si="11"/>
        <v>6</v>
      </c>
    </row>
    <row r="199" spans="1:6" x14ac:dyDescent="0.25">
      <c r="A199">
        <v>87.87</v>
      </c>
      <c r="B199">
        <v>122.54</v>
      </c>
      <c r="C199">
        <v>114.21</v>
      </c>
      <c r="D199">
        <f t="shared" si="9"/>
        <v>2</v>
      </c>
      <c r="E199">
        <f t="shared" si="10"/>
        <v>1</v>
      </c>
      <c r="F199">
        <f t="shared" si="11"/>
        <v>7</v>
      </c>
    </row>
    <row r="200" spans="1:6" x14ac:dyDescent="0.25">
      <c r="A200">
        <v>88.46</v>
      </c>
      <c r="B200">
        <v>121.81</v>
      </c>
      <c r="C200">
        <v>114.89</v>
      </c>
      <c r="D200">
        <f t="shared" si="9"/>
        <v>3</v>
      </c>
      <c r="E200">
        <f t="shared" si="10"/>
        <v>1</v>
      </c>
      <c r="F200">
        <f t="shared" si="11"/>
        <v>8</v>
      </c>
    </row>
    <row r="201" spans="1:6" x14ac:dyDescent="0.25">
      <c r="A201">
        <v>90.4</v>
      </c>
      <c r="B201">
        <v>124.57</v>
      </c>
      <c r="C201">
        <v>114.91</v>
      </c>
      <c r="D201">
        <f t="shared" si="9"/>
        <v>4</v>
      </c>
      <c r="E201">
        <f t="shared" si="10"/>
        <v>2</v>
      </c>
      <c r="F201">
        <f t="shared" si="11"/>
        <v>9</v>
      </c>
    </row>
    <row r="202" spans="1:6" x14ac:dyDescent="0.25">
      <c r="A202">
        <v>88.55</v>
      </c>
      <c r="B202">
        <v>123.78</v>
      </c>
      <c r="C202">
        <v>112.97</v>
      </c>
      <c r="D202">
        <f t="shared" si="9"/>
        <v>1</v>
      </c>
      <c r="E202">
        <f t="shared" si="10"/>
        <v>1</v>
      </c>
      <c r="F202">
        <f t="shared" si="11"/>
        <v>1</v>
      </c>
    </row>
    <row r="203" spans="1:6" x14ac:dyDescent="0.25">
      <c r="A203">
        <v>86.63</v>
      </c>
      <c r="B203">
        <v>126.62</v>
      </c>
      <c r="C203">
        <v>111.12</v>
      </c>
      <c r="D203">
        <f t="shared" si="9"/>
        <v>1</v>
      </c>
      <c r="E203">
        <f t="shared" si="10"/>
        <v>2</v>
      </c>
      <c r="F203">
        <f t="shared" si="11"/>
        <v>1</v>
      </c>
    </row>
    <row r="204" spans="1:6" x14ac:dyDescent="0.25">
      <c r="A204">
        <v>88.98</v>
      </c>
      <c r="B204">
        <v>125.63</v>
      </c>
      <c r="C204">
        <v>111.44</v>
      </c>
      <c r="D204">
        <f t="shared" si="9"/>
        <v>2</v>
      </c>
      <c r="E204">
        <f t="shared" si="10"/>
        <v>1</v>
      </c>
      <c r="F204">
        <f t="shared" si="11"/>
        <v>2</v>
      </c>
    </row>
    <row r="205" spans="1:6" x14ac:dyDescent="0.25">
      <c r="A205">
        <v>90.85</v>
      </c>
      <c r="B205">
        <v>124.55</v>
      </c>
      <c r="C205">
        <v>113.24</v>
      </c>
      <c r="D205">
        <f t="shared" si="9"/>
        <v>3</v>
      </c>
      <c r="E205">
        <f t="shared" si="10"/>
        <v>1</v>
      </c>
      <c r="F205">
        <f t="shared" si="11"/>
        <v>3</v>
      </c>
    </row>
    <row r="206" spans="1:6" x14ac:dyDescent="0.25">
      <c r="A206">
        <v>89.19</v>
      </c>
      <c r="B206">
        <v>123.8</v>
      </c>
      <c r="C206">
        <v>111.26</v>
      </c>
      <c r="D206">
        <f t="shared" si="9"/>
        <v>1</v>
      </c>
      <c r="E206">
        <f t="shared" si="10"/>
        <v>1</v>
      </c>
      <c r="F206">
        <f t="shared" si="11"/>
        <v>1</v>
      </c>
    </row>
    <row r="207" spans="1:6" x14ac:dyDescent="0.25">
      <c r="A207">
        <v>91.15</v>
      </c>
      <c r="B207">
        <v>123.76</v>
      </c>
      <c r="C207">
        <v>109.56</v>
      </c>
      <c r="D207">
        <f t="shared" si="9"/>
        <v>2</v>
      </c>
      <c r="E207">
        <f t="shared" si="10"/>
        <v>1</v>
      </c>
      <c r="F207">
        <f t="shared" si="11"/>
        <v>1</v>
      </c>
    </row>
    <row r="208" spans="1:6" x14ac:dyDescent="0.25">
      <c r="A208">
        <v>93.49</v>
      </c>
      <c r="B208">
        <v>122.59</v>
      </c>
      <c r="C208">
        <v>109.82</v>
      </c>
      <c r="D208">
        <f t="shared" si="9"/>
        <v>3</v>
      </c>
      <c r="E208">
        <f t="shared" si="10"/>
        <v>1</v>
      </c>
      <c r="F208">
        <f t="shared" si="11"/>
        <v>2</v>
      </c>
    </row>
    <row r="209" spans="1:6" x14ac:dyDescent="0.25">
      <c r="A209">
        <v>92.45</v>
      </c>
      <c r="B209">
        <v>121.07</v>
      </c>
      <c r="C209">
        <v>111.61</v>
      </c>
      <c r="D209">
        <f t="shared" si="9"/>
        <v>1</v>
      </c>
      <c r="E209">
        <f t="shared" si="10"/>
        <v>1</v>
      </c>
      <c r="F209">
        <f t="shared" si="11"/>
        <v>3</v>
      </c>
    </row>
    <row r="210" spans="1:6" x14ac:dyDescent="0.25">
      <c r="A210">
        <v>90.51</v>
      </c>
      <c r="B210">
        <v>119.15</v>
      </c>
      <c r="C210">
        <v>110.11</v>
      </c>
      <c r="D210">
        <f t="shared" si="9"/>
        <v>1</v>
      </c>
      <c r="E210">
        <f t="shared" si="10"/>
        <v>1</v>
      </c>
      <c r="F210">
        <f t="shared" si="11"/>
        <v>1</v>
      </c>
    </row>
    <row r="211" spans="1:6" x14ac:dyDescent="0.25">
      <c r="A211">
        <v>91.65</v>
      </c>
      <c r="B211">
        <v>122.04</v>
      </c>
      <c r="C211">
        <v>111.72</v>
      </c>
      <c r="D211">
        <f t="shared" si="9"/>
        <v>2</v>
      </c>
      <c r="E211">
        <f t="shared" si="10"/>
        <v>2</v>
      </c>
      <c r="F211">
        <f t="shared" si="11"/>
        <v>2</v>
      </c>
    </row>
    <row r="212" spans="1:6" x14ac:dyDescent="0.25">
      <c r="A212">
        <v>92.92</v>
      </c>
      <c r="B212">
        <v>120.35</v>
      </c>
      <c r="C212">
        <v>111.85</v>
      </c>
      <c r="D212">
        <f t="shared" si="9"/>
        <v>3</v>
      </c>
      <c r="E212">
        <f t="shared" si="10"/>
        <v>1</v>
      </c>
      <c r="F212">
        <f t="shared" si="11"/>
        <v>3</v>
      </c>
    </row>
    <row r="213" spans="1:6" x14ac:dyDescent="0.25">
      <c r="A213">
        <v>91.21</v>
      </c>
      <c r="B213">
        <v>119.39</v>
      </c>
      <c r="C213">
        <v>113.24</v>
      </c>
      <c r="D213">
        <f t="shared" si="9"/>
        <v>1</v>
      </c>
      <c r="E213">
        <f t="shared" si="10"/>
        <v>1</v>
      </c>
      <c r="F213">
        <f t="shared" si="11"/>
        <v>4</v>
      </c>
    </row>
    <row r="214" spans="1:6" x14ac:dyDescent="0.25">
      <c r="A214">
        <v>93.43</v>
      </c>
      <c r="B214">
        <v>118.26</v>
      </c>
      <c r="C214">
        <v>114.79</v>
      </c>
      <c r="D214">
        <f t="shared" si="9"/>
        <v>2</v>
      </c>
      <c r="E214">
        <f t="shared" si="10"/>
        <v>1</v>
      </c>
      <c r="F214">
        <f t="shared" si="11"/>
        <v>5</v>
      </c>
    </row>
    <row r="215" spans="1:6" x14ac:dyDescent="0.25">
      <c r="A215">
        <v>91.8</v>
      </c>
      <c r="B215">
        <v>117.65</v>
      </c>
      <c r="C215">
        <v>113.2</v>
      </c>
      <c r="D215">
        <f t="shared" si="9"/>
        <v>1</v>
      </c>
      <c r="E215">
        <f t="shared" si="10"/>
        <v>1</v>
      </c>
      <c r="F215">
        <f t="shared" si="11"/>
        <v>1</v>
      </c>
    </row>
    <row r="216" spans="1:6" x14ac:dyDescent="0.25">
      <c r="A216">
        <v>91.8</v>
      </c>
      <c r="B216">
        <v>116.7</v>
      </c>
      <c r="C216">
        <v>113.27</v>
      </c>
      <c r="D216">
        <f t="shared" si="9"/>
        <v>1</v>
      </c>
      <c r="E216">
        <f t="shared" si="10"/>
        <v>1</v>
      </c>
      <c r="F216">
        <f t="shared" si="11"/>
        <v>2</v>
      </c>
    </row>
    <row r="217" spans="1:6" x14ac:dyDescent="0.25">
      <c r="A217">
        <v>92</v>
      </c>
      <c r="B217">
        <v>119.54</v>
      </c>
      <c r="C217">
        <v>111.75</v>
      </c>
      <c r="D217">
        <f t="shared" si="9"/>
        <v>2</v>
      </c>
      <c r="E217">
        <f t="shared" si="10"/>
        <v>2</v>
      </c>
      <c r="F217">
        <f t="shared" si="11"/>
        <v>1</v>
      </c>
    </row>
    <row r="218" spans="1:6" x14ac:dyDescent="0.25">
      <c r="A218">
        <v>92.36</v>
      </c>
      <c r="B218">
        <v>117.82</v>
      </c>
      <c r="C218">
        <v>112.97</v>
      </c>
      <c r="D218">
        <f t="shared" si="9"/>
        <v>3</v>
      </c>
      <c r="E218">
        <f t="shared" si="10"/>
        <v>1</v>
      </c>
      <c r="F218">
        <f t="shared" si="11"/>
        <v>2</v>
      </c>
    </row>
    <row r="219" spans="1:6" x14ac:dyDescent="0.25">
      <c r="A219">
        <v>92.9</v>
      </c>
      <c r="B219">
        <v>116.68</v>
      </c>
      <c r="C219">
        <v>114.74</v>
      </c>
      <c r="D219">
        <f t="shared" si="9"/>
        <v>4</v>
      </c>
      <c r="E219">
        <f t="shared" si="10"/>
        <v>1</v>
      </c>
      <c r="F219">
        <f t="shared" si="11"/>
        <v>3</v>
      </c>
    </row>
    <row r="220" spans="1:6" x14ac:dyDescent="0.25">
      <c r="A220">
        <v>93.1</v>
      </c>
      <c r="B220">
        <v>116.12</v>
      </c>
      <c r="C220">
        <v>115.57</v>
      </c>
      <c r="D220">
        <f t="shared" si="9"/>
        <v>5</v>
      </c>
      <c r="E220">
        <f t="shared" si="10"/>
        <v>1</v>
      </c>
      <c r="F220">
        <f t="shared" si="11"/>
        <v>4</v>
      </c>
    </row>
    <row r="221" spans="1:6" x14ac:dyDescent="0.25">
      <c r="A221">
        <v>91.21</v>
      </c>
      <c r="B221">
        <v>114.56</v>
      </c>
      <c r="C221">
        <v>116.87</v>
      </c>
      <c r="D221">
        <f t="shared" si="9"/>
        <v>1</v>
      </c>
      <c r="E221">
        <f t="shared" si="10"/>
        <v>1</v>
      </c>
      <c r="F221">
        <f t="shared" si="11"/>
        <v>5</v>
      </c>
    </row>
    <row r="222" spans="1:6" x14ac:dyDescent="0.25">
      <c r="A222">
        <v>91.54</v>
      </c>
      <c r="B222">
        <v>114.52</v>
      </c>
      <c r="C222">
        <v>114.98</v>
      </c>
      <c r="D222">
        <f t="shared" si="9"/>
        <v>2</v>
      </c>
      <c r="E222">
        <f t="shared" si="10"/>
        <v>1</v>
      </c>
      <c r="F222">
        <f t="shared" si="11"/>
        <v>1</v>
      </c>
    </row>
    <row r="223" spans="1:6" x14ac:dyDescent="0.25">
      <c r="A223">
        <v>90.34</v>
      </c>
      <c r="B223">
        <v>117.21</v>
      </c>
      <c r="C223">
        <v>115.04</v>
      </c>
      <c r="D223">
        <f t="shared" si="9"/>
        <v>1</v>
      </c>
      <c r="E223">
        <f t="shared" si="10"/>
        <v>2</v>
      </c>
      <c r="F223">
        <f t="shared" si="11"/>
        <v>2</v>
      </c>
    </row>
    <row r="224" spans="1:6" x14ac:dyDescent="0.25">
      <c r="A224">
        <v>92.62</v>
      </c>
      <c r="B224">
        <v>115.46</v>
      </c>
      <c r="C224">
        <v>113.31</v>
      </c>
      <c r="D224">
        <f t="shared" si="9"/>
        <v>2</v>
      </c>
      <c r="E224">
        <f t="shared" si="10"/>
        <v>1</v>
      </c>
      <c r="F224">
        <f t="shared" si="11"/>
        <v>1</v>
      </c>
    </row>
    <row r="225" spans="1:6" x14ac:dyDescent="0.25">
      <c r="A225">
        <v>91.21</v>
      </c>
      <c r="B225">
        <v>118.16</v>
      </c>
      <c r="C225">
        <v>114.96</v>
      </c>
      <c r="D225">
        <f t="shared" si="9"/>
        <v>1</v>
      </c>
      <c r="E225">
        <f t="shared" si="10"/>
        <v>2</v>
      </c>
      <c r="F225">
        <f t="shared" si="11"/>
        <v>2</v>
      </c>
    </row>
    <row r="226" spans="1:6" x14ac:dyDescent="0.25">
      <c r="A226">
        <v>89.52</v>
      </c>
      <c r="B226">
        <v>120.88</v>
      </c>
      <c r="C226">
        <v>116.8</v>
      </c>
      <c r="D226">
        <f t="shared" si="9"/>
        <v>1</v>
      </c>
      <c r="E226">
        <f t="shared" si="10"/>
        <v>3</v>
      </c>
      <c r="F226">
        <f t="shared" si="11"/>
        <v>3</v>
      </c>
    </row>
    <row r="227" spans="1:6" x14ac:dyDescent="0.25">
      <c r="A227">
        <v>90.34</v>
      </c>
      <c r="B227">
        <v>119.2</v>
      </c>
      <c r="C227">
        <v>115.36</v>
      </c>
      <c r="D227">
        <f t="shared" si="9"/>
        <v>2</v>
      </c>
      <c r="E227">
        <f t="shared" si="10"/>
        <v>1</v>
      </c>
      <c r="F227">
        <f t="shared" si="11"/>
        <v>1</v>
      </c>
    </row>
    <row r="228" spans="1:6" x14ac:dyDescent="0.25">
      <c r="A228">
        <v>91.91</v>
      </c>
      <c r="B228">
        <v>121.71</v>
      </c>
      <c r="C228">
        <v>116.53</v>
      </c>
      <c r="D228">
        <f t="shared" si="9"/>
        <v>3</v>
      </c>
      <c r="E228">
        <f t="shared" si="10"/>
        <v>2</v>
      </c>
      <c r="F228">
        <f t="shared" si="11"/>
        <v>2</v>
      </c>
    </row>
    <row r="229" spans="1:6" x14ac:dyDescent="0.25">
      <c r="A229">
        <v>90.8</v>
      </c>
      <c r="B229">
        <v>121</v>
      </c>
      <c r="C229">
        <v>117.96</v>
      </c>
      <c r="D229">
        <f t="shared" si="9"/>
        <v>1</v>
      </c>
      <c r="E229">
        <f t="shared" si="10"/>
        <v>1</v>
      </c>
      <c r="F229">
        <f t="shared" si="11"/>
        <v>3</v>
      </c>
    </row>
    <row r="230" spans="1:6" x14ac:dyDescent="0.25">
      <c r="A230">
        <v>88.98</v>
      </c>
      <c r="B230">
        <v>119.69</v>
      </c>
      <c r="C230">
        <v>118.03</v>
      </c>
      <c r="D230">
        <f t="shared" si="9"/>
        <v>1</v>
      </c>
      <c r="E230">
        <f t="shared" si="10"/>
        <v>1</v>
      </c>
      <c r="F230">
        <f t="shared" si="11"/>
        <v>4</v>
      </c>
    </row>
    <row r="231" spans="1:6" x14ac:dyDescent="0.25">
      <c r="A231">
        <v>89.86</v>
      </c>
      <c r="B231">
        <v>117.74</v>
      </c>
      <c r="C231">
        <v>119.61</v>
      </c>
      <c r="D231">
        <f t="shared" si="9"/>
        <v>2</v>
      </c>
      <c r="E231">
        <f t="shared" si="10"/>
        <v>1</v>
      </c>
      <c r="F231">
        <f t="shared" si="11"/>
        <v>5</v>
      </c>
    </row>
    <row r="232" spans="1:6" x14ac:dyDescent="0.25">
      <c r="A232">
        <v>88.45</v>
      </c>
      <c r="B232">
        <v>115.81</v>
      </c>
      <c r="C232">
        <v>120.03</v>
      </c>
      <c r="D232">
        <f t="shared" si="9"/>
        <v>1</v>
      </c>
      <c r="E232">
        <f t="shared" si="10"/>
        <v>1</v>
      </c>
      <c r="F232">
        <f t="shared" si="11"/>
        <v>6</v>
      </c>
    </row>
    <row r="233" spans="1:6" x14ac:dyDescent="0.25">
      <c r="A233">
        <v>86.77</v>
      </c>
      <c r="B233">
        <v>115.06</v>
      </c>
      <c r="C233">
        <v>121.42</v>
      </c>
      <c r="D233">
        <f t="shared" si="9"/>
        <v>1</v>
      </c>
      <c r="E233">
        <f t="shared" si="10"/>
        <v>1</v>
      </c>
      <c r="F233">
        <f t="shared" si="11"/>
        <v>7</v>
      </c>
    </row>
    <row r="234" spans="1:6" x14ac:dyDescent="0.25">
      <c r="A234">
        <v>85.63</v>
      </c>
      <c r="B234">
        <v>117.64</v>
      </c>
      <c r="C234">
        <v>119.78</v>
      </c>
      <c r="D234">
        <f t="shared" si="9"/>
        <v>1</v>
      </c>
      <c r="E234">
        <f t="shared" si="10"/>
        <v>2</v>
      </c>
      <c r="F234">
        <f t="shared" si="11"/>
        <v>1</v>
      </c>
    </row>
    <row r="235" spans="1:6" x14ac:dyDescent="0.25">
      <c r="A235">
        <v>87.73</v>
      </c>
      <c r="B235">
        <v>116.28</v>
      </c>
      <c r="C235">
        <v>117.8</v>
      </c>
      <c r="D235">
        <f t="shared" si="9"/>
        <v>2</v>
      </c>
      <c r="E235">
        <f t="shared" si="10"/>
        <v>1</v>
      </c>
      <c r="F235">
        <f t="shared" si="11"/>
        <v>1</v>
      </c>
    </row>
    <row r="236" spans="1:6" x14ac:dyDescent="0.25">
      <c r="A236">
        <v>89.17</v>
      </c>
      <c r="B236">
        <v>116.04</v>
      </c>
      <c r="C236">
        <v>118.56</v>
      </c>
      <c r="D236">
        <f t="shared" si="9"/>
        <v>3</v>
      </c>
      <c r="E236">
        <f t="shared" si="10"/>
        <v>1</v>
      </c>
      <c r="F236">
        <f t="shared" si="11"/>
        <v>2</v>
      </c>
    </row>
    <row r="237" spans="1:6" x14ac:dyDescent="0.25">
      <c r="A237">
        <v>88.01</v>
      </c>
      <c r="B237">
        <v>115.24</v>
      </c>
      <c r="C237">
        <v>119.36</v>
      </c>
      <c r="D237">
        <f t="shared" si="9"/>
        <v>1</v>
      </c>
      <c r="E237">
        <f t="shared" si="10"/>
        <v>1</v>
      </c>
      <c r="F237">
        <f t="shared" si="11"/>
        <v>3</v>
      </c>
    </row>
    <row r="238" spans="1:6" x14ac:dyDescent="0.25">
      <c r="A238">
        <v>88.31</v>
      </c>
      <c r="B238">
        <v>114.55</v>
      </c>
      <c r="C238">
        <v>121.42</v>
      </c>
      <c r="D238">
        <f t="shared" si="9"/>
        <v>2</v>
      </c>
      <c r="E238">
        <f t="shared" si="10"/>
        <v>1</v>
      </c>
      <c r="F238">
        <f t="shared" si="11"/>
        <v>4</v>
      </c>
    </row>
    <row r="239" spans="1:6" x14ac:dyDescent="0.25">
      <c r="A239">
        <v>86.56</v>
      </c>
      <c r="B239">
        <v>114.27</v>
      </c>
      <c r="C239">
        <v>122.84</v>
      </c>
      <c r="D239">
        <f t="shared" si="9"/>
        <v>1</v>
      </c>
      <c r="E239">
        <f t="shared" si="10"/>
        <v>1</v>
      </c>
      <c r="F239">
        <f t="shared" si="11"/>
        <v>5</v>
      </c>
    </row>
    <row r="240" spans="1:6" x14ac:dyDescent="0.25">
      <c r="A240">
        <v>87.67</v>
      </c>
      <c r="B240">
        <v>113.44</v>
      </c>
      <c r="C240">
        <v>123.27</v>
      </c>
      <c r="D240">
        <f t="shared" si="9"/>
        <v>2</v>
      </c>
      <c r="E240">
        <f t="shared" si="10"/>
        <v>1</v>
      </c>
      <c r="F240">
        <f t="shared" si="11"/>
        <v>6</v>
      </c>
    </row>
    <row r="241" spans="1:6" x14ac:dyDescent="0.25">
      <c r="A241">
        <v>88.52</v>
      </c>
      <c r="B241">
        <v>112.32</v>
      </c>
      <c r="C241">
        <v>124.11</v>
      </c>
      <c r="D241">
        <f t="shared" si="9"/>
        <v>3</v>
      </c>
      <c r="E241">
        <f t="shared" si="10"/>
        <v>1</v>
      </c>
      <c r="F241">
        <f t="shared" si="11"/>
        <v>7</v>
      </c>
    </row>
    <row r="242" spans="1:6" x14ac:dyDescent="0.25">
      <c r="A242">
        <v>87.25</v>
      </c>
      <c r="B242">
        <v>111.2</v>
      </c>
      <c r="C242">
        <v>122.69</v>
      </c>
      <c r="D242">
        <f t="shared" si="9"/>
        <v>1</v>
      </c>
      <c r="E242">
        <f t="shared" si="10"/>
        <v>1</v>
      </c>
      <c r="F242">
        <f t="shared" si="11"/>
        <v>1</v>
      </c>
    </row>
    <row r="243" spans="1:6" x14ac:dyDescent="0.25">
      <c r="A243">
        <v>85.42</v>
      </c>
      <c r="B243">
        <v>113.85</v>
      </c>
      <c r="C243">
        <v>123.41</v>
      </c>
      <c r="D243">
        <f t="shared" si="9"/>
        <v>1</v>
      </c>
      <c r="E243">
        <f t="shared" si="10"/>
        <v>2</v>
      </c>
      <c r="F243">
        <f t="shared" si="11"/>
        <v>2</v>
      </c>
    </row>
    <row r="244" spans="1:6" x14ac:dyDescent="0.25">
      <c r="A244">
        <v>86.62</v>
      </c>
      <c r="B244">
        <v>112.4</v>
      </c>
      <c r="C244">
        <v>124.95</v>
      </c>
      <c r="D244">
        <f t="shared" si="9"/>
        <v>2</v>
      </c>
      <c r="E244">
        <f t="shared" si="10"/>
        <v>1</v>
      </c>
      <c r="F244">
        <f t="shared" si="11"/>
        <v>3</v>
      </c>
    </row>
    <row r="245" spans="1:6" x14ac:dyDescent="0.25">
      <c r="A245">
        <v>88.88</v>
      </c>
      <c r="B245">
        <v>110.75</v>
      </c>
      <c r="C245">
        <v>123.43</v>
      </c>
      <c r="D245">
        <f t="shared" si="9"/>
        <v>3</v>
      </c>
      <c r="E245">
        <f t="shared" si="10"/>
        <v>1</v>
      </c>
      <c r="F245">
        <f t="shared" si="11"/>
        <v>1</v>
      </c>
    </row>
    <row r="246" spans="1:6" x14ac:dyDescent="0.25">
      <c r="A246">
        <v>91.29</v>
      </c>
      <c r="B246">
        <v>113.66</v>
      </c>
      <c r="C246">
        <v>124.69</v>
      </c>
      <c r="D246">
        <f t="shared" si="9"/>
        <v>4</v>
      </c>
      <c r="E246">
        <f t="shared" si="10"/>
        <v>2</v>
      </c>
      <c r="F246">
        <f t="shared" si="11"/>
        <v>2</v>
      </c>
    </row>
    <row r="247" spans="1:6" x14ac:dyDescent="0.25">
      <c r="A247">
        <v>93.1</v>
      </c>
      <c r="B247">
        <v>116.29</v>
      </c>
      <c r="C247">
        <v>126.35</v>
      </c>
      <c r="D247">
        <f t="shared" si="9"/>
        <v>5</v>
      </c>
      <c r="E247">
        <f t="shared" si="10"/>
        <v>3</v>
      </c>
      <c r="F247">
        <f t="shared" si="11"/>
        <v>3</v>
      </c>
    </row>
    <row r="248" spans="1:6" x14ac:dyDescent="0.25">
      <c r="A248">
        <v>93.12</v>
      </c>
      <c r="B248">
        <v>115.9</v>
      </c>
      <c r="C248">
        <v>128.30000000000001</v>
      </c>
      <c r="D248">
        <f t="shared" si="9"/>
        <v>6</v>
      </c>
      <c r="E248">
        <f t="shared" si="10"/>
        <v>1</v>
      </c>
      <c r="F248">
        <f t="shared" si="11"/>
        <v>4</v>
      </c>
    </row>
    <row r="249" spans="1:6" x14ac:dyDescent="0.25">
      <c r="A249">
        <v>91.63</v>
      </c>
      <c r="B249">
        <v>115.81</v>
      </c>
      <c r="C249">
        <v>130.11000000000001</v>
      </c>
      <c r="D249">
        <f t="shared" si="9"/>
        <v>1</v>
      </c>
      <c r="E249">
        <f t="shared" si="10"/>
        <v>1</v>
      </c>
      <c r="F249">
        <f t="shared" si="11"/>
        <v>5</v>
      </c>
    </row>
    <row r="250" spans="1:6" x14ac:dyDescent="0.25">
      <c r="A250">
        <v>92.81</v>
      </c>
      <c r="B250">
        <v>118.4</v>
      </c>
      <c r="C250">
        <v>131.28</v>
      </c>
      <c r="D250">
        <f t="shared" si="9"/>
        <v>2</v>
      </c>
      <c r="E250">
        <f t="shared" si="10"/>
        <v>2</v>
      </c>
      <c r="F250">
        <f t="shared" si="11"/>
        <v>6</v>
      </c>
    </row>
    <row r="251" spans="1:6" x14ac:dyDescent="0.25">
      <c r="A251">
        <v>91.5</v>
      </c>
      <c r="B251">
        <v>117.81</v>
      </c>
      <c r="C251">
        <v>129.41</v>
      </c>
      <c r="D251">
        <f t="shared" si="9"/>
        <v>1</v>
      </c>
      <c r="E251">
        <f t="shared" si="10"/>
        <v>1</v>
      </c>
      <c r="F251">
        <f t="shared" si="11"/>
        <v>1</v>
      </c>
    </row>
    <row r="252" spans="1:6" x14ac:dyDescent="0.25">
      <c r="A252">
        <v>89.95</v>
      </c>
      <c r="B252">
        <v>116.4</v>
      </c>
      <c r="C252">
        <v>130.46</v>
      </c>
      <c r="D252">
        <f t="shared" si="9"/>
        <v>1</v>
      </c>
      <c r="E252">
        <f t="shared" si="10"/>
        <v>1</v>
      </c>
      <c r="F252">
        <f t="shared" si="11"/>
        <v>2</v>
      </c>
    </row>
    <row r="253" spans="1:6" x14ac:dyDescent="0.25">
      <c r="A253">
        <v>88.12</v>
      </c>
      <c r="B253">
        <v>115.83</v>
      </c>
      <c r="C253">
        <v>128.5</v>
      </c>
      <c r="D253">
        <f t="shared" si="9"/>
        <v>1</v>
      </c>
      <c r="E253">
        <f t="shared" si="10"/>
        <v>1</v>
      </c>
      <c r="F253">
        <f t="shared" si="11"/>
        <v>1</v>
      </c>
    </row>
    <row r="254" spans="1:6" x14ac:dyDescent="0.25">
      <c r="A254">
        <v>89.9</v>
      </c>
      <c r="B254">
        <v>115.44</v>
      </c>
      <c r="C254">
        <v>130.22</v>
      </c>
      <c r="D254">
        <f t="shared" si="9"/>
        <v>2</v>
      </c>
      <c r="E254">
        <f t="shared" si="10"/>
        <v>1</v>
      </c>
      <c r="F254">
        <f t="shared" si="11"/>
        <v>2</v>
      </c>
    </row>
    <row r="255" spans="1:6" x14ac:dyDescent="0.25">
      <c r="A255">
        <v>88.53</v>
      </c>
      <c r="B255">
        <v>114.28</v>
      </c>
      <c r="C255">
        <v>128.71</v>
      </c>
      <c r="D255">
        <f t="shared" si="9"/>
        <v>1</v>
      </c>
      <c r="E255">
        <f t="shared" si="10"/>
        <v>1</v>
      </c>
      <c r="F255">
        <f t="shared" si="11"/>
        <v>1</v>
      </c>
    </row>
    <row r="256" spans="1:6" x14ac:dyDescent="0.25">
      <c r="A256">
        <v>89.84</v>
      </c>
      <c r="B256">
        <v>112.41</v>
      </c>
      <c r="C256">
        <v>129.19999999999999</v>
      </c>
      <c r="D256">
        <f t="shared" si="9"/>
        <v>2</v>
      </c>
      <c r="E256">
        <f t="shared" si="10"/>
        <v>1</v>
      </c>
      <c r="F256">
        <f t="shared" si="11"/>
        <v>2</v>
      </c>
    </row>
    <row r="257" spans="1:6" x14ac:dyDescent="0.25">
      <c r="A257">
        <v>88.49</v>
      </c>
      <c r="B257">
        <v>111.14</v>
      </c>
      <c r="C257">
        <v>127.53</v>
      </c>
      <c r="D257">
        <f t="shared" si="9"/>
        <v>1</v>
      </c>
      <c r="E257">
        <f t="shared" si="10"/>
        <v>1</v>
      </c>
      <c r="F257">
        <f t="shared" si="11"/>
        <v>1</v>
      </c>
    </row>
    <row r="258" spans="1:6" x14ac:dyDescent="0.25">
      <c r="A258">
        <v>89.57</v>
      </c>
      <c r="B258">
        <v>110.14</v>
      </c>
      <c r="C258">
        <v>127.7</v>
      </c>
      <c r="D258">
        <f t="shared" si="9"/>
        <v>2</v>
      </c>
      <c r="E258">
        <f t="shared" si="10"/>
        <v>1</v>
      </c>
      <c r="F258">
        <f t="shared" si="11"/>
        <v>2</v>
      </c>
    </row>
    <row r="259" spans="1:6" x14ac:dyDescent="0.25">
      <c r="A259">
        <v>88.41</v>
      </c>
      <c r="B259">
        <v>109.88</v>
      </c>
      <c r="C259">
        <v>126.09</v>
      </c>
      <c r="D259">
        <f t="shared" si="9"/>
        <v>1</v>
      </c>
      <c r="E259">
        <f t="shared" si="10"/>
        <v>1</v>
      </c>
      <c r="F259">
        <f t="shared" si="11"/>
        <v>1</v>
      </c>
    </row>
    <row r="260" spans="1:6" x14ac:dyDescent="0.25">
      <c r="A260">
        <v>86.51</v>
      </c>
      <c r="B260">
        <v>109.46</v>
      </c>
      <c r="C260">
        <v>126.84</v>
      </c>
      <c r="D260">
        <f t="shared" ref="D260:D323" si="12">IF(A260&gt;A259,D259+1,1)</f>
        <v>1</v>
      </c>
      <c r="E260">
        <f t="shared" ref="E260:E323" si="13">IF(B260&gt;B259,E259+1,1)</f>
        <v>1</v>
      </c>
      <c r="F260">
        <f t="shared" ref="F260:F323" si="14">IF(C260&gt;C259,F259+1,1)</f>
        <v>2</v>
      </c>
    </row>
    <row r="261" spans="1:6" x14ac:dyDescent="0.25">
      <c r="A261">
        <v>85.32</v>
      </c>
      <c r="B261">
        <v>109.05</v>
      </c>
      <c r="C261">
        <v>127.17</v>
      </c>
      <c r="D261">
        <f t="shared" si="12"/>
        <v>1</v>
      </c>
      <c r="E261">
        <f t="shared" si="13"/>
        <v>1</v>
      </c>
      <c r="F261">
        <f t="shared" si="14"/>
        <v>3</v>
      </c>
    </row>
    <row r="262" spans="1:6" x14ac:dyDescent="0.25">
      <c r="A262">
        <v>84.06</v>
      </c>
      <c r="B262">
        <v>108.22</v>
      </c>
      <c r="C262">
        <v>127.26</v>
      </c>
      <c r="D262">
        <f t="shared" si="12"/>
        <v>1</v>
      </c>
      <c r="E262">
        <f t="shared" si="13"/>
        <v>1</v>
      </c>
      <c r="F262">
        <f t="shared" si="14"/>
        <v>4</v>
      </c>
    </row>
    <row r="263" spans="1:6" x14ac:dyDescent="0.25">
      <c r="A263">
        <v>82.3</v>
      </c>
      <c r="B263">
        <v>108.01</v>
      </c>
      <c r="C263">
        <v>127.33</v>
      </c>
      <c r="D263">
        <f t="shared" si="12"/>
        <v>1</v>
      </c>
      <c r="E263">
        <f t="shared" si="13"/>
        <v>1</v>
      </c>
      <c r="F263">
        <f t="shared" si="14"/>
        <v>5</v>
      </c>
    </row>
    <row r="264" spans="1:6" x14ac:dyDescent="0.25">
      <c r="A264">
        <v>80.760000000000005</v>
      </c>
      <c r="B264">
        <v>106.11</v>
      </c>
      <c r="C264">
        <v>128.84</v>
      </c>
      <c r="D264">
        <f t="shared" si="12"/>
        <v>1</v>
      </c>
      <c r="E264">
        <f t="shared" si="13"/>
        <v>1</v>
      </c>
      <c r="F264">
        <f t="shared" si="14"/>
        <v>6</v>
      </c>
    </row>
    <row r="265" spans="1:6" x14ac:dyDescent="0.25">
      <c r="A265">
        <v>79.739999999999995</v>
      </c>
      <c r="B265">
        <v>109.11</v>
      </c>
      <c r="C265">
        <v>130.11000000000001</v>
      </c>
      <c r="D265">
        <f t="shared" si="12"/>
        <v>1</v>
      </c>
      <c r="E265">
        <f t="shared" si="13"/>
        <v>2</v>
      </c>
      <c r="F265">
        <f t="shared" si="14"/>
        <v>7</v>
      </c>
    </row>
    <row r="266" spans="1:6" x14ac:dyDescent="0.25">
      <c r="A266">
        <v>77.97</v>
      </c>
      <c r="B266">
        <v>107.8</v>
      </c>
      <c r="C266">
        <v>130.80000000000001</v>
      </c>
      <c r="D266">
        <f t="shared" si="12"/>
        <v>1</v>
      </c>
      <c r="E266">
        <f t="shared" si="13"/>
        <v>1</v>
      </c>
      <c r="F266">
        <f t="shared" si="14"/>
        <v>8</v>
      </c>
    </row>
    <row r="267" spans="1:6" x14ac:dyDescent="0.25">
      <c r="A267">
        <v>76.87</v>
      </c>
      <c r="B267">
        <v>107.08</v>
      </c>
      <c r="C267">
        <v>131.66</v>
      </c>
      <c r="D267">
        <f t="shared" si="12"/>
        <v>1</v>
      </c>
      <c r="E267">
        <f t="shared" si="13"/>
        <v>1</v>
      </c>
      <c r="F267">
        <f t="shared" si="14"/>
        <v>9</v>
      </c>
    </row>
    <row r="268" spans="1:6" x14ac:dyDescent="0.25">
      <c r="A268">
        <v>75.680000000000007</v>
      </c>
      <c r="B268">
        <v>106.03</v>
      </c>
      <c r="C268">
        <v>133.33000000000001</v>
      </c>
      <c r="D268">
        <f t="shared" si="12"/>
        <v>1</v>
      </c>
      <c r="E268">
        <f t="shared" si="13"/>
        <v>1</v>
      </c>
      <c r="F268">
        <f t="shared" si="14"/>
        <v>10</v>
      </c>
    </row>
    <row r="269" spans="1:6" x14ac:dyDescent="0.25">
      <c r="A269">
        <v>74</v>
      </c>
      <c r="B269">
        <v>108.96</v>
      </c>
      <c r="C269">
        <v>135</v>
      </c>
      <c r="D269">
        <f t="shared" si="12"/>
        <v>1</v>
      </c>
      <c r="E269">
        <f t="shared" si="13"/>
        <v>2</v>
      </c>
      <c r="F269">
        <f t="shared" si="14"/>
        <v>11</v>
      </c>
    </row>
    <row r="270" spans="1:6" x14ac:dyDescent="0.25">
      <c r="A270">
        <v>72.63</v>
      </c>
      <c r="B270">
        <v>111.91</v>
      </c>
      <c r="C270">
        <v>133.07</v>
      </c>
      <c r="D270">
        <f t="shared" si="12"/>
        <v>1</v>
      </c>
      <c r="E270">
        <f t="shared" si="13"/>
        <v>3</v>
      </c>
      <c r="F270">
        <f t="shared" si="14"/>
        <v>1</v>
      </c>
    </row>
    <row r="271" spans="1:6" x14ac:dyDescent="0.25">
      <c r="A271">
        <v>74.45</v>
      </c>
      <c r="B271">
        <v>110.17</v>
      </c>
      <c r="C271">
        <v>133.78</v>
      </c>
      <c r="D271">
        <f t="shared" si="12"/>
        <v>2</v>
      </c>
      <c r="E271">
        <f t="shared" si="13"/>
        <v>1</v>
      </c>
      <c r="F271">
        <f t="shared" si="14"/>
        <v>2</v>
      </c>
    </row>
    <row r="272" spans="1:6" x14ac:dyDescent="0.25">
      <c r="A272">
        <v>76.709999999999994</v>
      </c>
      <c r="B272">
        <v>112.84</v>
      </c>
      <c r="C272">
        <v>132.02000000000001</v>
      </c>
      <c r="D272">
        <f t="shared" si="12"/>
        <v>3</v>
      </c>
      <c r="E272">
        <f t="shared" si="13"/>
        <v>2</v>
      </c>
      <c r="F272">
        <f t="shared" si="14"/>
        <v>1</v>
      </c>
    </row>
    <row r="273" spans="1:6" x14ac:dyDescent="0.25">
      <c r="A273">
        <v>75</v>
      </c>
      <c r="B273">
        <v>111.15</v>
      </c>
      <c r="C273">
        <v>130.4</v>
      </c>
      <c r="D273">
        <f t="shared" si="12"/>
        <v>1</v>
      </c>
      <c r="E273">
        <f t="shared" si="13"/>
        <v>1</v>
      </c>
      <c r="F273">
        <f t="shared" si="14"/>
        <v>1</v>
      </c>
    </row>
    <row r="274" spans="1:6" x14ac:dyDescent="0.25">
      <c r="A274">
        <v>73.349999999999994</v>
      </c>
      <c r="B274">
        <v>109.91</v>
      </c>
      <c r="C274">
        <v>132.28</v>
      </c>
      <c r="D274">
        <f t="shared" si="12"/>
        <v>1</v>
      </c>
      <c r="E274">
        <f t="shared" si="13"/>
        <v>1</v>
      </c>
      <c r="F274">
        <f t="shared" si="14"/>
        <v>2</v>
      </c>
    </row>
    <row r="275" spans="1:6" x14ac:dyDescent="0.25">
      <c r="A275">
        <v>71.900000000000006</v>
      </c>
      <c r="B275">
        <v>109.19</v>
      </c>
      <c r="C275">
        <v>132.38999999999999</v>
      </c>
      <c r="D275">
        <f t="shared" si="12"/>
        <v>1</v>
      </c>
      <c r="E275">
        <f t="shared" si="13"/>
        <v>1</v>
      </c>
      <c r="F275">
        <f t="shared" si="14"/>
        <v>3</v>
      </c>
    </row>
    <row r="276" spans="1:6" x14ac:dyDescent="0.25">
      <c r="A276">
        <v>70.31</v>
      </c>
      <c r="B276">
        <v>108.35</v>
      </c>
      <c r="C276">
        <v>130.94</v>
      </c>
      <c r="D276">
        <f t="shared" si="12"/>
        <v>1</v>
      </c>
      <c r="E276">
        <f t="shared" si="13"/>
        <v>1</v>
      </c>
      <c r="F276">
        <f t="shared" si="14"/>
        <v>1</v>
      </c>
    </row>
    <row r="277" spans="1:6" x14ac:dyDescent="0.25">
      <c r="A277">
        <v>68.63</v>
      </c>
      <c r="B277">
        <v>107.99</v>
      </c>
      <c r="C277">
        <v>129.53</v>
      </c>
      <c r="D277">
        <f t="shared" si="12"/>
        <v>1</v>
      </c>
      <c r="E277">
        <f t="shared" si="13"/>
        <v>1</v>
      </c>
      <c r="F277">
        <f t="shared" si="14"/>
        <v>1</v>
      </c>
    </row>
    <row r="278" spans="1:6" x14ac:dyDescent="0.25">
      <c r="A278">
        <v>71.069999999999993</v>
      </c>
      <c r="B278">
        <v>110.4</v>
      </c>
      <c r="C278">
        <v>129.55000000000001</v>
      </c>
      <c r="D278">
        <f t="shared" si="12"/>
        <v>2</v>
      </c>
      <c r="E278">
        <f t="shared" si="13"/>
        <v>2</v>
      </c>
      <c r="F278">
        <f t="shared" si="14"/>
        <v>2</v>
      </c>
    </row>
    <row r="279" spans="1:6" x14ac:dyDescent="0.25">
      <c r="A279">
        <v>72.34</v>
      </c>
      <c r="B279">
        <v>108.92</v>
      </c>
      <c r="C279">
        <v>130.43</v>
      </c>
      <c r="D279">
        <f t="shared" si="12"/>
        <v>3</v>
      </c>
      <c r="E279">
        <f t="shared" si="13"/>
        <v>1</v>
      </c>
      <c r="F279">
        <f t="shared" si="14"/>
        <v>3</v>
      </c>
    </row>
    <row r="280" spans="1:6" x14ac:dyDescent="0.25">
      <c r="A280">
        <v>71.27</v>
      </c>
      <c r="B280">
        <v>111.43</v>
      </c>
      <c r="C280">
        <v>130.88999999999999</v>
      </c>
      <c r="D280">
        <f t="shared" si="12"/>
        <v>1</v>
      </c>
      <c r="E280">
        <f t="shared" si="13"/>
        <v>2</v>
      </c>
      <c r="F280">
        <f t="shared" si="14"/>
        <v>4</v>
      </c>
    </row>
    <row r="281" spans="1:6" x14ac:dyDescent="0.25">
      <c r="A281">
        <v>71.540000000000006</v>
      </c>
      <c r="B281">
        <v>109.43</v>
      </c>
      <c r="C281">
        <v>129.18</v>
      </c>
      <c r="D281">
        <f t="shared" si="12"/>
        <v>2</v>
      </c>
      <c r="E281">
        <f t="shared" si="13"/>
        <v>1</v>
      </c>
      <c r="F281">
        <f t="shared" si="14"/>
        <v>1</v>
      </c>
    </row>
    <row r="282" spans="1:6" x14ac:dyDescent="0.25">
      <c r="A282">
        <v>72.11</v>
      </c>
      <c r="B282">
        <v>108.76</v>
      </c>
      <c r="C282">
        <v>129.96</v>
      </c>
      <c r="D282">
        <f t="shared" si="12"/>
        <v>3</v>
      </c>
      <c r="E282">
        <f t="shared" si="13"/>
        <v>1</v>
      </c>
      <c r="F282">
        <f t="shared" si="14"/>
        <v>2</v>
      </c>
    </row>
    <row r="283" spans="1:6" x14ac:dyDescent="0.25">
      <c r="A283">
        <v>73.61</v>
      </c>
      <c r="B283">
        <v>107.21</v>
      </c>
      <c r="C283">
        <v>130.33000000000001</v>
      </c>
      <c r="D283">
        <f t="shared" si="12"/>
        <v>4</v>
      </c>
      <c r="E283">
        <f t="shared" si="13"/>
        <v>1</v>
      </c>
      <c r="F283">
        <f t="shared" si="14"/>
        <v>3</v>
      </c>
    </row>
    <row r="284" spans="1:6" x14ac:dyDescent="0.25">
      <c r="A284">
        <v>74.5</v>
      </c>
      <c r="B284">
        <v>107.13</v>
      </c>
      <c r="C284">
        <v>130.63999999999999</v>
      </c>
      <c r="D284">
        <f t="shared" si="12"/>
        <v>5</v>
      </c>
      <c r="E284">
        <f t="shared" si="13"/>
        <v>1</v>
      </c>
      <c r="F284">
        <f t="shared" si="14"/>
        <v>4</v>
      </c>
    </row>
    <row r="285" spans="1:6" x14ac:dyDescent="0.25">
      <c r="A285">
        <v>76.239999999999995</v>
      </c>
      <c r="B285">
        <v>109.71</v>
      </c>
      <c r="C285">
        <v>130.78</v>
      </c>
      <c r="D285">
        <f t="shared" si="12"/>
        <v>6</v>
      </c>
      <c r="E285">
        <f t="shared" si="13"/>
        <v>2</v>
      </c>
      <c r="F285">
        <f t="shared" si="14"/>
        <v>5</v>
      </c>
    </row>
    <row r="286" spans="1:6" x14ac:dyDescent="0.25">
      <c r="A286">
        <v>76.92</v>
      </c>
      <c r="B286">
        <v>109.26</v>
      </c>
      <c r="C286">
        <v>129.13999999999999</v>
      </c>
      <c r="D286">
        <f t="shared" si="12"/>
        <v>7</v>
      </c>
      <c r="E286">
        <f t="shared" si="13"/>
        <v>1</v>
      </c>
      <c r="F286">
        <f t="shared" si="14"/>
        <v>1</v>
      </c>
    </row>
    <row r="287" spans="1:6" x14ac:dyDescent="0.25">
      <c r="A287">
        <v>78.94</v>
      </c>
      <c r="B287">
        <v>108.08</v>
      </c>
      <c r="C287">
        <v>130.85</v>
      </c>
      <c r="D287">
        <f t="shared" si="12"/>
        <v>8</v>
      </c>
      <c r="E287">
        <f t="shared" si="13"/>
        <v>1</v>
      </c>
      <c r="F287">
        <f t="shared" si="14"/>
        <v>2</v>
      </c>
    </row>
    <row r="288" spans="1:6" x14ac:dyDescent="0.25">
      <c r="A288">
        <v>77.64</v>
      </c>
      <c r="B288">
        <v>107.52</v>
      </c>
      <c r="C288">
        <v>131.24</v>
      </c>
      <c r="D288">
        <f t="shared" si="12"/>
        <v>1</v>
      </c>
      <c r="E288">
        <f t="shared" si="13"/>
        <v>1</v>
      </c>
      <c r="F288">
        <f t="shared" si="14"/>
        <v>3</v>
      </c>
    </row>
    <row r="289" spans="1:6" x14ac:dyDescent="0.25">
      <c r="A289">
        <v>76.14</v>
      </c>
      <c r="B289">
        <v>107.35</v>
      </c>
      <c r="C289">
        <v>131.37</v>
      </c>
      <c r="D289">
        <f t="shared" si="12"/>
        <v>1</v>
      </c>
      <c r="E289">
        <f t="shared" si="13"/>
        <v>1</v>
      </c>
      <c r="F289">
        <f t="shared" si="14"/>
        <v>4</v>
      </c>
    </row>
    <row r="290" spans="1:6" x14ac:dyDescent="0.25">
      <c r="A290">
        <v>74.72</v>
      </c>
      <c r="B290">
        <v>105.74</v>
      </c>
      <c r="C290">
        <v>129.88</v>
      </c>
      <c r="D290">
        <f t="shared" si="12"/>
        <v>1</v>
      </c>
      <c r="E290">
        <f t="shared" si="13"/>
        <v>1</v>
      </c>
      <c r="F290">
        <f t="shared" si="14"/>
        <v>1</v>
      </c>
    </row>
    <row r="291" spans="1:6" x14ac:dyDescent="0.25">
      <c r="A291">
        <v>73.02</v>
      </c>
      <c r="B291">
        <v>105.32</v>
      </c>
      <c r="C291">
        <v>131.79</v>
      </c>
      <c r="D291">
        <f t="shared" si="12"/>
        <v>1</v>
      </c>
      <c r="E291">
        <f t="shared" si="13"/>
        <v>1</v>
      </c>
      <c r="F291">
        <f t="shared" si="14"/>
        <v>2</v>
      </c>
    </row>
    <row r="292" spans="1:6" x14ac:dyDescent="0.25">
      <c r="A292">
        <v>73.42</v>
      </c>
      <c r="B292">
        <v>103.92</v>
      </c>
      <c r="C292">
        <v>129.97999999999999</v>
      </c>
      <c r="D292">
        <f t="shared" si="12"/>
        <v>2</v>
      </c>
      <c r="E292">
        <f t="shared" si="13"/>
        <v>1</v>
      </c>
      <c r="F292">
        <f t="shared" si="14"/>
        <v>1</v>
      </c>
    </row>
    <row r="293" spans="1:6" x14ac:dyDescent="0.25">
      <c r="A293">
        <v>71.849999999999994</v>
      </c>
      <c r="B293">
        <v>103.17</v>
      </c>
      <c r="C293">
        <v>130.77000000000001</v>
      </c>
      <c r="D293">
        <f t="shared" si="12"/>
        <v>1</v>
      </c>
      <c r="E293">
        <f t="shared" si="13"/>
        <v>1</v>
      </c>
      <c r="F293">
        <f t="shared" si="14"/>
        <v>2</v>
      </c>
    </row>
    <row r="294" spans="1:6" x14ac:dyDescent="0.25">
      <c r="A294">
        <v>70.02</v>
      </c>
      <c r="B294">
        <v>102.14</v>
      </c>
      <c r="C294">
        <v>129.31</v>
      </c>
      <c r="D294">
        <f t="shared" si="12"/>
        <v>1</v>
      </c>
      <c r="E294">
        <f t="shared" si="13"/>
        <v>1</v>
      </c>
      <c r="F294">
        <f t="shared" si="14"/>
        <v>1</v>
      </c>
    </row>
    <row r="295" spans="1:6" x14ac:dyDescent="0.25">
      <c r="A295">
        <v>68.36</v>
      </c>
      <c r="B295">
        <v>101.73</v>
      </c>
      <c r="C295">
        <v>130.66999999999999</v>
      </c>
      <c r="D295">
        <f t="shared" si="12"/>
        <v>1</v>
      </c>
      <c r="E295">
        <f t="shared" si="13"/>
        <v>1</v>
      </c>
      <c r="F295">
        <f t="shared" si="14"/>
        <v>2</v>
      </c>
    </row>
    <row r="296" spans="1:6" x14ac:dyDescent="0.25">
      <c r="A296">
        <v>66.989999999999995</v>
      </c>
      <c r="B296">
        <v>100.39</v>
      </c>
      <c r="C296">
        <v>128.88</v>
      </c>
      <c r="D296">
        <f t="shared" si="12"/>
        <v>1</v>
      </c>
      <c r="E296">
        <f t="shared" si="13"/>
        <v>1</v>
      </c>
      <c r="F296">
        <f t="shared" si="14"/>
        <v>1</v>
      </c>
    </row>
    <row r="297" spans="1:6" x14ac:dyDescent="0.25">
      <c r="A297">
        <v>65.94</v>
      </c>
      <c r="B297">
        <v>98.52</v>
      </c>
      <c r="C297">
        <v>127.1</v>
      </c>
      <c r="D297">
        <f t="shared" si="12"/>
        <v>1</v>
      </c>
      <c r="E297">
        <f t="shared" si="13"/>
        <v>1</v>
      </c>
      <c r="F297">
        <f t="shared" si="14"/>
        <v>1</v>
      </c>
    </row>
    <row r="298" spans="1:6" x14ac:dyDescent="0.25">
      <c r="A298">
        <v>64.150000000000006</v>
      </c>
      <c r="B298">
        <v>101.27</v>
      </c>
      <c r="C298">
        <v>128.56</v>
      </c>
      <c r="D298">
        <f t="shared" si="12"/>
        <v>1</v>
      </c>
      <c r="E298">
        <f t="shared" si="13"/>
        <v>2</v>
      </c>
      <c r="F298">
        <f t="shared" si="14"/>
        <v>2</v>
      </c>
    </row>
    <row r="299" spans="1:6" x14ac:dyDescent="0.25">
      <c r="A299">
        <v>65.95</v>
      </c>
      <c r="B299">
        <v>101.23</v>
      </c>
      <c r="C299">
        <v>126.64</v>
      </c>
      <c r="D299">
        <f t="shared" si="12"/>
        <v>2</v>
      </c>
      <c r="E299">
        <f t="shared" si="13"/>
        <v>1</v>
      </c>
      <c r="F299">
        <f t="shared" si="14"/>
        <v>1</v>
      </c>
    </row>
    <row r="300" spans="1:6" x14ac:dyDescent="0.25">
      <c r="A300">
        <v>67.45</v>
      </c>
      <c r="B300">
        <v>100.8</v>
      </c>
      <c r="C300">
        <v>127.5</v>
      </c>
      <c r="D300">
        <f t="shared" si="12"/>
        <v>3</v>
      </c>
      <c r="E300">
        <f t="shared" si="13"/>
        <v>1</v>
      </c>
      <c r="F300">
        <f t="shared" si="14"/>
        <v>2</v>
      </c>
    </row>
    <row r="301" spans="1:6" x14ac:dyDescent="0.25">
      <c r="A301">
        <v>65.540000000000006</v>
      </c>
      <c r="B301">
        <v>103.36</v>
      </c>
      <c r="C301">
        <v>127.51</v>
      </c>
      <c r="D301">
        <f t="shared" si="12"/>
        <v>1</v>
      </c>
      <c r="E301">
        <f t="shared" si="13"/>
        <v>2</v>
      </c>
      <c r="F301">
        <f t="shared" si="14"/>
        <v>3</v>
      </c>
    </row>
    <row r="302" spans="1:6" x14ac:dyDescent="0.25">
      <c r="A302">
        <v>67.31</v>
      </c>
      <c r="B302">
        <v>103.09</v>
      </c>
      <c r="C302">
        <v>128.83000000000001</v>
      </c>
      <c r="D302">
        <f t="shared" si="12"/>
        <v>2</v>
      </c>
      <c r="E302">
        <f t="shared" si="13"/>
        <v>1</v>
      </c>
      <c r="F302">
        <f t="shared" si="14"/>
        <v>4</v>
      </c>
    </row>
    <row r="303" spans="1:6" x14ac:dyDescent="0.25">
      <c r="A303">
        <v>68.48</v>
      </c>
      <c r="B303">
        <v>101.33</v>
      </c>
      <c r="C303">
        <v>126.93</v>
      </c>
      <c r="D303">
        <f t="shared" si="12"/>
        <v>3</v>
      </c>
      <c r="E303">
        <f t="shared" si="13"/>
        <v>1</v>
      </c>
      <c r="F303">
        <f t="shared" si="14"/>
        <v>1</v>
      </c>
    </row>
    <row r="304" spans="1:6" x14ac:dyDescent="0.25">
      <c r="A304">
        <v>70.61</v>
      </c>
      <c r="B304">
        <v>101.33</v>
      </c>
      <c r="C304">
        <v>128.9</v>
      </c>
      <c r="D304">
        <f t="shared" si="12"/>
        <v>4</v>
      </c>
      <c r="E304">
        <f t="shared" si="13"/>
        <v>1</v>
      </c>
      <c r="F304">
        <f t="shared" si="14"/>
        <v>2</v>
      </c>
    </row>
    <row r="305" spans="1:6" x14ac:dyDescent="0.25">
      <c r="A305">
        <v>68.95</v>
      </c>
      <c r="B305">
        <v>100.05</v>
      </c>
      <c r="C305">
        <v>129.55000000000001</v>
      </c>
      <c r="D305">
        <f t="shared" si="12"/>
        <v>1</v>
      </c>
      <c r="E305">
        <f t="shared" si="13"/>
        <v>1</v>
      </c>
      <c r="F305">
        <f t="shared" si="14"/>
        <v>3</v>
      </c>
    </row>
    <row r="306" spans="1:6" x14ac:dyDescent="0.25">
      <c r="A306">
        <v>70.34</v>
      </c>
      <c r="B306">
        <v>99.1</v>
      </c>
      <c r="C306">
        <v>130</v>
      </c>
      <c r="D306">
        <f t="shared" si="12"/>
        <v>2</v>
      </c>
      <c r="E306">
        <f t="shared" si="13"/>
        <v>1</v>
      </c>
      <c r="F306">
        <f t="shared" si="14"/>
        <v>4</v>
      </c>
    </row>
    <row r="307" spans="1:6" x14ac:dyDescent="0.25">
      <c r="A307">
        <v>72.260000000000005</v>
      </c>
      <c r="B307">
        <v>102.08</v>
      </c>
      <c r="C307">
        <v>129.80000000000001</v>
      </c>
      <c r="D307">
        <f t="shared" si="12"/>
        <v>3</v>
      </c>
      <c r="E307">
        <f t="shared" si="13"/>
        <v>2</v>
      </c>
      <c r="F307">
        <f t="shared" si="14"/>
        <v>1</v>
      </c>
    </row>
    <row r="308" spans="1:6" x14ac:dyDescent="0.25">
      <c r="A308">
        <v>70.56</v>
      </c>
      <c r="B308">
        <v>101.44</v>
      </c>
      <c r="C308">
        <v>131.47</v>
      </c>
      <c r="D308">
        <f t="shared" si="12"/>
        <v>1</v>
      </c>
      <c r="E308">
        <f t="shared" si="13"/>
        <v>1</v>
      </c>
      <c r="F308">
        <f t="shared" si="14"/>
        <v>2</v>
      </c>
    </row>
    <row r="309" spans="1:6" x14ac:dyDescent="0.25">
      <c r="A309">
        <v>72.2</v>
      </c>
      <c r="B309">
        <v>100.09</v>
      </c>
      <c r="C309">
        <v>131.77000000000001</v>
      </c>
      <c r="D309">
        <f t="shared" si="12"/>
        <v>2</v>
      </c>
      <c r="E309">
        <f t="shared" si="13"/>
        <v>1</v>
      </c>
      <c r="F309">
        <f t="shared" si="14"/>
        <v>3</v>
      </c>
    </row>
    <row r="310" spans="1:6" x14ac:dyDescent="0.25">
      <c r="A310">
        <v>70.36</v>
      </c>
      <c r="B310">
        <v>98.49</v>
      </c>
      <c r="C310">
        <v>132.02000000000001</v>
      </c>
      <c r="D310">
        <f t="shared" si="12"/>
        <v>1</v>
      </c>
      <c r="E310">
        <f t="shared" si="13"/>
        <v>1</v>
      </c>
      <c r="F310">
        <f t="shared" si="14"/>
        <v>4</v>
      </c>
    </row>
    <row r="311" spans="1:6" x14ac:dyDescent="0.25">
      <c r="A311">
        <v>71.61</v>
      </c>
      <c r="B311">
        <v>96.78</v>
      </c>
      <c r="C311">
        <v>133.83000000000001</v>
      </c>
      <c r="D311">
        <f t="shared" si="12"/>
        <v>2</v>
      </c>
      <c r="E311">
        <f t="shared" si="13"/>
        <v>1</v>
      </c>
      <c r="F311">
        <f t="shared" si="14"/>
        <v>5</v>
      </c>
    </row>
    <row r="312" spans="1:6" x14ac:dyDescent="0.25">
      <c r="A312">
        <v>70.290000000000006</v>
      </c>
      <c r="B312">
        <v>95.63</v>
      </c>
      <c r="C312">
        <v>135.18</v>
      </c>
      <c r="D312">
        <f t="shared" si="12"/>
        <v>1</v>
      </c>
      <c r="E312">
        <f t="shared" si="13"/>
        <v>1</v>
      </c>
      <c r="F312">
        <f t="shared" si="14"/>
        <v>6</v>
      </c>
    </row>
    <row r="313" spans="1:6" x14ac:dyDescent="0.25">
      <c r="A313">
        <v>69.23</v>
      </c>
      <c r="B313">
        <v>93.96</v>
      </c>
      <c r="C313">
        <v>137.03</v>
      </c>
      <c r="D313">
        <f t="shared" si="12"/>
        <v>1</v>
      </c>
      <c r="E313">
        <f t="shared" si="13"/>
        <v>1</v>
      </c>
      <c r="F313">
        <f t="shared" si="14"/>
        <v>7</v>
      </c>
    </row>
    <row r="314" spans="1:6" x14ac:dyDescent="0.25">
      <c r="A314">
        <v>67.989999999999995</v>
      </c>
      <c r="B314">
        <v>92.27</v>
      </c>
      <c r="C314">
        <v>138.52000000000001</v>
      </c>
      <c r="D314">
        <f t="shared" si="12"/>
        <v>1</v>
      </c>
      <c r="E314">
        <f t="shared" si="13"/>
        <v>1</v>
      </c>
      <c r="F314">
        <f t="shared" si="14"/>
        <v>8</v>
      </c>
    </row>
    <row r="315" spans="1:6" x14ac:dyDescent="0.25">
      <c r="A315">
        <v>69.44</v>
      </c>
      <c r="B315">
        <v>90.35</v>
      </c>
      <c r="C315">
        <v>137.19</v>
      </c>
      <c r="D315">
        <f t="shared" si="12"/>
        <v>2</v>
      </c>
      <c r="E315">
        <f t="shared" si="13"/>
        <v>1</v>
      </c>
      <c r="F315">
        <f t="shared" si="14"/>
        <v>1</v>
      </c>
    </row>
    <row r="316" spans="1:6" x14ac:dyDescent="0.25">
      <c r="A316">
        <v>70.47</v>
      </c>
      <c r="B316">
        <v>92.91</v>
      </c>
      <c r="C316">
        <v>135.94999999999999</v>
      </c>
      <c r="D316">
        <f t="shared" si="12"/>
        <v>3</v>
      </c>
      <c r="E316">
        <f t="shared" si="13"/>
        <v>2</v>
      </c>
      <c r="F316">
        <f t="shared" si="14"/>
        <v>1</v>
      </c>
    </row>
    <row r="317" spans="1:6" x14ac:dyDescent="0.25">
      <c r="A317">
        <v>71.23</v>
      </c>
      <c r="B317">
        <v>91.71</v>
      </c>
      <c r="C317">
        <v>137</v>
      </c>
      <c r="D317">
        <f t="shared" si="12"/>
        <v>4</v>
      </c>
      <c r="E317">
        <f t="shared" si="13"/>
        <v>1</v>
      </c>
      <c r="F317">
        <f t="shared" si="14"/>
        <v>2</v>
      </c>
    </row>
    <row r="318" spans="1:6" x14ac:dyDescent="0.25">
      <c r="A318">
        <v>70.17</v>
      </c>
      <c r="B318">
        <v>91.34</v>
      </c>
      <c r="C318">
        <v>137.66999999999999</v>
      </c>
      <c r="D318">
        <f t="shared" si="12"/>
        <v>1</v>
      </c>
      <c r="E318">
        <f t="shared" si="13"/>
        <v>1</v>
      </c>
      <c r="F318">
        <f t="shared" si="14"/>
        <v>3</v>
      </c>
    </row>
    <row r="319" spans="1:6" x14ac:dyDescent="0.25">
      <c r="A319">
        <v>71.95</v>
      </c>
      <c r="B319">
        <v>90.05</v>
      </c>
      <c r="C319">
        <v>136.63</v>
      </c>
      <c r="D319">
        <f t="shared" si="12"/>
        <v>2</v>
      </c>
      <c r="E319">
        <f t="shared" si="13"/>
        <v>1</v>
      </c>
      <c r="F319">
        <f t="shared" si="14"/>
        <v>1</v>
      </c>
    </row>
    <row r="320" spans="1:6" x14ac:dyDescent="0.25">
      <c r="A320">
        <v>73.099999999999994</v>
      </c>
      <c r="B320">
        <v>89.87</v>
      </c>
      <c r="C320">
        <v>137.87</v>
      </c>
      <c r="D320">
        <f t="shared" si="12"/>
        <v>3</v>
      </c>
      <c r="E320">
        <f t="shared" si="13"/>
        <v>1</v>
      </c>
      <c r="F320">
        <f t="shared" si="14"/>
        <v>2</v>
      </c>
    </row>
    <row r="321" spans="1:6" x14ac:dyDescent="0.25">
      <c r="A321">
        <v>74.34</v>
      </c>
      <c r="B321">
        <v>92.63</v>
      </c>
      <c r="C321">
        <v>139.09</v>
      </c>
      <c r="D321">
        <f t="shared" si="12"/>
        <v>4</v>
      </c>
      <c r="E321">
        <f t="shared" si="13"/>
        <v>2</v>
      </c>
      <c r="F321">
        <f t="shared" si="14"/>
        <v>3</v>
      </c>
    </row>
    <row r="322" spans="1:6" x14ac:dyDescent="0.25">
      <c r="A322">
        <v>75.400000000000006</v>
      </c>
      <c r="B322">
        <v>91.36</v>
      </c>
      <c r="C322">
        <v>140.12</v>
      </c>
      <c r="D322">
        <f t="shared" si="12"/>
        <v>5</v>
      </c>
      <c r="E322">
        <f t="shared" si="13"/>
        <v>1</v>
      </c>
      <c r="F322">
        <f t="shared" si="14"/>
        <v>4</v>
      </c>
    </row>
    <row r="323" spans="1:6" x14ac:dyDescent="0.25">
      <c r="A323">
        <v>75.91</v>
      </c>
      <c r="B323">
        <v>91.04</v>
      </c>
      <c r="C323">
        <v>138.57</v>
      </c>
      <c r="D323">
        <f t="shared" si="12"/>
        <v>6</v>
      </c>
      <c r="E323">
        <f t="shared" si="13"/>
        <v>1</v>
      </c>
      <c r="F323">
        <f t="shared" si="14"/>
        <v>1</v>
      </c>
    </row>
    <row r="324" spans="1:6" x14ac:dyDescent="0.25">
      <c r="A324">
        <v>74.760000000000005</v>
      </c>
      <c r="B324">
        <v>90.45</v>
      </c>
      <c r="C324">
        <v>138.84</v>
      </c>
      <c r="D324">
        <f t="shared" ref="D324:D387" si="15">IF(A324&gt;A323,D323+1,1)</f>
        <v>1</v>
      </c>
      <c r="E324">
        <f t="shared" ref="E324:E387" si="16">IF(B324&gt;B323,E323+1,1)</f>
        <v>1</v>
      </c>
      <c r="F324">
        <f t="shared" ref="F324:F387" si="17">IF(C324&gt;C323,F323+1,1)</f>
        <v>2</v>
      </c>
    </row>
    <row r="325" spans="1:6" x14ac:dyDescent="0.25">
      <c r="A325">
        <v>75.89</v>
      </c>
      <c r="B325">
        <v>89.75</v>
      </c>
      <c r="C325">
        <v>140.71</v>
      </c>
      <c r="D325">
        <f t="shared" si="15"/>
        <v>2</v>
      </c>
      <c r="E325">
        <f t="shared" si="16"/>
        <v>1</v>
      </c>
      <c r="F325">
        <f t="shared" si="17"/>
        <v>3</v>
      </c>
    </row>
    <row r="326" spans="1:6" x14ac:dyDescent="0.25">
      <c r="A326">
        <v>77.86</v>
      </c>
      <c r="B326">
        <v>89.51</v>
      </c>
      <c r="C326">
        <v>140.85</v>
      </c>
      <c r="D326">
        <f t="shared" si="15"/>
        <v>3</v>
      </c>
      <c r="E326">
        <f t="shared" si="16"/>
        <v>1</v>
      </c>
      <c r="F326">
        <f t="shared" si="17"/>
        <v>4</v>
      </c>
    </row>
    <row r="327" spans="1:6" x14ac:dyDescent="0.25">
      <c r="A327">
        <v>79.27</v>
      </c>
      <c r="B327">
        <v>88.66</v>
      </c>
      <c r="C327">
        <v>138.94999999999999</v>
      </c>
      <c r="D327">
        <f t="shared" si="15"/>
        <v>4</v>
      </c>
      <c r="E327">
        <f t="shared" si="16"/>
        <v>1</v>
      </c>
      <c r="F327">
        <f t="shared" si="17"/>
        <v>1</v>
      </c>
    </row>
    <row r="328" spans="1:6" x14ac:dyDescent="0.25">
      <c r="A328">
        <v>80.73</v>
      </c>
      <c r="B328">
        <v>88.17</v>
      </c>
      <c r="C328">
        <v>140.37</v>
      </c>
      <c r="D328">
        <f t="shared" si="15"/>
        <v>5</v>
      </c>
      <c r="E328">
        <f t="shared" si="16"/>
        <v>1</v>
      </c>
      <c r="F328">
        <f t="shared" si="17"/>
        <v>2</v>
      </c>
    </row>
    <row r="329" spans="1:6" x14ac:dyDescent="0.25">
      <c r="A329">
        <v>81.010000000000005</v>
      </c>
      <c r="B329">
        <v>87.02</v>
      </c>
      <c r="C329">
        <v>139.33000000000001</v>
      </c>
      <c r="D329">
        <f t="shared" si="15"/>
        <v>6</v>
      </c>
      <c r="E329">
        <f t="shared" si="16"/>
        <v>1</v>
      </c>
      <c r="F329">
        <f t="shared" si="17"/>
        <v>1</v>
      </c>
    </row>
    <row r="330" spans="1:6" x14ac:dyDescent="0.25">
      <c r="A330">
        <v>79.97</v>
      </c>
      <c r="B330">
        <v>86.95</v>
      </c>
      <c r="C330">
        <v>141.26</v>
      </c>
      <c r="D330">
        <f t="shared" si="15"/>
        <v>1</v>
      </c>
      <c r="E330">
        <f t="shared" si="16"/>
        <v>1</v>
      </c>
      <c r="F330">
        <f t="shared" si="17"/>
        <v>2</v>
      </c>
    </row>
    <row r="331" spans="1:6" x14ac:dyDescent="0.25">
      <c r="A331">
        <v>77.98</v>
      </c>
      <c r="B331">
        <v>85.86</v>
      </c>
      <c r="C331">
        <v>142.91999999999999</v>
      </c>
      <c r="D331">
        <f t="shared" si="15"/>
        <v>1</v>
      </c>
      <c r="E331">
        <f t="shared" si="16"/>
        <v>1</v>
      </c>
      <c r="F331">
        <f t="shared" si="17"/>
        <v>3</v>
      </c>
    </row>
    <row r="332" spans="1:6" x14ac:dyDescent="0.25">
      <c r="A332">
        <v>79.209999999999994</v>
      </c>
      <c r="B332">
        <v>88.48</v>
      </c>
      <c r="C332">
        <v>145.30000000000001</v>
      </c>
      <c r="D332">
        <f t="shared" si="15"/>
        <v>2</v>
      </c>
      <c r="E332">
        <f t="shared" si="16"/>
        <v>2</v>
      </c>
      <c r="F332">
        <f t="shared" si="17"/>
        <v>4</v>
      </c>
    </row>
    <row r="333" spans="1:6" x14ac:dyDescent="0.25">
      <c r="A333">
        <v>80.59</v>
      </c>
      <c r="B333">
        <v>86.96</v>
      </c>
      <c r="C333">
        <v>143.49</v>
      </c>
      <c r="D333">
        <f t="shared" si="15"/>
        <v>3</v>
      </c>
      <c r="E333">
        <f t="shared" si="16"/>
        <v>1</v>
      </c>
      <c r="F333">
        <f t="shared" si="17"/>
        <v>1</v>
      </c>
    </row>
    <row r="334" spans="1:6" x14ac:dyDescent="0.25">
      <c r="A334">
        <v>83.04</v>
      </c>
      <c r="B334">
        <v>86.49</v>
      </c>
      <c r="C334">
        <v>145.41</v>
      </c>
      <c r="D334">
        <f t="shared" si="15"/>
        <v>4</v>
      </c>
      <c r="E334">
        <f t="shared" si="16"/>
        <v>1</v>
      </c>
      <c r="F334">
        <f t="shared" si="17"/>
        <v>2</v>
      </c>
    </row>
    <row r="335" spans="1:6" x14ac:dyDescent="0.25">
      <c r="A335">
        <v>84.26</v>
      </c>
      <c r="B335">
        <v>86.09</v>
      </c>
      <c r="C335">
        <v>147.4</v>
      </c>
      <c r="D335">
        <f t="shared" si="15"/>
        <v>5</v>
      </c>
      <c r="E335">
        <f t="shared" si="16"/>
        <v>1</v>
      </c>
      <c r="F335">
        <f t="shared" si="17"/>
        <v>3</v>
      </c>
    </row>
    <row r="336" spans="1:6" x14ac:dyDescent="0.25">
      <c r="A336">
        <v>85.28</v>
      </c>
      <c r="B336">
        <v>84.37</v>
      </c>
      <c r="C336">
        <v>146.27000000000001</v>
      </c>
      <c r="D336">
        <f t="shared" si="15"/>
        <v>6</v>
      </c>
      <c r="E336">
        <f t="shared" si="16"/>
        <v>1</v>
      </c>
      <c r="F336">
        <f t="shared" si="17"/>
        <v>1</v>
      </c>
    </row>
    <row r="337" spans="1:6" x14ac:dyDescent="0.25">
      <c r="A337">
        <v>85.74</v>
      </c>
      <c r="B337">
        <v>83.22</v>
      </c>
      <c r="C337">
        <v>148.38</v>
      </c>
      <c r="D337">
        <f t="shared" si="15"/>
        <v>7</v>
      </c>
      <c r="E337">
        <f t="shared" si="16"/>
        <v>1</v>
      </c>
      <c r="F337">
        <f t="shared" si="17"/>
        <v>2</v>
      </c>
    </row>
    <row r="338" spans="1:6" x14ac:dyDescent="0.25">
      <c r="A338">
        <v>84.14</v>
      </c>
      <c r="B338">
        <v>85.72</v>
      </c>
      <c r="C338">
        <v>150.66999999999999</v>
      </c>
      <c r="D338">
        <f t="shared" si="15"/>
        <v>1</v>
      </c>
      <c r="E338">
        <f t="shared" si="16"/>
        <v>2</v>
      </c>
      <c r="F338">
        <f t="shared" si="17"/>
        <v>3</v>
      </c>
    </row>
    <row r="339" spans="1:6" x14ac:dyDescent="0.25">
      <c r="A339">
        <v>86.12</v>
      </c>
      <c r="B339">
        <v>84.73</v>
      </c>
      <c r="C339">
        <v>150.84</v>
      </c>
      <c r="D339">
        <f t="shared" si="15"/>
        <v>2</v>
      </c>
      <c r="E339">
        <f t="shared" si="16"/>
        <v>1</v>
      </c>
      <c r="F339">
        <f t="shared" si="17"/>
        <v>4</v>
      </c>
    </row>
    <row r="340" spans="1:6" x14ac:dyDescent="0.25">
      <c r="A340">
        <v>86.23</v>
      </c>
      <c r="B340">
        <v>84.15</v>
      </c>
      <c r="C340">
        <v>149.72999999999999</v>
      </c>
      <c r="D340">
        <f t="shared" si="15"/>
        <v>3</v>
      </c>
      <c r="E340">
        <f t="shared" si="16"/>
        <v>1</v>
      </c>
      <c r="F340">
        <f t="shared" si="17"/>
        <v>1</v>
      </c>
    </row>
    <row r="341" spans="1:6" x14ac:dyDescent="0.25">
      <c r="A341">
        <v>84.78</v>
      </c>
      <c r="B341">
        <v>83.26</v>
      </c>
      <c r="C341">
        <v>148.35</v>
      </c>
      <c r="D341">
        <f t="shared" si="15"/>
        <v>1</v>
      </c>
      <c r="E341">
        <f t="shared" si="16"/>
        <v>1</v>
      </c>
      <c r="F341">
        <f t="shared" si="17"/>
        <v>1</v>
      </c>
    </row>
    <row r="342" spans="1:6" x14ac:dyDescent="0.25">
      <c r="A342">
        <v>86.91</v>
      </c>
      <c r="B342">
        <v>82.5</v>
      </c>
      <c r="C342">
        <v>150.61000000000001</v>
      </c>
      <c r="D342">
        <f t="shared" si="15"/>
        <v>2</v>
      </c>
      <c r="E342">
        <f t="shared" si="16"/>
        <v>1</v>
      </c>
      <c r="F342">
        <f t="shared" si="17"/>
        <v>2</v>
      </c>
    </row>
    <row r="343" spans="1:6" x14ac:dyDescent="0.25">
      <c r="A343">
        <v>85.3</v>
      </c>
      <c r="B343">
        <v>81.739999999999995</v>
      </c>
      <c r="C343">
        <v>148.94999999999999</v>
      </c>
      <c r="D343">
        <f t="shared" si="15"/>
        <v>1</v>
      </c>
      <c r="E343">
        <f t="shared" si="16"/>
        <v>1</v>
      </c>
      <c r="F343">
        <f t="shared" si="17"/>
        <v>1</v>
      </c>
    </row>
    <row r="344" spans="1:6" x14ac:dyDescent="0.25">
      <c r="A344">
        <v>83.64</v>
      </c>
      <c r="B344">
        <v>84.27</v>
      </c>
      <c r="C344">
        <v>147.16999999999999</v>
      </c>
      <c r="D344">
        <f t="shared" si="15"/>
        <v>1</v>
      </c>
      <c r="E344">
        <f t="shared" si="16"/>
        <v>2</v>
      </c>
      <c r="F344">
        <f t="shared" si="17"/>
        <v>1</v>
      </c>
    </row>
    <row r="345" spans="1:6" x14ac:dyDescent="0.25">
      <c r="A345">
        <v>82.5</v>
      </c>
      <c r="B345">
        <v>83</v>
      </c>
      <c r="C345">
        <v>147.86000000000001</v>
      </c>
      <c r="D345">
        <f t="shared" si="15"/>
        <v>1</v>
      </c>
      <c r="E345">
        <f t="shared" si="16"/>
        <v>1</v>
      </c>
      <c r="F345">
        <f t="shared" si="17"/>
        <v>2</v>
      </c>
    </row>
    <row r="346" spans="1:6" x14ac:dyDescent="0.25">
      <c r="A346">
        <v>83.5</v>
      </c>
      <c r="B346">
        <v>85.99</v>
      </c>
      <c r="C346">
        <v>149.49</v>
      </c>
      <c r="D346">
        <f t="shared" si="15"/>
        <v>2</v>
      </c>
      <c r="E346">
        <f t="shared" si="16"/>
        <v>2</v>
      </c>
      <c r="F346">
        <f t="shared" si="17"/>
        <v>3</v>
      </c>
    </row>
    <row r="347" spans="1:6" x14ac:dyDescent="0.25">
      <c r="A347">
        <v>85.49</v>
      </c>
      <c r="B347">
        <v>84.29</v>
      </c>
      <c r="C347">
        <v>147.9</v>
      </c>
      <c r="D347">
        <f t="shared" si="15"/>
        <v>3</v>
      </c>
      <c r="E347">
        <f t="shared" si="16"/>
        <v>1</v>
      </c>
      <c r="F347">
        <f t="shared" si="17"/>
        <v>1</v>
      </c>
    </row>
    <row r="348" spans="1:6" x14ac:dyDescent="0.25">
      <c r="A348">
        <v>87.71</v>
      </c>
      <c r="B348">
        <v>83.35</v>
      </c>
      <c r="C348">
        <v>146.46</v>
      </c>
      <c r="D348">
        <f t="shared" si="15"/>
        <v>4</v>
      </c>
      <c r="E348">
        <f t="shared" si="16"/>
        <v>1</v>
      </c>
      <c r="F348">
        <f t="shared" si="17"/>
        <v>1</v>
      </c>
    </row>
    <row r="349" spans="1:6" x14ac:dyDescent="0.25">
      <c r="A349">
        <v>85.99</v>
      </c>
      <c r="B349">
        <v>86.22</v>
      </c>
      <c r="C349">
        <v>144.76</v>
      </c>
      <c r="D349">
        <f t="shared" si="15"/>
        <v>1</v>
      </c>
      <c r="E349">
        <f t="shared" si="16"/>
        <v>2</v>
      </c>
      <c r="F349">
        <f t="shared" si="17"/>
        <v>1</v>
      </c>
    </row>
    <row r="350" spans="1:6" x14ac:dyDescent="0.25">
      <c r="A350">
        <v>88.15</v>
      </c>
      <c r="B350">
        <v>85.51</v>
      </c>
      <c r="C350">
        <v>146.63999999999999</v>
      </c>
      <c r="D350">
        <f t="shared" si="15"/>
        <v>2</v>
      </c>
      <c r="E350">
        <f t="shared" si="16"/>
        <v>1</v>
      </c>
      <c r="F350">
        <f t="shared" si="17"/>
        <v>2</v>
      </c>
    </row>
    <row r="351" spans="1:6" x14ac:dyDescent="0.25">
      <c r="A351">
        <v>88.57</v>
      </c>
      <c r="B351">
        <v>84.25</v>
      </c>
      <c r="C351">
        <v>146.84</v>
      </c>
      <c r="D351">
        <f t="shared" si="15"/>
        <v>3</v>
      </c>
      <c r="E351">
        <f t="shared" si="16"/>
        <v>1</v>
      </c>
      <c r="F351">
        <f t="shared" si="17"/>
        <v>3</v>
      </c>
    </row>
    <row r="352" spans="1:6" x14ac:dyDescent="0.25">
      <c r="A352">
        <v>88.75</v>
      </c>
      <c r="B352">
        <v>84.11</v>
      </c>
      <c r="C352">
        <v>145.82</v>
      </c>
      <c r="D352">
        <f t="shared" si="15"/>
        <v>4</v>
      </c>
      <c r="E352">
        <f t="shared" si="16"/>
        <v>1</v>
      </c>
      <c r="F352">
        <f t="shared" si="17"/>
        <v>1</v>
      </c>
    </row>
    <row r="353" spans="1:6" x14ac:dyDescent="0.25">
      <c r="A353">
        <v>89.45</v>
      </c>
      <c r="B353">
        <v>86.81</v>
      </c>
      <c r="C353">
        <v>147.19999999999999</v>
      </c>
      <c r="D353">
        <f t="shared" si="15"/>
        <v>5</v>
      </c>
      <c r="E353">
        <f t="shared" si="16"/>
        <v>2</v>
      </c>
      <c r="F353">
        <f t="shared" si="17"/>
        <v>2</v>
      </c>
    </row>
    <row r="354" spans="1:6" x14ac:dyDescent="0.25">
      <c r="A354">
        <v>87.7</v>
      </c>
      <c r="B354">
        <v>85.18</v>
      </c>
      <c r="C354">
        <v>149.22999999999999</v>
      </c>
      <c r="D354">
        <f t="shared" si="15"/>
        <v>1</v>
      </c>
      <c r="E354">
        <f t="shared" si="16"/>
        <v>1</v>
      </c>
      <c r="F354">
        <f t="shared" si="17"/>
        <v>3</v>
      </c>
    </row>
    <row r="355" spans="1:6" x14ac:dyDescent="0.25">
      <c r="A355">
        <v>85.97</v>
      </c>
      <c r="B355">
        <v>85.17</v>
      </c>
      <c r="C355">
        <v>150.75</v>
      </c>
      <c r="D355">
        <f t="shared" si="15"/>
        <v>1</v>
      </c>
      <c r="E355">
        <f t="shared" si="16"/>
        <v>1</v>
      </c>
      <c r="F355">
        <f t="shared" si="17"/>
        <v>4</v>
      </c>
    </row>
    <row r="356" spans="1:6" x14ac:dyDescent="0.25">
      <c r="A356">
        <v>86.77</v>
      </c>
      <c r="B356">
        <v>83.74</v>
      </c>
      <c r="C356">
        <v>151.94999999999999</v>
      </c>
      <c r="D356">
        <f t="shared" si="15"/>
        <v>2</v>
      </c>
      <c r="E356">
        <f t="shared" si="16"/>
        <v>1</v>
      </c>
      <c r="F356">
        <f t="shared" si="17"/>
        <v>5</v>
      </c>
    </row>
    <row r="357" spans="1:6" x14ac:dyDescent="0.25">
      <c r="A357">
        <v>85.03</v>
      </c>
      <c r="B357">
        <v>83.16</v>
      </c>
      <c r="C357">
        <v>154.04</v>
      </c>
      <c r="D357">
        <f t="shared" si="15"/>
        <v>1</v>
      </c>
      <c r="E357">
        <f t="shared" si="16"/>
        <v>1</v>
      </c>
      <c r="F357">
        <f t="shared" si="17"/>
        <v>6</v>
      </c>
    </row>
    <row r="358" spans="1:6" x14ac:dyDescent="0.25">
      <c r="A358">
        <v>83.62</v>
      </c>
      <c r="B358">
        <v>82.19</v>
      </c>
      <c r="C358">
        <v>155.46</v>
      </c>
      <c r="D358">
        <f t="shared" si="15"/>
        <v>1</v>
      </c>
      <c r="E358">
        <f t="shared" si="16"/>
        <v>1</v>
      </c>
      <c r="F358">
        <f t="shared" si="17"/>
        <v>7</v>
      </c>
    </row>
    <row r="359" spans="1:6" x14ac:dyDescent="0.25">
      <c r="A359">
        <v>85.87</v>
      </c>
      <c r="B359">
        <v>80.930000000000007</v>
      </c>
      <c r="C359">
        <v>157.47</v>
      </c>
      <c r="D359">
        <f t="shared" si="15"/>
        <v>2</v>
      </c>
      <c r="E359">
        <f t="shared" si="16"/>
        <v>1</v>
      </c>
      <c r="F359">
        <f t="shared" si="17"/>
        <v>8</v>
      </c>
    </row>
    <row r="360" spans="1:6" x14ac:dyDescent="0.25">
      <c r="A360">
        <v>86.95</v>
      </c>
      <c r="B360">
        <v>83.66</v>
      </c>
      <c r="C360">
        <v>155.78</v>
      </c>
      <c r="D360">
        <f t="shared" si="15"/>
        <v>3</v>
      </c>
      <c r="E360">
        <f t="shared" si="16"/>
        <v>2</v>
      </c>
      <c r="F360">
        <f t="shared" si="17"/>
        <v>1</v>
      </c>
    </row>
    <row r="361" spans="1:6" x14ac:dyDescent="0.25">
      <c r="A361">
        <v>88.95</v>
      </c>
      <c r="B361">
        <v>82.17</v>
      </c>
      <c r="C361">
        <v>154.38999999999999</v>
      </c>
      <c r="D361">
        <f t="shared" si="15"/>
        <v>4</v>
      </c>
      <c r="E361">
        <f t="shared" si="16"/>
        <v>1</v>
      </c>
      <c r="F361">
        <f t="shared" si="17"/>
        <v>1</v>
      </c>
    </row>
    <row r="362" spans="1:6" x14ac:dyDescent="0.25">
      <c r="A362">
        <v>87.68</v>
      </c>
      <c r="B362">
        <v>81.81</v>
      </c>
      <c r="C362">
        <v>155.91999999999999</v>
      </c>
      <c r="D362">
        <f t="shared" si="15"/>
        <v>1</v>
      </c>
      <c r="E362">
        <f t="shared" si="16"/>
        <v>1</v>
      </c>
      <c r="F362">
        <f t="shared" si="17"/>
        <v>2</v>
      </c>
    </row>
    <row r="363" spans="1:6" x14ac:dyDescent="0.25">
      <c r="A363">
        <v>86.52</v>
      </c>
      <c r="B363">
        <v>80.97</v>
      </c>
      <c r="C363">
        <v>154.41999999999999</v>
      </c>
      <c r="D363">
        <f t="shared" si="15"/>
        <v>1</v>
      </c>
      <c r="E363">
        <f t="shared" si="16"/>
        <v>1</v>
      </c>
      <c r="F363">
        <f t="shared" si="17"/>
        <v>1</v>
      </c>
    </row>
    <row r="364" spans="1:6" x14ac:dyDescent="0.25">
      <c r="A364">
        <v>87.64</v>
      </c>
      <c r="B364">
        <v>80.41</v>
      </c>
      <c r="C364">
        <v>153.37</v>
      </c>
      <c r="D364">
        <f t="shared" si="15"/>
        <v>2</v>
      </c>
      <c r="E364">
        <f t="shared" si="16"/>
        <v>1</v>
      </c>
      <c r="F364">
        <f t="shared" si="17"/>
        <v>1</v>
      </c>
    </row>
    <row r="365" spans="1:6" x14ac:dyDescent="0.25">
      <c r="A365">
        <v>86.51</v>
      </c>
      <c r="B365">
        <v>79.86</v>
      </c>
      <c r="C365">
        <v>154.38</v>
      </c>
      <c r="D365">
        <f t="shared" si="15"/>
        <v>1</v>
      </c>
      <c r="E365">
        <f t="shared" si="16"/>
        <v>1</v>
      </c>
      <c r="F365">
        <f t="shared" si="17"/>
        <v>2</v>
      </c>
    </row>
    <row r="366" spans="1:6" x14ac:dyDescent="0.25">
      <c r="A366">
        <v>85.1</v>
      </c>
      <c r="B366">
        <v>79.52</v>
      </c>
      <c r="C366">
        <v>152.55000000000001</v>
      </c>
      <c r="D366">
        <f t="shared" si="15"/>
        <v>1</v>
      </c>
      <c r="E366">
        <f t="shared" si="16"/>
        <v>1</v>
      </c>
      <c r="F366">
        <f t="shared" si="17"/>
        <v>1</v>
      </c>
    </row>
    <row r="367" spans="1:6" x14ac:dyDescent="0.25">
      <c r="A367">
        <v>86.09</v>
      </c>
      <c r="B367">
        <v>78.86</v>
      </c>
      <c r="C367">
        <v>150.97999999999999</v>
      </c>
      <c r="D367">
        <f t="shared" si="15"/>
        <v>2</v>
      </c>
      <c r="E367">
        <f t="shared" si="16"/>
        <v>1</v>
      </c>
      <c r="F367">
        <f t="shared" si="17"/>
        <v>1</v>
      </c>
    </row>
    <row r="368" spans="1:6" x14ac:dyDescent="0.25">
      <c r="A368">
        <v>84.89</v>
      </c>
      <c r="B368">
        <v>77.11</v>
      </c>
      <c r="C368">
        <v>151.24</v>
      </c>
      <c r="D368">
        <f t="shared" si="15"/>
        <v>1</v>
      </c>
      <c r="E368">
        <f t="shared" si="16"/>
        <v>1</v>
      </c>
      <c r="F368">
        <f t="shared" si="17"/>
        <v>2</v>
      </c>
    </row>
    <row r="369" spans="1:6" x14ac:dyDescent="0.25">
      <c r="A369">
        <v>83.75</v>
      </c>
      <c r="B369">
        <v>75.290000000000006</v>
      </c>
      <c r="C369">
        <v>153.69</v>
      </c>
      <c r="D369">
        <f t="shared" si="15"/>
        <v>1</v>
      </c>
      <c r="E369">
        <f t="shared" si="16"/>
        <v>1</v>
      </c>
      <c r="F369">
        <f t="shared" si="17"/>
        <v>3</v>
      </c>
    </row>
    <row r="370" spans="1:6" x14ac:dyDescent="0.25">
      <c r="A370">
        <v>85.37</v>
      </c>
      <c r="B370">
        <v>78.260000000000005</v>
      </c>
      <c r="C370">
        <v>155.26</v>
      </c>
      <c r="D370">
        <f t="shared" si="15"/>
        <v>2</v>
      </c>
      <c r="E370">
        <f t="shared" si="16"/>
        <v>2</v>
      </c>
      <c r="F370">
        <f t="shared" si="17"/>
        <v>4</v>
      </c>
    </row>
    <row r="371" spans="1:6" x14ac:dyDescent="0.25">
      <c r="A371">
        <v>85.9</v>
      </c>
      <c r="B371">
        <v>77.23</v>
      </c>
      <c r="C371">
        <v>153.86000000000001</v>
      </c>
      <c r="D371">
        <f t="shared" si="15"/>
        <v>3</v>
      </c>
      <c r="E371">
        <f t="shared" si="16"/>
        <v>1</v>
      </c>
      <c r="F371">
        <f t="shared" si="17"/>
        <v>1</v>
      </c>
    </row>
    <row r="372" spans="1:6" x14ac:dyDescent="0.25">
      <c r="A372">
        <v>84.34</v>
      </c>
      <c r="B372">
        <v>79.95</v>
      </c>
      <c r="C372">
        <v>152.09</v>
      </c>
      <c r="D372">
        <f t="shared" si="15"/>
        <v>1</v>
      </c>
      <c r="E372">
        <f t="shared" si="16"/>
        <v>2</v>
      </c>
      <c r="F372">
        <f t="shared" si="17"/>
        <v>1</v>
      </c>
    </row>
    <row r="373" spans="1:6" x14ac:dyDescent="0.25">
      <c r="A373">
        <v>83.32</v>
      </c>
      <c r="B373">
        <v>79.03</v>
      </c>
      <c r="C373">
        <v>150.44</v>
      </c>
      <c r="D373">
        <f t="shared" si="15"/>
        <v>1</v>
      </c>
      <c r="E373">
        <f t="shared" si="16"/>
        <v>1</v>
      </c>
      <c r="F373">
        <f t="shared" si="17"/>
        <v>1</v>
      </c>
    </row>
    <row r="374" spans="1:6" x14ac:dyDescent="0.25">
      <c r="A374">
        <v>83.78</v>
      </c>
      <c r="B374">
        <v>78.569999999999993</v>
      </c>
      <c r="C374">
        <v>152.88</v>
      </c>
      <c r="D374">
        <f t="shared" si="15"/>
        <v>2</v>
      </c>
      <c r="E374">
        <f t="shared" si="16"/>
        <v>1</v>
      </c>
      <c r="F374">
        <f t="shared" si="17"/>
        <v>2</v>
      </c>
    </row>
    <row r="375" spans="1:6" x14ac:dyDescent="0.25">
      <c r="A375">
        <v>81.97</v>
      </c>
      <c r="B375">
        <v>76.849999999999994</v>
      </c>
      <c r="C375">
        <v>153.57</v>
      </c>
      <c r="D375">
        <f t="shared" si="15"/>
        <v>1</v>
      </c>
      <c r="E375">
        <f t="shared" si="16"/>
        <v>1</v>
      </c>
      <c r="F375">
        <f t="shared" si="17"/>
        <v>3</v>
      </c>
    </row>
    <row r="376" spans="1:6" x14ac:dyDescent="0.25">
      <c r="A376">
        <v>83.69</v>
      </c>
      <c r="B376">
        <v>79.53</v>
      </c>
      <c r="C376">
        <v>151.80000000000001</v>
      </c>
      <c r="D376">
        <f t="shared" si="15"/>
        <v>2</v>
      </c>
      <c r="E376">
        <f t="shared" si="16"/>
        <v>2</v>
      </c>
      <c r="F376">
        <f t="shared" si="17"/>
        <v>1</v>
      </c>
    </row>
    <row r="377" spans="1:6" x14ac:dyDescent="0.25">
      <c r="A377">
        <v>82.46</v>
      </c>
      <c r="B377">
        <v>82.14</v>
      </c>
      <c r="C377">
        <v>153.21</v>
      </c>
      <c r="D377">
        <f t="shared" si="15"/>
        <v>1</v>
      </c>
      <c r="E377">
        <f t="shared" si="16"/>
        <v>3</v>
      </c>
      <c r="F377">
        <f t="shared" si="17"/>
        <v>2</v>
      </c>
    </row>
    <row r="378" spans="1:6" x14ac:dyDescent="0.25">
      <c r="A378">
        <v>84.11</v>
      </c>
      <c r="B378">
        <v>81.95</v>
      </c>
      <c r="C378">
        <v>154.75</v>
      </c>
      <c r="D378">
        <f t="shared" si="15"/>
        <v>2</v>
      </c>
      <c r="E378">
        <f t="shared" si="16"/>
        <v>1</v>
      </c>
      <c r="F378">
        <f t="shared" si="17"/>
        <v>3</v>
      </c>
    </row>
    <row r="379" spans="1:6" x14ac:dyDescent="0.25">
      <c r="A379">
        <v>85.63</v>
      </c>
      <c r="B379">
        <v>81.260000000000005</v>
      </c>
      <c r="C379">
        <v>153.43</v>
      </c>
      <c r="D379">
        <f t="shared" si="15"/>
        <v>3</v>
      </c>
      <c r="E379">
        <f t="shared" si="16"/>
        <v>1</v>
      </c>
      <c r="F379">
        <f t="shared" si="17"/>
        <v>1</v>
      </c>
    </row>
    <row r="380" spans="1:6" x14ac:dyDescent="0.25">
      <c r="A380">
        <v>85.83</v>
      </c>
      <c r="B380">
        <v>79.760000000000005</v>
      </c>
      <c r="C380">
        <v>152.27000000000001</v>
      </c>
      <c r="D380">
        <f t="shared" si="15"/>
        <v>4</v>
      </c>
      <c r="E380">
        <f t="shared" si="16"/>
        <v>1</v>
      </c>
      <c r="F380">
        <f t="shared" si="17"/>
        <v>1</v>
      </c>
    </row>
    <row r="381" spans="1:6" x14ac:dyDescent="0.25">
      <c r="A381">
        <v>86.66</v>
      </c>
      <c r="B381">
        <v>82.5</v>
      </c>
      <c r="C381">
        <v>151</v>
      </c>
      <c r="D381">
        <f t="shared" si="15"/>
        <v>5</v>
      </c>
      <c r="E381">
        <f t="shared" si="16"/>
        <v>2</v>
      </c>
      <c r="F381">
        <f t="shared" si="17"/>
        <v>1</v>
      </c>
    </row>
    <row r="382" spans="1:6" x14ac:dyDescent="0.25">
      <c r="A382">
        <v>87.96</v>
      </c>
      <c r="B382">
        <v>80.88</v>
      </c>
      <c r="C382">
        <v>152.36000000000001</v>
      </c>
      <c r="D382">
        <f t="shared" si="15"/>
        <v>6</v>
      </c>
      <c r="E382">
        <f t="shared" si="16"/>
        <v>1</v>
      </c>
      <c r="F382">
        <f t="shared" si="17"/>
        <v>2</v>
      </c>
    </row>
    <row r="383" spans="1:6" x14ac:dyDescent="0.25">
      <c r="A383">
        <v>89.71</v>
      </c>
      <c r="B383">
        <v>80.27</v>
      </c>
      <c r="C383">
        <v>150.47999999999999</v>
      </c>
      <c r="D383">
        <f t="shared" si="15"/>
        <v>7</v>
      </c>
      <c r="E383">
        <f t="shared" si="16"/>
        <v>1</v>
      </c>
      <c r="F383">
        <f t="shared" si="17"/>
        <v>1</v>
      </c>
    </row>
    <row r="384" spans="1:6" x14ac:dyDescent="0.25">
      <c r="A384">
        <v>91.38</v>
      </c>
      <c r="B384">
        <v>80.06</v>
      </c>
      <c r="C384">
        <v>151.6</v>
      </c>
      <c r="D384">
        <f t="shared" si="15"/>
        <v>8</v>
      </c>
      <c r="E384">
        <f t="shared" si="16"/>
        <v>1</v>
      </c>
      <c r="F384">
        <f t="shared" si="17"/>
        <v>2</v>
      </c>
    </row>
    <row r="385" spans="1:6" x14ac:dyDescent="0.25">
      <c r="A385">
        <v>90.08</v>
      </c>
      <c r="B385">
        <v>78.17</v>
      </c>
      <c r="C385">
        <v>149.69999999999999</v>
      </c>
      <c r="D385">
        <f t="shared" si="15"/>
        <v>1</v>
      </c>
      <c r="E385">
        <f t="shared" si="16"/>
        <v>1</v>
      </c>
      <c r="F385">
        <f t="shared" si="17"/>
        <v>1</v>
      </c>
    </row>
    <row r="386" spans="1:6" x14ac:dyDescent="0.25">
      <c r="A386">
        <v>88.79</v>
      </c>
      <c r="B386">
        <v>77.03</v>
      </c>
      <c r="C386">
        <v>150.75</v>
      </c>
      <c r="D386">
        <f t="shared" si="15"/>
        <v>1</v>
      </c>
      <c r="E386">
        <f t="shared" si="16"/>
        <v>1</v>
      </c>
      <c r="F386">
        <f t="shared" si="17"/>
        <v>2</v>
      </c>
    </row>
    <row r="387" spans="1:6" x14ac:dyDescent="0.25">
      <c r="A387">
        <v>86.79</v>
      </c>
      <c r="B387">
        <v>76.48</v>
      </c>
      <c r="C387">
        <v>149.30000000000001</v>
      </c>
      <c r="D387">
        <f t="shared" si="15"/>
        <v>1</v>
      </c>
      <c r="E387">
        <f t="shared" si="16"/>
        <v>1</v>
      </c>
      <c r="F387">
        <f t="shared" si="17"/>
        <v>1</v>
      </c>
    </row>
    <row r="388" spans="1:6" x14ac:dyDescent="0.25">
      <c r="A388">
        <v>84.93</v>
      </c>
      <c r="B388">
        <v>76.209999999999994</v>
      </c>
      <c r="C388">
        <v>149.41999999999999</v>
      </c>
      <c r="D388">
        <f t="shared" ref="D388:D451" si="18">IF(A388&gt;A387,D387+1,1)</f>
        <v>1</v>
      </c>
      <c r="E388">
        <f t="shared" ref="E388:E451" si="19">IF(B388&gt;B387,E387+1,1)</f>
        <v>1</v>
      </c>
      <c r="F388">
        <f t="shared" ref="F388:F451" si="20">IF(C388&gt;C387,F387+1,1)</f>
        <v>2</v>
      </c>
    </row>
    <row r="389" spans="1:6" x14ac:dyDescent="0.25">
      <c r="A389">
        <v>83.65</v>
      </c>
      <c r="B389">
        <v>76.09</v>
      </c>
      <c r="C389">
        <v>147.55000000000001</v>
      </c>
      <c r="D389">
        <f t="shared" si="18"/>
        <v>1</v>
      </c>
      <c r="E389">
        <f t="shared" si="19"/>
        <v>1</v>
      </c>
      <c r="F389">
        <f t="shared" si="20"/>
        <v>1</v>
      </c>
    </row>
    <row r="390" spans="1:6" x14ac:dyDescent="0.25">
      <c r="A390">
        <v>84.46</v>
      </c>
      <c r="B390">
        <v>75.75</v>
      </c>
      <c r="C390">
        <v>148.07</v>
      </c>
      <c r="D390">
        <f t="shared" si="18"/>
        <v>2</v>
      </c>
      <c r="E390">
        <f t="shared" si="19"/>
        <v>1</v>
      </c>
      <c r="F390">
        <f t="shared" si="20"/>
        <v>2</v>
      </c>
    </row>
    <row r="391" spans="1:6" x14ac:dyDescent="0.25">
      <c r="A391">
        <v>82.96</v>
      </c>
      <c r="B391">
        <v>74.55</v>
      </c>
      <c r="C391">
        <v>149.9</v>
      </c>
      <c r="D391">
        <f t="shared" si="18"/>
        <v>1</v>
      </c>
      <c r="E391">
        <f t="shared" si="19"/>
        <v>1</v>
      </c>
      <c r="F391">
        <f t="shared" si="20"/>
        <v>3</v>
      </c>
    </row>
    <row r="392" spans="1:6" x14ac:dyDescent="0.25">
      <c r="A392">
        <v>81.92</v>
      </c>
      <c r="B392">
        <v>74.290000000000006</v>
      </c>
      <c r="C392">
        <v>151.68</v>
      </c>
      <c r="D392">
        <f t="shared" si="18"/>
        <v>1</v>
      </c>
      <c r="E392">
        <f t="shared" si="19"/>
        <v>1</v>
      </c>
      <c r="F392">
        <f t="shared" si="20"/>
        <v>4</v>
      </c>
    </row>
    <row r="393" spans="1:6" x14ac:dyDescent="0.25">
      <c r="A393">
        <v>80.319999999999993</v>
      </c>
      <c r="B393">
        <v>73.209999999999994</v>
      </c>
      <c r="C393">
        <v>153.25</v>
      </c>
      <c r="D393">
        <f t="shared" si="18"/>
        <v>1</v>
      </c>
      <c r="E393">
        <f t="shared" si="19"/>
        <v>1</v>
      </c>
      <c r="F393">
        <f t="shared" si="20"/>
        <v>5</v>
      </c>
    </row>
    <row r="394" spans="1:6" x14ac:dyDescent="0.25">
      <c r="A394">
        <v>80.37</v>
      </c>
      <c r="B394">
        <v>72.27</v>
      </c>
      <c r="C394">
        <v>152.22999999999999</v>
      </c>
      <c r="D394">
        <f t="shared" si="18"/>
        <v>2</v>
      </c>
      <c r="E394">
        <f t="shared" si="19"/>
        <v>1</v>
      </c>
      <c r="F394">
        <f t="shared" si="20"/>
        <v>1</v>
      </c>
    </row>
    <row r="395" spans="1:6" x14ac:dyDescent="0.25">
      <c r="A395">
        <v>81.260000000000005</v>
      </c>
      <c r="B395">
        <v>70.48</v>
      </c>
      <c r="C395">
        <v>150.25</v>
      </c>
      <c r="D395">
        <f t="shared" si="18"/>
        <v>3</v>
      </c>
      <c r="E395">
        <f t="shared" si="19"/>
        <v>1</v>
      </c>
      <c r="F395">
        <f t="shared" si="20"/>
        <v>1</v>
      </c>
    </row>
    <row r="396" spans="1:6" x14ac:dyDescent="0.25">
      <c r="A396">
        <v>83.72</v>
      </c>
      <c r="B396">
        <v>70.05</v>
      </c>
      <c r="C396">
        <v>148.80000000000001</v>
      </c>
      <c r="D396">
        <f t="shared" si="18"/>
        <v>4</v>
      </c>
      <c r="E396">
        <f t="shared" si="19"/>
        <v>1</v>
      </c>
      <c r="F396">
        <f t="shared" si="20"/>
        <v>1</v>
      </c>
    </row>
    <row r="397" spans="1:6" x14ac:dyDescent="0.25">
      <c r="A397">
        <v>84.27</v>
      </c>
      <c r="B397">
        <v>68.349999999999994</v>
      </c>
      <c r="C397">
        <v>146.96</v>
      </c>
      <c r="D397">
        <f t="shared" si="18"/>
        <v>5</v>
      </c>
      <c r="E397">
        <f t="shared" si="19"/>
        <v>1</v>
      </c>
      <c r="F397">
        <f t="shared" si="20"/>
        <v>1</v>
      </c>
    </row>
    <row r="398" spans="1:6" x14ac:dyDescent="0.25">
      <c r="A398">
        <v>82.97</v>
      </c>
      <c r="B398">
        <v>67.58</v>
      </c>
      <c r="C398">
        <v>145.47999999999999</v>
      </c>
      <c r="D398">
        <f t="shared" si="18"/>
        <v>1</v>
      </c>
      <c r="E398">
        <f t="shared" si="19"/>
        <v>1</v>
      </c>
      <c r="F398">
        <f t="shared" si="20"/>
        <v>1</v>
      </c>
    </row>
    <row r="399" spans="1:6" x14ac:dyDescent="0.25">
      <c r="A399">
        <v>83.17</v>
      </c>
      <c r="B399">
        <v>66.3</v>
      </c>
      <c r="C399">
        <v>147.35</v>
      </c>
      <c r="D399">
        <f t="shared" si="18"/>
        <v>2</v>
      </c>
      <c r="E399">
        <f t="shared" si="19"/>
        <v>1</v>
      </c>
      <c r="F399">
        <f t="shared" si="20"/>
        <v>2</v>
      </c>
    </row>
    <row r="400" spans="1:6" x14ac:dyDescent="0.25">
      <c r="A400">
        <v>81.819999999999993</v>
      </c>
      <c r="B400">
        <v>65.040000000000006</v>
      </c>
      <c r="C400">
        <v>145.4</v>
      </c>
      <c r="D400">
        <f t="shared" si="18"/>
        <v>1</v>
      </c>
      <c r="E400">
        <f t="shared" si="19"/>
        <v>1</v>
      </c>
      <c r="F400">
        <f t="shared" si="20"/>
        <v>1</v>
      </c>
    </row>
    <row r="401" spans="1:6" x14ac:dyDescent="0.25">
      <c r="A401">
        <v>84.04</v>
      </c>
      <c r="B401">
        <v>63.88</v>
      </c>
      <c r="C401">
        <v>145.47</v>
      </c>
      <c r="D401">
        <f t="shared" si="18"/>
        <v>2</v>
      </c>
      <c r="E401">
        <f t="shared" si="19"/>
        <v>1</v>
      </c>
      <c r="F401">
        <f t="shared" si="20"/>
        <v>2</v>
      </c>
    </row>
    <row r="402" spans="1:6" x14ac:dyDescent="0.25">
      <c r="A402">
        <v>82.65</v>
      </c>
      <c r="B402">
        <v>63.09</v>
      </c>
      <c r="C402">
        <v>146.12</v>
      </c>
      <c r="D402">
        <f t="shared" si="18"/>
        <v>1</v>
      </c>
      <c r="E402">
        <f t="shared" si="19"/>
        <v>1</v>
      </c>
      <c r="F402">
        <f t="shared" si="20"/>
        <v>3</v>
      </c>
    </row>
    <row r="403" spans="1:6" x14ac:dyDescent="0.25">
      <c r="A403">
        <v>83.94</v>
      </c>
      <c r="B403">
        <v>61.68</v>
      </c>
      <c r="C403">
        <v>147.22</v>
      </c>
      <c r="D403">
        <f t="shared" si="18"/>
        <v>2</v>
      </c>
      <c r="E403">
        <f t="shared" si="19"/>
        <v>1</v>
      </c>
      <c r="F403">
        <f t="shared" si="20"/>
        <v>4</v>
      </c>
    </row>
    <row r="404" spans="1:6" x14ac:dyDescent="0.25">
      <c r="A404">
        <v>82.19</v>
      </c>
      <c r="B404">
        <v>60.11</v>
      </c>
      <c r="C404">
        <v>148.13</v>
      </c>
      <c r="D404">
        <f t="shared" si="18"/>
        <v>1</v>
      </c>
      <c r="E404">
        <f t="shared" si="19"/>
        <v>1</v>
      </c>
      <c r="F404">
        <f t="shared" si="20"/>
        <v>5</v>
      </c>
    </row>
    <row r="405" spans="1:6" x14ac:dyDescent="0.25">
      <c r="A405">
        <v>84.44</v>
      </c>
      <c r="B405">
        <v>63.04</v>
      </c>
      <c r="C405">
        <v>149.9</v>
      </c>
      <c r="D405">
        <f t="shared" si="18"/>
        <v>2</v>
      </c>
      <c r="E405">
        <f t="shared" si="19"/>
        <v>2</v>
      </c>
      <c r="F405">
        <f t="shared" si="20"/>
        <v>6</v>
      </c>
    </row>
    <row r="406" spans="1:6" x14ac:dyDescent="0.25">
      <c r="A406">
        <v>82.85</v>
      </c>
      <c r="B406">
        <v>65.81</v>
      </c>
      <c r="C406">
        <v>147.96</v>
      </c>
      <c r="D406">
        <f t="shared" si="18"/>
        <v>1</v>
      </c>
      <c r="E406">
        <f t="shared" si="19"/>
        <v>3</v>
      </c>
      <c r="F406">
        <f t="shared" si="20"/>
        <v>1</v>
      </c>
    </row>
    <row r="407" spans="1:6" x14ac:dyDescent="0.25">
      <c r="A407">
        <v>84.73</v>
      </c>
      <c r="B407">
        <v>64.260000000000005</v>
      </c>
      <c r="C407">
        <v>146.51</v>
      </c>
      <c r="D407">
        <f t="shared" si="18"/>
        <v>2</v>
      </c>
      <c r="E407">
        <f t="shared" si="19"/>
        <v>1</v>
      </c>
      <c r="F407">
        <f t="shared" si="20"/>
        <v>1</v>
      </c>
    </row>
    <row r="408" spans="1:6" x14ac:dyDescent="0.25">
      <c r="A408">
        <v>84.93</v>
      </c>
      <c r="B408">
        <v>63.08</v>
      </c>
      <c r="C408">
        <v>147.87</v>
      </c>
      <c r="D408">
        <f t="shared" si="18"/>
        <v>3</v>
      </c>
      <c r="E408">
        <f t="shared" si="19"/>
        <v>1</v>
      </c>
      <c r="F408">
        <f t="shared" si="20"/>
        <v>2</v>
      </c>
    </row>
    <row r="409" spans="1:6" x14ac:dyDescent="0.25">
      <c r="A409">
        <v>83.87</v>
      </c>
      <c r="B409">
        <v>62.49</v>
      </c>
      <c r="C409">
        <v>149.41</v>
      </c>
      <c r="D409">
        <f t="shared" si="18"/>
        <v>1</v>
      </c>
      <c r="E409">
        <f t="shared" si="19"/>
        <v>1</v>
      </c>
      <c r="F409">
        <f t="shared" si="20"/>
        <v>3</v>
      </c>
    </row>
    <row r="410" spans="1:6" x14ac:dyDescent="0.25">
      <c r="A410">
        <v>82.71</v>
      </c>
      <c r="B410">
        <v>61.45</v>
      </c>
      <c r="C410">
        <v>150.38999999999999</v>
      </c>
      <c r="D410">
        <f t="shared" si="18"/>
        <v>1</v>
      </c>
      <c r="E410">
        <f t="shared" si="19"/>
        <v>1</v>
      </c>
      <c r="F410">
        <f t="shared" si="20"/>
        <v>4</v>
      </c>
    </row>
    <row r="411" spans="1:6" x14ac:dyDescent="0.25">
      <c r="A411">
        <v>81.37</v>
      </c>
      <c r="B411">
        <v>60.3</v>
      </c>
      <c r="C411">
        <v>149.35</v>
      </c>
      <c r="D411">
        <f t="shared" si="18"/>
        <v>1</v>
      </c>
      <c r="E411">
        <f t="shared" si="19"/>
        <v>1</v>
      </c>
      <c r="F411">
        <f t="shared" si="20"/>
        <v>1</v>
      </c>
    </row>
    <row r="412" spans="1:6" x14ac:dyDescent="0.25">
      <c r="A412">
        <v>80.040000000000006</v>
      </c>
      <c r="B412">
        <v>62.81</v>
      </c>
      <c r="C412">
        <v>147.81</v>
      </c>
      <c r="D412">
        <f t="shared" si="18"/>
        <v>1</v>
      </c>
      <c r="E412">
        <f t="shared" si="19"/>
        <v>2</v>
      </c>
      <c r="F412">
        <f t="shared" si="20"/>
        <v>1</v>
      </c>
    </row>
    <row r="413" spans="1:6" x14ac:dyDescent="0.25">
      <c r="A413">
        <v>81.96</v>
      </c>
      <c r="B413">
        <v>62.35</v>
      </c>
      <c r="C413">
        <v>145.85</v>
      </c>
      <c r="D413">
        <f t="shared" si="18"/>
        <v>2</v>
      </c>
      <c r="E413">
        <f t="shared" si="19"/>
        <v>1</v>
      </c>
      <c r="F413">
        <f t="shared" si="20"/>
        <v>1</v>
      </c>
    </row>
    <row r="414" spans="1:6" x14ac:dyDescent="0.25">
      <c r="A414">
        <v>82.73</v>
      </c>
      <c r="B414">
        <v>61.53</v>
      </c>
      <c r="C414">
        <v>147.65</v>
      </c>
      <c r="D414">
        <f t="shared" si="18"/>
        <v>3</v>
      </c>
      <c r="E414">
        <f t="shared" si="19"/>
        <v>1</v>
      </c>
      <c r="F414">
        <f t="shared" si="20"/>
        <v>2</v>
      </c>
    </row>
    <row r="415" spans="1:6" x14ac:dyDescent="0.25">
      <c r="A415">
        <v>81.599999999999994</v>
      </c>
      <c r="B415">
        <v>61.16</v>
      </c>
      <c r="C415">
        <v>148</v>
      </c>
      <c r="D415">
        <f t="shared" si="18"/>
        <v>1</v>
      </c>
      <c r="E415">
        <f t="shared" si="19"/>
        <v>1</v>
      </c>
      <c r="F415">
        <f t="shared" si="20"/>
        <v>3</v>
      </c>
    </row>
    <row r="416" spans="1:6" x14ac:dyDescent="0.25">
      <c r="A416">
        <v>80.37</v>
      </c>
      <c r="B416">
        <v>60.65</v>
      </c>
      <c r="C416">
        <v>149.16</v>
      </c>
      <c r="D416">
        <f t="shared" si="18"/>
        <v>1</v>
      </c>
      <c r="E416">
        <f t="shared" si="19"/>
        <v>1</v>
      </c>
      <c r="F416">
        <f t="shared" si="20"/>
        <v>4</v>
      </c>
    </row>
    <row r="417" spans="1:6" x14ac:dyDescent="0.25">
      <c r="A417">
        <v>82.29</v>
      </c>
      <c r="B417">
        <v>59.06</v>
      </c>
      <c r="C417">
        <v>148.12</v>
      </c>
      <c r="D417">
        <f t="shared" si="18"/>
        <v>2</v>
      </c>
      <c r="E417">
        <f t="shared" si="19"/>
        <v>1</v>
      </c>
      <c r="F417">
        <f t="shared" si="20"/>
        <v>1</v>
      </c>
    </row>
    <row r="418" spans="1:6" x14ac:dyDescent="0.25">
      <c r="A418">
        <v>83.24</v>
      </c>
      <c r="B418">
        <v>61.49</v>
      </c>
      <c r="C418">
        <v>146.75</v>
      </c>
      <c r="D418">
        <f t="shared" si="18"/>
        <v>3</v>
      </c>
      <c r="E418">
        <f t="shared" si="19"/>
        <v>2</v>
      </c>
      <c r="F418">
        <f t="shared" si="20"/>
        <v>1</v>
      </c>
    </row>
    <row r="419" spans="1:6" x14ac:dyDescent="0.25">
      <c r="A419">
        <v>85.09</v>
      </c>
      <c r="B419">
        <v>64.209999999999994</v>
      </c>
      <c r="C419">
        <v>148.88</v>
      </c>
      <c r="D419">
        <f t="shared" si="18"/>
        <v>4</v>
      </c>
      <c r="E419">
        <f t="shared" si="19"/>
        <v>3</v>
      </c>
      <c r="F419">
        <f t="shared" si="20"/>
        <v>2</v>
      </c>
    </row>
    <row r="420" spans="1:6" x14ac:dyDescent="0.25">
      <c r="A420">
        <v>85.26</v>
      </c>
      <c r="B420">
        <v>64.11</v>
      </c>
      <c r="C420">
        <v>150.13999999999999</v>
      </c>
      <c r="D420">
        <f t="shared" si="18"/>
        <v>5</v>
      </c>
      <c r="E420">
        <f t="shared" si="19"/>
        <v>1</v>
      </c>
      <c r="F420">
        <f t="shared" si="20"/>
        <v>3</v>
      </c>
    </row>
    <row r="421" spans="1:6" x14ac:dyDescent="0.25">
      <c r="A421">
        <v>87.45</v>
      </c>
      <c r="B421">
        <v>63.4</v>
      </c>
      <c r="C421">
        <v>149.12</v>
      </c>
      <c r="D421">
        <f t="shared" si="18"/>
        <v>6</v>
      </c>
      <c r="E421">
        <f t="shared" si="19"/>
        <v>1</v>
      </c>
      <c r="F421">
        <f t="shared" si="20"/>
        <v>1</v>
      </c>
    </row>
    <row r="422" spans="1:6" x14ac:dyDescent="0.25">
      <c r="A422">
        <v>89.82</v>
      </c>
      <c r="B422">
        <v>61.83</v>
      </c>
      <c r="C422">
        <v>147.93</v>
      </c>
      <c r="D422">
        <f t="shared" si="18"/>
        <v>7</v>
      </c>
      <c r="E422">
        <f t="shared" si="19"/>
        <v>1</v>
      </c>
      <c r="F422">
        <f t="shared" si="20"/>
        <v>1</v>
      </c>
    </row>
    <row r="423" spans="1:6" x14ac:dyDescent="0.25">
      <c r="A423">
        <v>91.95</v>
      </c>
      <c r="B423">
        <v>59.96</v>
      </c>
      <c r="C423">
        <v>145.99</v>
      </c>
      <c r="D423">
        <f t="shared" si="18"/>
        <v>8</v>
      </c>
      <c r="E423">
        <f t="shared" si="19"/>
        <v>1</v>
      </c>
      <c r="F423">
        <f t="shared" si="20"/>
        <v>1</v>
      </c>
    </row>
    <row r="424" spans="1:6" x14ac:dyDescent="0.25">
      <c r="A424">
        <v>94.23</v>
      </c>
      <c r="B424">
        <v>59.02</v>
      </c>
      <c r="C424">
        <v>144.71</v>
      </c>
      <c r="D424">
        <f t="shared" si="18"/>
        <v>9</v>
      </c>
      <c r="E424">
        <f t="shared" si="19"/>
        <v>1</v>
      </c>
      <c r="F424">
        <f t="shared" si="20"/>
        <v>1</v>
      </c>
    </row>
    <row r="425" spans="1:6" x14ac:dyDescent="0.25">
      <c r="A425">
        <v>93.11</v>
      </c>
      <c r="B425">
        <v>57.84</v>
      </c>
      <c r="C425">
        <v>145.03</v>
      </c>
      <c r="D425">
        <f t="shared" si="18"/>
        <v>1</v>
      </c>
      <c r="E425">
        <f t="shared" si="19"/>
        <v>1</v>
      </c>
      <c r="F425">
        <f t="shared" si="20"/>
        <v>2</v>
      </c>
    </row>
    <row r="426" spans="1:6" x14ac:dyDescent="0.25">
      <c r="A426">
        <v>93.73</v>
      </c>
      <c r="B426">
        <v>60.76</v>
      </c>
      <c r="C426">
        <v>146.52000000000001</v>
      </c>
      <c r="D426">
        <f t="shared" si="18"/>
        <v>2</v>
      </c>
      <c r="E426">
        <f t="shared" si="19"/>
        <v>2</v>
      </c>
      <c r="F426">
        <f t="shared" si="20"/>
        <v>3</v>
      </c>
    </row>
    <row r="427" spans="1:6" x14ac:dyDescent="0.25">
      <c r="A427">
        <v>95.75</v>
      </c>
      <c r="B427">
        <v>60.53</v>
      </c>
      <c r="C427">
        <v>146.65</v>
      </c>
      <c r="D427">
        <f t="shared" si="18"/>
        <v>3</v>
      </c>
      <c r="E427">
        <f t="shared" si="19"/>
        <v>1</v>
      </c>
      <c r="F427">
        <f t="shared" si="20"/>
        <v>4</v>
      </c>
    </row>
    <row r="428" spans="1:6" x14ac:dyDescent="0.25">
      <c r="A428">
        <v>97.38</v>
      </c>
      <c r="B428">
        <v>62.95</v>
      </c>
      <c r="C428">
        <v>148.26</v>
      </c>
      <c r="D428">
        <f t="shared" si="18"/>
        <v>4</v>
      </c>
      <c r="E428">
        <f t="shared" si="19"/>
        <v>2</v>
      </c>
      <c r="F428">
        <f t="shared" si="20"/>
        <v>5</v>
      </c>
    </row>
    <row r="429" spans="1:6" x14ac:dyDescent="0.25">
      <c r="A429">
        <v>99.66</v>
      </c>
      <c r="B429">
        <v>62.42</v>
      </c>
      <c r="C429">
        <v>146.6</v>
      </c>
      <c r="D429">
        <f t="shared" si="18"/>
        <v>5</v>
      </c>
      <c r="E429">
        <f t="shared" si="19"/>
        <v>1</v>
      </c>
      <c r="F429">
        <f t="shared" si="20"/>
        <v>1</v>
      </c>
    </row>
    <row r="430" spans="1:6" x14ac:dyDescent="0.25">
      <c r="A430">
        <v>98.06</v>
      </c>
      <c r="B430">
        <v>64.86</v>
      </c>
      <c r="C430">
        <v>147.83000000000001</v>
      </c>
      <c r="D430">
        <f t="shared" si="18"/>
        <v>1</v>
      </c>
      <c r="E430">
        <f t="shared" si="19"/>
        <v>2</v>
      </c>
      <c r="F430">
        <f t="shared" si="20"/>
        <v>2</v>
      </c>
    </row>
    <row r="431" spans="1:6" x14ac:dyDescent="0.25">
      <c r="A431">
        <v>99.61</v>
      </c>
      <c r="B431">
        <v>63.25</v>
      </c>
      <c r="C431">
        <v>150.03</v>
      </c>
      <c r="D431">
        <f t="shared" si="18"/>
        <v>2</v>
      </c>
      <c r="E431">
        <f t="shared" si="19"/>
        <v>1</v>
      </c>
      <c r="F431">
        <f t="shared" si="20"/>
        <v>3</v>
      </c>
    </row>
    <row r="432" spans="1:6" x14ac:dyDescent="0.25">
      <c r="A432">
        <v>97.68</v>
      </c>
      <c r="B432">
        <v>62.83</v>
      </c>
      <c r="C432">
        <v>151.15</v>
      </c>
      <c r="D432">
        <f t="shared" si="18"/>
        <v>1</v>
      </c>
      <c r="E432">
        <f t="shared" si="19"/>
        <v>1</v>
      </c>
      <c r="F432">
        <f t="shared" si="20"/>
        <v>4</v>
      </c>
    </row>
    <row r="433" spans="1:6" x14ac:dyDescent="0.25">
      <c r="A433">
        <v>96.12</v>
      </c>
      <c r="B433">
        <v>61.62</v>
      </c>
      <c r="C433">
        <v>149.94999999999999</v>
      </c>
      <c r="D433">
        <f t="shared" si="18"/>
        <v>1</v>
      </c>
      <c r="E433">
        <f t="shared" si="19"/>
        <v>1</v>
      </c>
      <c r="F433">
        <f t="shared" si="20"/>
        <v>1</v>
      </c>
    </row>
    <row r="434" spans="1:6" x14ac:dyDescent="0.25">
      <c r="A434">
        <v>94.84</v>
      </c>
      <c r="B434">
        <v>60.02</v>
      </c>
      <c r="C434">
        <v>150.97999999999999</v>
      </c>
      <c r="D434">
        <f t="shared" si="18"/>
        <v>1</v>
      </c>
      <c r="E434">
        <f t="shared" si="19"/>
        <v>1</v>
      </c>
      <c r="F434">
        <f t="shared" si="20"/>
        <v>2</v>
      </c>
    </row>
    <row r="435" spans="1:6" x14ac:dyDescent="0.25">
      <c r="A435">
        <v>95.23</v>
      </c>
      <c r="B435">
        <v>59.25</v>
      </c>
      <c r="C435">
        <v>149.25</v>
      </c>
      <c r="D435">
        <f t="shared" si="18"/>
        <v>2</v>
      </c>
      <c r="E435">
        <f t="shared" si="19"/>
        <v>1</v>
      </c>
      <c r="F435">
        <f t="shared" si="20"/>
        <v>1</v>
      </c>
    </row>
    <row r="436" spans="1:6" x14ac:dyDescent="0.25">
      <c r="A436">
        <v>96.12</v>
      </c>
      <c r="B436">
        <v>62.11</v>
      </c>
      <c r="C436">
        <v>151.06</v>
      </c>
      <c r="D436">
        <f t="shared" si="18"/>
        <v>3</v>
      </c>
      <c r="E436">
        <f t="shared" si="19"/>
        <v>2</v>
      </c>
      <c r="F436">
        <f t="shared" si="20"/>
        <v>2</v>
      </c>
    </row>
    <row r="437" spans="1:6" x14ac:dyDescent="0.25">
      <c r="A437">
        <v>94.84</v>
      </c>
      <c r="B437">
        <v>60.56</v>
      </c>
      <c r="C437">
        <v>149.65</v>
      </c>
      <c r="D437">
        <f t="shared" si="18"/>
        <v>1</v>
      </c>
      <c r="E437">
        <f t="shared" si="19"/>
        <v>1</v>
      </c>
      <c r="F437">
        <f t="shared" si="20"/>
        <v>1</v>
      </c>
    </row>
    <row r="438" spans="1:6" x14ac:dyDescent="0.25">
      <c r="A438">
        <v>93.28</v>
      </c>
      <c r="B438">
        <v>60.46</v>
      </c>
      <c r="C438">
        <v>148.22</v>
      </c>
      <c r="D438">
        <f t="shared" si="18"/>
        <v>1</v>
      </c>
      <c r="E438">
        <f t="shared" si="19"/>
        <v>1</v>
      </c>
      <c r="F438">
        <f t="shared" si="20"/>
        <v>1</v>
      </c>
    </row>
    <row r="439" spans="1:6" x14ac:dyDescent="0.25">
      <c r="A439">
        <v>91.44</v>
      </c>
      <c r="B439">
        <v>63.27</v>
      </c>
      <c r="C439">
        <v>146.25</v>
      </c>
      <c r="D439">
        <f t="shared" si="18"/>
        <v>1</v>
      </c>
      <c r="E439">
        <f t="shared" si="19"/>
        <v>2</v>
      </c>
      <c r="F439">
        <f t="shared" si="20"/>
        <v>1</v>
      </c>
    </row>
    <row r="440" spans="1:6" x14ac:dyDescent="0.25">
      <c r="A440">
        <v>93.22</v>
      </c>
      <c r="B440">
        <v>62.21</v>
      </c>
      <c r="C440">
        <v>146.91</v>
      </c>
      <c r="D440">
        <f t="shared" si="18"/>
        <v>2</v>
      </c>
      <c r="E440">
        <f t="shared" si="19"/>
        <v>1</v>
      </c>
      <c r="F440">
        <f t="shared" si="20"/>
        <v>2</v>
      </c>
    </row>
    <row r="441" spans="1:6" x14ac:dyDescent="0.25">
      <c r="A441">
        <v>95.34</v>
      </c>
      <c r="B441">
        <v>65.209999999999994</v>
      </c>
      <c r="C441">
        <v>145.85</v>
      </c>
      <c r="D441">
        <f t="shared" si="18"/>
        <v>3</v>
      </c>
      <c r="E441">
        <f t="shared" si="19"/>
        <v>2</v>
      </c>
      <c r="F441">
        <f t="shared" si="20"/>
        <v>1</v>
      </c>
    </row>
    <row r="442" spans="1:6" x14ac:dyDescent="0.25">
      <c r="A442">
        <v>97.18</v>
      </c>
      <c r="B442">
        <v>64.72</v>
      </c>
      <c r="C442">
        <v>146.31</v>
      </c>
      <c r="D442">
        <f t="shared" si="18"/>
        <v>4</v>
      </c>
      <c r="E442">
        <f t="shared" si="19"/>
        <v>1</v>
      </c>
      <c r="F442">
        <f t="shared" si="20"/>
        <v>2</v>
      </c>
    </row>
    <row r="443" spans="1:6" x14ac:dyDescent="0.25">
      <c r="A443">
        <v>95.89</v>
      </c>
      <c r="B443">
        <v>64.510000000000005</v>
      </c>
      <c r="C443">
        <v>144.6</v>
      </c>
      <c r="D443">
        <f t="shared" si="18"/>
        <v>1</v>
      </c>
      <c r="E443">
        <f t="shared" si="19"/>
        <v>1</v>
      </c>
      <c r="F443">
        <f t="shared" si="20"/>
        <v>1</v>
      </c>
    </row>
    <row r="444" spans="1:6" x14ac:dyDescent="0.25">
      <c r="A444">
        <v>94.4</v>
      </c>
      <c r="B444">
        <v>63.15</v>
      </c>
      <c r="C444">
        <v>143.56</v>
      </c>
      <c r="D444">
        <f t="shared" si="18"/>
        <v>1</v>
      </c>
      <c r="E444">
        <f t="shared" si="19"/>
        <v>1</v>
      </c>
      <c r="F444">
        <f t="shared" si="20"/>
        <v>1</v>
      </c>
    </row>
    <row r="445" spans="1:6" x14ac:dyDescent="0.25">
      <c r="A445">
        <v>93.07</v>
      </c>
      <c r="B445">
        <v>65.959999999999994</v>
      </c>
      <c r="C445">
        <v>143.61000000000001</v>
      </c>
      <c r="D445">
        <f t="shared" si="18"/>
        <v>1</v>
      </c>
      <c r="E445">
        <f t="shared" si="19"/>
        <v>2</v>
      </c>
      <c r="F445">
        <f t="shared" si="20"/>
        <v>2</v>
      </c>
    </row>
    <row r="446" spans="1:6" x14ac:dyDescent="0.25">
      <c r="A446">
        <v>93.84</v>
      </c>
      <c r="B446">
        <v>64.819999999999993</v>
      </c>
      <c r="C446">
        <v>143.97999999999999</v>
      </c>
      <c r="D446">
        <f t="shared" si="18"/>
        <v>2</v>
      </c>
      <c r="E446">
        <f t="shared" si="19"/>
        <v>1</v>
      </c>
      <c r="F446">
        <f t="shared" si="20"/>
        <v>3</v>
      </c>
    </row>
    <row r="447" spans="1:6" x14ac:dyDescent="0.25">
      <c r="A447">
        <v>92.78</v>
      </c>
      <c r="B447">
        <v>63.49</v>
      </c>
      <c r="C447">
        <v>142.51</v>
      </c>
      <c r="D447">
        <f t="shared" si="18"/>
        <v>1</v>
      </c>
      <c r="E447">
        <f t="shared" si="19"/>
        <v>1</v>
      </c>
      <c r="F447">
        <f t="shared" si="20"/>
        <v>1</v>
      </c>
    </row>
    <row r="448" spans="1:6" x14ac:dyDescent="0.25">
      <c r="A448">
        <v>94.02</v>
      </c>
      <c r="B448">
        <v>62.41</v>
      </c>
      <c r="C448">
        <v>144.03</v>
      </c>
      <c r="D448">
        <f t="shared" si="18"/>
        <v>2</v>
      </c>
      <c r="E448">
        <f t="shared" si="19"/>
        <v>1</v>
      </c>
      <c r="F448">
        <f t="shared" si="20"/>
        <v>2</v>
      </c>
    </row>
    <row r="449" spans="1:6" x14ac:dyDescent="0.25">
      <c r="A449">
        <v>95.27</v>
      </c>
      <c r="B449">
        <v>65.36</v>
      </c>
      <c r="C449">
        <v>142.49</v>
      </c>
      <c r="D449">
        <f t="shared" si="18"/>
        <v>3</v>
      </c>
      <c r="E449">
        <f t="shared" si="19"/>
        <v>2</v>
      </c>
      <c r="F449">
        <f t="shared" si="20"/>
        <v>1</v>
      </c>
    </row>
    <row r="450" spans="1:6" x14ac:dyDescent="0.25">
      <c r="A450">
        <v>93.67</v>
      </c>
      <c r="B450">
        <v>64.400000000000006</v>
      </c>
      <c r="C450">
        <v>140.54</v>
      </c>
      <c r="D450">
        <f t="shared" si="18"/>
        <v>1</v>
      </c>
      <c r="E450">
        <f t="shared" si="19"/>
        <v>1</v>
      </c>
      <c r="F450">
        <f t="shared" si="20"/>
        <v>1</v>
      </c>
    </row>
    <row r="451" spans="1:6" x14ac:dyDescent="0.25">
      <c r="A451">
        <v>95.35</v>
      </c>
      <c r="B451">
        <v>63.79</v>
      </c>
      <c r="C451">
        <v>138.88999999999999</v>
      </c>
      <c r="D451">
        <f t="shared" si="18"/>
        <v>2</v>
      </c>
      <c r="E451">
        <f t="shared" si="19"/>
        <v>1</v>
      </c>
      <c r="F451">
        <f t="shared" si="20"/>
        <v>1</v>
      </c>
    </row>
    <row r="452" spans="1:6" x14ac:dyDescent="0.25">
      <c r="A452">
        <v>96.14</v>
      </c>
      <c r="B452">
        <v>62.37</v>
      </c>
      <c r="C452">
        <v>137.61000000000001</v>
      </c>
      <c r="D452">
        <f t="shared" ref="D452:D501" si="21">IF(A452&gt;A451,D451+1,1)</f>
        <v>3</v>
      </c>
      <c r="E452">
        <f t="shared" ref="E452:E501" si="22">IF(B452&gt;B451,E451+1,1)</f>
        <v>1</v>
      </c>
      <c r="F452">
        <f t="shared" ref="F452:F501" si="23">IF(C452&gt;C451,F451+1,1)</f>
        <v>1</v>
      </c>
    </row>
    <row r="453" spans="1:6" x14ac:dyDescent="0.25">
      <c r="A453">
        <v>94.99</v>
      </c>
      <c r="B453">
        <v>65.239999999999995</v>
      </c>
      <c r="C453">
        <v>138.30000000000001</v>
      </c>
      <c r="D453">
        <f t="shared" si="21"/>
        <v>1</v>
      </c>
      <c r="E453">
        <f t="shared" si="22"/>
        <v>2</v>
      </c>
      <c r="F453">
        <f t="shared" si="23"/>
        <v>2</v>
      </c>
    </row>
    <row r="454" spans="1:6" x14ac:dyDescent="0.25">
      <c r="A454">
        <v>95.7</v>
      </c>
      <c r="B454">
        <v>64.81</v>
      </c>
      <c r="C454">
        <v>136.81</v>
      </c>
      <c r="D454">
        <f t="shared" si="21"/>
        <v>2</v>
      </c>
      <c r="E454">
        <f t="shared" si="22"/>
        <v>1</v>
      </c>
      <c r="F454">
        <f t="shared" si="23"/>
        <v>1</v>
      </c>
    </row>
    <row r="455" spans="1:6" x14ac:dyDescent="0.25">
      <c r="A455">
        <v>95.72</v>
      </c>
      <c r="B455">
        <v>63.89</v>
      </c>
      <c r="C455">
        <v>135.43</v>
      </c>
      <c r="D455">
        <f t="shared" si="21"/>
        <v>3</v>
      </c>
      <c r="E455">
        <f t="shared" si="22"/>
        <v>1</v>
      </c>
      <c r="F455">
        <f t="shared" si="23"/>
        <v>1</v>
      </c>
    </row>
    <row r="456" spans="1:6" x14ac:dyDescent="0.25">
      <c r="A456">
        <v>96.62</v>
      </c>
      <c r="B456">
        <v>66.790000000000006</v>
      </c>
      <c r="C456">
        <v>134</v>
      </c>
      <c r="D456">
        <f t="shared" si="21"/>
        <v>4</v>
      </c>
      <c r="E456">
        <f t="shared" si="22"/>
        <v>2</v>
      </c>
      <c r="F456">
        <f t="shared" si="23"/>
        <v>1</v>
      </c>
    </row>
    <row r="457" spans="1:6" x14ac:dyDescent="0.25">
      <c r="A457">
        <v>98.19</v>
      </c>
      <c r="B457">
        <v>65.16</v>
      </c>
      <c r="C457">
        <v>134.07</v>
      </c>
      <c r="D457">
        <f t="shared" si="21"/>
        <v>5</v>
      </c>
      <c r="E457">
        <f t="shared" si="22"/>
        <v>1</v>
      </c>
      <c r="F457">
        <f t="shared" si="23"/>
        <v>2</v>
      </c>
    </row>
    <row r="458" spans="1:6" x14ac:dyDescent="0.25">
      <c r="A458">
        <v>97.19</v>
      </c>
      <c r="B458">
        <v>67.81</v>
      </c>
      <c r="C458">
        <v>135.07</v>
      </c>
      <c r="D458">
        <f t="shared" si="21"/>
        <v>1</v>
      </c>
      <c r="E458">
        <f t="shared" si="22"/>
        <v>2</v>
      </c>
      <c r="F458">
        <f t="shared" si="23"/>
        <v>3</v>
      </c>
    </row>
    <row r="459" spans="1:6" x14ac:dyDescent="0.25">
      <c r="A459">
        <v>97.88</v>
      </c>
      <c r="B459">
        <v>70.23</v>
      </c>
      <c r="C459">
        <v>133.69999999999999</v>
      </c>
      <c r="D459">
        <f t="shared" si="21"/>
        <v>2</v>
      </c>
      <c r="E459">
        <f t="shared" si="22"/>
        <v>3</v>
      </c>
      <c r="F459">
        <f t="shared" si="23"/>
        <v>1</v>
      </c>
    </row>
    <row r="460" spans="1:6" x14ac:dyDescent="0.25">
      <c r="A460">
        <v>96.5</v>
      </c>
      <c r="B460">
        <v>69.88</v>
      </c>
      <c r="C460">
        <v>132.12</v>
      </c>
      <c r="D460">
        <f t="shared" si="21"/>
        <v>1</v>
      </c>
      <c r="E460">
        <f t="shared" si="22"/>
        <v>1</v>
      </c>
      <c r="F460">
        <f t="shared" si="23"/>
        <v>1</v>
      </c>
    </row>
    <row r="461" spans="1:6" x14ac:dyDescent="0.25">
      <c r="A461">
        <v>98.32</v>
      </c>
      <c r="B461">
        <v>69.650000000000006</v>
      </c>
      <c r="C461">
        <v>132.19999999999999</v>
      </c>
      <c r="D461">
        <f t="shared" si="21"/>
        <v>2</v>
      </c>
      <c r="E461">
        <f t="shared" si="22"/>
        <v>1</v>
      </c>
      <c r="F461">
        <f t="shared" si="23"/>
        <v>2</v>
      </c>
    </row>
    <row r="462" spans="1:6" x14ac:dyDescent="0.25">
      <c r="A462">
        <v>100.41</v>
      </c>
      <c r="B462">
        <v>67.95</v>
      </c>
      <c r="C462">
        <v>134.63</v>
      </c>
      <c r="D462">
        <f t="shared" si="21"/>
        <v>3</v>
      </c>
      <c r="E462">
        <f t="shared" si="22"/>
        <v>1</v>
      </c>
      <c r="F462">
        <f t="shared" si="23"/>
        <v>3</v>
      </c>
    </row>
    <row r="463" spans="1:6" x14ac:dyDescent="0.25">
      <c r="A463">
        <v>98.63</v>
      </c>
      <c r="B463">
        <v>66.98</v>
      </c>
      <c r="C463">
        <v>136.87</v>
      </c>
      <c r="D463">
        <f t="shared" si="21"/>
        <v>1</v>
      </c>
      <c r="E463">
        <f t="shared" si="22"/>
        <v>1</v>
      </c>
      <c r="F463">
        <f t="shared" si="23"/>
        <v>4</v>
      </c>
    </row>
    <row r="464" spans="1:6" x14ac:dyDescent="0.25">
      <c r="A464">
        <v>96.81</v>
      </c>
      <c r="B464">
        <v>65.760000000000005</v>
      </c>
      <c r="C464">
        <v>138.55000000000001</v>
      </c>
      <c r="D464">
        <f t="shared" si="21"/>
        <v>1</v>
      </c>
      <c r="E464">
        <f t="shared" si="22"/>
        <v>1</v>
      </c>
      <c r="F464">
        <f t="shared" si="23"/>
        <v>5</v>
      </c>
    </row>
    <row r="465" spans="1:6" x14ac:dyDescent="0.25">
      <c r="A465">
        <v>98.88</v>
      </c>
      <c r="B465">
        <v>65.53</v>
      </c>
      <c r="C465">
        <v>137.22999999999999</v>
      </c>
      <c r="D465">
        <f t="shared" si="21"/>
        <v>2</v>
      </c>
      <c r="E465">
        <f t="shared" si="22"/>
        <v>1</v>
      </c>
      <c r="F465">
        <f t="shared" si="23"/>
        <v>1</v>
      </c>
    </row>
    <row r="466" spans="1:6" x14ac:dyDescent="0.25">
      <c r="A466">
        <v>100.54</v>
      </c>
      <c r="B466">
        <v>68.27</v>
      </c>
      <c r="C466">
        <v>135.35</v>
      </c>
      <c r="D466">
        <f t="shared" si="21"/>
        <v>3</v>
      </c>
      <c r="E466">
        <f t="shared" si="22"/>
        <v>2</v>
      </c>
      <c r="F466">
        <f t="shared" si="23"/>
        <v>1</v>
      </c>
    </row>
    <row r="467" spans="1:6" x14ac:dyDescent="0.25">
      <c r="A467">
        <v>102.5</v>
      </c>
      <c r="B467">
        <v>66.36</v>
      </c>
      <c r="C467">
        <v>133.85</v>
      </c>
      <c r="D467">
        <f t="shared" si="21"/>
        <v>4</v>
      </c>
      <c r="E467">
        <f t="shared" si="22"/>
        <v>1</v>
      </c>
      <c r="F467">
        <f t="shared" si="23"/>
        <v>1</v>
      </c>
    </row>
    <row r="468" spans="1:6" x14ac:dyDescent="0.25">
      <c r="A468">
        <v>103.73</v>
      </c>
      <c r="B468">
        <v>65</v>
      </c>
      <c r="C468">
        <v>134.44999999999999</v>
      </c>
      <c r="D468">
        <f t="shared" si="21"/>
        <v>5</v>
      </c>
      <c r="E468">
        <f t="shared" si="22"/>
        <v>1</v>
      </c>
      <c r="F468">
        <f t="shared" si="23"/>
        <v>2</v>
      </c>
    </row>
    <row r="469" spans="1:6" x14ac:dyDescent="0.25">
      <c r="A469">
        <v>101.95</v>
      </c>
      <c r="B469">
        <v>67.900000000000006</v>
      </c>
      <c r="C469">
        <v>136.01</v>
      </c>
      <c r="D469">
        <f t="shared" si="21"/>
        <v>1</v>
      </c>
      <c r="E469">
        <f t="shared" si="22"/>
        <v>2</v>
      </c>
      <c r="F469">
        <f t="shared" si="23"/>
        <v>3</v>
      </c>
    </row>
    <row r="470" spans="1:6" x14ac:dyDescent="0.25">
      <c r="A470">
        <v>100.28</v>
      </c>
      <c r="B470">
        <v>67.61</v>
      </c>
      <c r="C470">
        <v>134.69</v>
      </c>
      <c r="D470">
        <f t="shared" si="21"/>
        <v>1</v>
      </c>
      <c r="E470">
        <f t="shared" si="22"/>
        <v>1</v>
      </c>
      <c r="F470">
        <f t="shared" si="23"/>
        <v>1</v>
      </c>
    </row>
    <row r="471" spans="1:6" x14ac:dyDescent="0.25">
      <c r="A471">
        <v>101.15</v>
      </c>
      <c r="B471">
        <v>66.87</v>
      </c>
      <c r="C471">
        <v>136.71</v>
      </c>
      <c r="D471">
        <f t="shared" si="21"/>
        <v>2</v>
      </c>
      <c r="E471">
        <f t="shared" si="22"/>
        <v>1</v>
      </c>
      <c r="F471">
        <f t="shared" si="23"/>
        <v>2</v>
      </c>
    </row>
    <row r="472" spans="1:6" x14ac:dyDescent="0.25">
      <c r="A472">
        <v>101.53</v>
      </c>
      <c r="B472">
        <v>69.790000000000006</v>
      </c>
      <c r="C472">
        <v>135.55000000000001</v>
      </c>
      <c r="D472">
        <f t="shared" si="21"/>
        <v>3</v>
      </c>
      <c r="E472">
        <f t="shared" si="22"/>
        <v>2</v>
      </c>
      <c r="F472">
        <f t="shared" si="23"/>
        <v>1</v>
      </c>
    </row>
    <row r="473" spans="1:6" x14ac:dyDescent="0.25">
      <c r="A473">
        <v>103.27</v>
      </c>
      <c r="B473">
        <v>72.55</v>
      </c>
      <c r="C473">
        <v>138.04</v>
      </c>
      <c r="D473">
        <f t="shared" si="21"/>
        <v>4</v>
      </c>
      <c r="E473">
        <f t="shared" si="22"/>
        <v>3</v>
      </c>
      <c r="F473">
        <f t="shared" si="23"/>
        <v>2</v>
      </c>
    </row>
    <row r="474" spans="1:6" x14ac:dyDescent="0.25">
      <c r="A474">
        <v>102.2</v>
      </c>
      <c r="B474">
        <v>70.64</v>
      </c>
      <c r="C474">
        <v>136.30000000000001</v>
      </c>
      <c r="D474">
        <f t="shared" si="21"/>
        <v>1</v>
      </c>
      <c r="E474">
        <f t="shared" si="22"/>
        <v>1</v>
      </c>
      <c r="F474">
        <f t="shared" si="23"/>
        <v>1</v>
      </c>
    </row>
    <row r="475" spans="1:6" x14ac:dyDescent="0.25">
      <c r="A475">
        <v>100.83</v>
      </c>
      <c r="B475">
        <v>69.989999999999995</v>
      </c>
      <c r="C475">
        <v>136.91</v>
      </c>
      <c r="D475">
        <f t="shared" si="21"/>
        <v>1</v>
      </c>
      <c r="E475">
        <f t="shared" si="22"/>
        <v>1</v>
      </c>
      <c r="F475">
        <f t="shared" si="23"/>
        <v>2</v>
      </c>
    </row>
    <row r="476" spans="1:6" x14ac:dyDescent="0.25">
      <c r="A476">
        <v>101.6</v>
      </c>
      <c r="B476">
        <v>68.069999999999993</v>
      </c>
      <c r="C476">
        <v>137.52000000000001</v>
      </c>
      <c r="D476">
        <f t="shared" si="21"/>
        <v>2</v>
      </c>
      <c r="E476">
        <f t="shared" si="22"/>
        <v>1</v>
      </c>
      <c r="F476">
        <f t="shared" si="23"/>
        <v>3</v>
      </c>
    </row>
    <row r="477" spans="1:6" x14ac:dyDescent="0.25">
      <c r="A477">
        <v>99.94</v>
      </c>
      <c r="B477">
        <v>66.72</v>
      </c>
      <c r="C477">
        <v>136.02000000000001</v>
      </c>
      <c r="D477">
        <f t="shared" si="21"/>
        <v>1</v>
      </c>
      <c r="E477">
        <f t="shared" si="22"/>
        <v>1</v>
      </c>
      <c r="F477">
        <f t="shared" si="23"/>
        <v>1</v>
      </c>
    </row>
    <row r="478" spans="1:6" x14ac:dyDescent="0.25">
      <c r="A478">
        <v>98.46</v>
      </c>
      <c r="B478">
        <v>69.349999999999994</v>
      </c>
      <c r="C478">
        <v>134.65</v>
      </c>
      <c r="D478">
        <f t="shared" si="21"/>
        <v>1</v>
      </c>
      <c r="E478">
        <f t="shared" si="22"/>
        <v>2</v>
      </c>
      <c r="F478">
        <f t="shared" si="23"/>
        <v>1</v>
      </c>
    </row>
    <row r="479" spans="1:6" x14ac:dyDescent="0.25">
      <c r="A479">
        <v>97.24</v>
      </c>
      <c r="B479">
        <v>68.8</v>
      </c>
      <c r="C479">
        <v>133.62</v>
      </c>
      <c r="D479">
        <f t="shared" si="21"/>
        <v>1</v>
      </c>
      <c r="E479">
        <f t="shared" si="22"/>
        <v>1</v>
      </c>
      <c r="F479">
        <f t="shared" si="23"/>
        <v>1</v>
      </c>
    </row>
    <row r="480" spans="1:6" x14ac:dyDescent="0.25">
      <c r="A480">
        <v>97.6</v>
      </c>
      <c r="B480">
        <v>66.97</v>
      </c>
      <c r="C480">
        <v>134.27000000000001</v>
      </c>
      <c r="D480">
        <f t="shared" si="21"/>
        <v>2</v>
      </c>
      <c r="E480">
        <f t="shared" si="22"/>
        <v>1</v>
      </c>
      <c r="F480">
        <f t="shared" si="23"/>
        <v>2</v>
      </c>
    </row>
    <row r="481" spans="1:6" x14ac:dyDescent="0.25">
      <c r="A481">
        <v>98.91</v>
      </c>
      <c r="B481">
        <v>66.28</v>
      </c>
      <c r="C481">
        <v>134.35</v>
      </c>
      <c r="D481">
        <f t="shared" si="21"/>
        <v>3</v>
      </c>
      <c r="E481">
        <f t="shared" si="22"/>
        <v>1</v>
      </c>
      <c r="F481">
        <f t="shared" si="23"/>
        <v>3</v>
      </c>
    </row>
    <row r="482" spans="1:6" x14ac:dyDescent="0.25">
      <c r="A482">
        <v>101.11</v>
      </c>
      <c r="B482">
        <v>64.41</v>
      </c>
      <c r="C482">
        <v>133.19</v>
      </c>
      <c r="D482">
        <f t="shared" si="21"/>
        <v>4</v>
      </c>
      <c r="E482">
        <f t="shared" si="22"/>
        <v>1</v>
      </c>
      <c r="F482">
        <f t="shared" si="23"/>
        <v>1</v>
      </c>
    </row>
    <row r="483" spans="1:6" x14ac:dyDescent="0.25">
      <c r="A483">
        <v>102.79</v>
      </c>
      <c r="B483">
        <v>66.86</v>
      </c>
      <c r="C483">
        <v>132.1</v>
      </c>
      <c r="D483">
        <f t="shared" si="21"/>
        <v>5</v>
      </c>
      <c r="E483">
        <f t="shared" si="22"/>
        <v>2</v>
      </c>
      <c r="F483">
        <f t="shared" si="23"/>
        <v>1</v>
      </c>
    </row>
    <row r="484" spans="1:6" x14ac:dyDescent="0.25">
      <c r="A484">
        <v>103.54</v>
      </c>
      <c r="B484">
        <v>66.22</v>
      </c>
      <c r="C484">
        <v>132.30000000000001</v>
      </c>
      <c r="D484">
        <f t="shared" si="21"/>
        <v>6</v>
      </c>
      <c r="E484">
        <f t="shared" si="22"/>
        <v>1</v>
      </c>
      <c r="F484">
        <f t="shared" si="23"/>
        <v>2</v>
      </c>
    </row>
    <row r="485" spans="1:6" x14ac:dyDescent="0.25">
      <c r="A485">
        <v>102.54</v>
      </c>
      <c r="B485">
        <v>64.239999999999995</v>
      </c>
      <c r="C485">
        <v>131.22999999999999</v>
      </c>
      <c r="D485">
        <f t="shared" si="21"/>
        <v>1</v>
      </c>
      <c r="E485">
        <f t="shared" si="22"/>
        <v>1</v>
      </c>
      <c r="F485">
        <f t="shared" si="23"/>
        <v>1</v>
      </c>
    </row>
    <row r="486" spans="1:6" x14ac:dyDescent="0.25">
      <c r="A486">
        <v>100.72</v>
      </c>
      <c r="B486">
        <v>62.97</v>
      </c>
      <c r="C486">
        <v>130.09</v>
      </c>
      <c r="D486">
        <f t="shared" si="21"/>
        <v>1</v>
      </c>
      <c r="E486">
        <f t="shared" si="22"/>
        <v>1</v>
      </c>
      <c r="F486">
        <f t="shared" si="23"/>
        <v>1</v>
      </c>
    </row>
    <row r="487" spans="1:6" x14ac:dyDescent="0.25">
      <c r="A487">
        <v>99.66</v>
      </c>
      <c r="B487">
        <v>61.28</v>
      </c>
      <c r="C487">
        <v>131.72999999999999</v>
      </c>
      <c r="D487">
        <f t="shared" si="21"/>
        <v>1</v>
      </c>
      <c r="E487">
        <f t="shared" si="22"/>
        <v>1</v>
      </c>
      <c r="F487">
        <f t="shared" si="23"/>
        <v>2</v>
      </c>
    </row>
    <row r="488" spans="1:6" x14ac:dyDescent="0.25">
      <c r="A488">
        <v>101.44</v>
      </c>
      <c r="B488">
        <v>63.76</v>
      </c>
      <c r="C488">
        <v>130.03</v>
      </c>
      <c r="D488">
        <f t="shared" si="21"/>
        <v>2</v>
      </c>
      <c r="E488">
        <f t="shared" si="22"/>
        <v>2</v>
      </c>
      <c r="F488">
        <f t="shared" si="23"/>
        <v>1</v>
      </c>
    </row>
    <row r="489" spans="1:6" x14ac:dyDescent="0.25">
      <c r="A489">
        <v>99.81</v>
      </c>
      <c r="B489">
        <v>63.15</v>
      </c>
      <c r="C489">
        <v>128.21</v>
      </c>
      <c r="D489">
        <f t="shared" si="21"/>
        <v>1</v>
      </c>
      <c r="E489">
        <f t="shared" si="22"/>
        <v>1</v>
      </c>
      <c r="F489">
        <f t="shared" si="23"/>
        <v>1</v>
      </c>
    </row>
    <row r="490" spans="1:6" x14ac:dyDescent="0.25">
      <c r="A490">
        <v>101.7</v>
      </c>
      <c r="B490">
        <v>62.62</v>
      </c>
      <c r="C490">
        <v>128.51</v>
      </c>
      <c r="D490">
        <f t="shared" si="21"/>
        <v>2</v>
      </c>
      <c r="E490">
        <f t="shared" si="22"/>
        <v>1</v>
      </c>
      <c r="F490">
        <f t="shared" si="23"/>
        <v>2</v>
      </c>
    </row>
    <row r="491" spans="1:6" x14ac:dyDescent="0.25">
      <c r="A491">
        <v>99.88</v>
      </c>
      <c r="B491">
        <v>65.52</v>
      </c>
      <c r="C491">
        <v>127.47</v>
      </c>
      <c r="D491">
        <f t="shared" si="21"/>
        <v>1</v>
      </c>
      <c r="E491">
        <f t="shared" si="22"/>
        <v>2</v>
      </c>
      <c r="F491">
        <f t="shared" si="23"/>
        <v>1</v>
      </c>
    </row>
    <row r="492" spans="1:6" x14ac:dyDescent="0.25">
      <c r="A492">
        <v>102.11</v>
      </c>
      <c r="B492">
        <v>65.180000000000007</v>
      </c>
      <c r="C492">
        <v>126.24</v>
      </c>
      <c r="D492">
        <f t="shared" si="21"/>
        <v>2</v>
      </c>
      <c r="E492">
        <f t="shared" si="22"/>
        <v>1</v>
      </c>
      <c r="F492">
        <f t="shared" si="23"/>
        <v>1</v>
      </c>
    </row>
    <row r="493" spans="1:6" x14ac:dyDescent="0.25">
      <c r="A493">
        <v>104.42</v>
      </c>
      <c r="B493">
        <v>64.34</v>
      </c>
      <c r="C493">
        <v>128.41</v>
      </c>
      <c r="D493">
        <f t="shared" si="21"/>
        <v>3</v>
      </c>
      <c r="E493">
        <f t="shared" si="22"/>
        <v>1</v>
      </c>
      <c r="F493">
        <f t="shared" si="23"/>
        <v>2</v>
      </c>
    </row>
    <row r="494" spans="1:6" x14ac:dyDescent="0.25">
      <c r="A494">
        <v>105.45</v>
      </c>
      <c r="B494">
        <v>64.28</v>
      </c>
      <c r="C494">
        <v>128.56</v>
      </c>
      <c r="D494">
        <f t="shared" si="21"/>
        <v>4</v>
      </c>
      <c r="E494">
        <f t="shared" si="22"/>
        <v>1</v>
      </c>
      <c r="F494">
        <f t="shared" si="23"/>
        <v>3</v>
      </c>
    </row>
    <row r="495" spans="1:6" x14ac:dyDescent="0.25">
      <c r="A495">
        <v>104.12</v>
      </c>
      <c r="B495">
        <v>67.06</v>
      </c>
      <c r="C495">
        <v>128.58000000000001</v>
      </c>
      <c r="D495">
        <f t="shared" si="21"/>
        <v>1</v>
      </c>
      <c r="E495">
        <f t="shared" si="22"/>
        <v>2</v>
      </c>
      <c r="F495">
        <f t="shared" si="23"/>
        <v>4</v>
      </c>
    </row>
    <row r="496" spans="1:6" x14ac:dyDescent="0.25">
      <c r="A496">
        <v>102.55</v>
      </c>
      <c r="B496">
        <v>66.61</v>
      </c>
      <c r="C496">
        <v>127.41</v>
      </c>
      <c r="D496">
        <f t="shared" si="21"/>
        <v>1</v>
      </c>
      <c r="E496">
        <f t="shared" si="22"/>
        <v>1</v>
      </c>
      <c r="F496">
        <f t="shared" si="23"/>
        <v>1</v>
      </c>
    </row>
    <row r="497" spans="1:6" x14ac:dyDescent="0.25">
      <c r="A497">
        <v>100.83</v>
      </c>
      <c r="B497">
        <v>65.150000000000006</v>
      </c>
      <c r="C497">
        <v>129.69</v>
      </c>
      <c r="D497">
        <f t="shared" si="21"/>
        <v>1</v>
      </c>
      <c r="E497">
        <f t="shared" si="22"/>
        <v>1</v>
      </c>
      <c r="F497">
        <f t="shared" si="23"/>
        <v>2</v>
      </c>
    </row>
    <row r="498" spans="1:6" x14ac:dyDescent="0.25">
      <c r="A498">
        <v>102.59</v>
      </c>
      <c r="B498">
        <v>63.19</v>
      </c>
      <c r="C498">
        <v>128.27000000000001</v>
      </c>
      <c r="D498">
        <f t="shared" si="21"/>
        <v>2</v>
      </c>
      <c r="E498">
        <f t="shared" si="22"/>
        <v>1</v>
      </c>
      <c r="F498">
        <f t="shared" si="23"/>
        <v>1</v>
      </c>
    </row>
    <row r="499" spans="1:6" x14ac:dyDescent="0.25">
      <c r="A499">
        <v>101.01</v>
      </c>
      <c r="B499">
        <v>62.21</v>
      </c>
      <c r="C499">
        <v>126.99</v>
      </c>
      <c r="D499">
        <f t="shared" si="21"/>
        <v>1</v>
      </c>
      <c r="E499">
        <f t="shared" si="22"/>
        <v>1</v>
      </c>
      <c r="F499">
        <f t="shared" si="23"/>
        <v>1</v>
      </c>
    </row>
    <row r="500" spans="1:6" x14ac:dyDescent="0.25">
      <c r="A500">
        <v>102.11</v>
      </c>
      <c r="B500">
        <v>61.89</v>
      </c>
      <c r="C500">
        <v>127.03</v>
      </c>
      <c r="D500">
        <f t="shared" si="21"/>
        <v>2</v>
      </c>
      <c r="E500">
        <f t="shared" si="22"/>
        <v>1</v>
      </c>
      <c r="F500">
        <f t="shared" si="23"/>
        <v>2</v>
      </c>
    </row>
    <row r="501" spans="1:6" x14ac:dyDescent="0.25">
      <c r="A501">
        <v>100.38</v>
      </c>
      <c r="B501">
        <v>59.94</v>
      </c>
      <c r="C501">
        <v>127.11</v>
      </c>
      <c r="D501">
        <f t="shared" si="21"/>
        <v>1</v>
      </c>
      <c r="E501">
        <f t="shared" si="22"/>
        <v>1</v>
      </c>
      <c r="F501">
        <f t="shared" si="23"/>
        <v>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E15" sqref="E15"/>
    </sheetView>
  </sheetViews>
  <sheetFormatPr defaultRowHeight="15" x14ac:dyDescent="0.25"/>
  <cols>
    <col min="2" max="2" width="10.28515625" bestFit="1" customWidth="1"/>
    <col min="3" max="4" width="10.140625" bestFit="1" customWidth="1"/>
  </cols>
  <sheetData>
    <row r="1" spans="1:4" x14ac:dyDescent="0.25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s="1">
        <v>126</v>
      </c>
      <c r="C2" s="1">
        <v>135.43</v>
      </c>
      <c r="D2" s="1">
        <v>65.430000000000007</v>
      </c>
    </row>
    <row r="3" spans="1:4" x14ac:dyDescent="0.25">
      <c r="A3">
        <v>2</v>
      </c>
      <c r="B3" s="1">
        <v>119</v>
      </c>
      <c r="C3" s="1">
        <v>134.99</v>
      </c>
      <c r="D3" s="1">
        <v>67.06</v>
      </c>
    </row>
    <row r="4" spans="1:4" x14ac:dyDescent="0.25">
      <c r="A4">
        <v>3</v>
      </c>
      <c r="B4" s="1">
        <v>127</v>
      </c>
      <c r="C4" s="1">
        <v>134.04</v>
      </c>
      <c r="D4" s="1">
        <v>68.91</v>
      </c>
    </row>
    <row r="5" spans="1:4" x14ac:dyDescent="0.25">
      <c r="A5">
        <v>4</v>
      </c>
      <c r="B5" s="1">
        <v>130</v>
      </c>
      <c r="C5" s="1">
        <v>133.76</v>
      </c>
      <c r="D5" s="1">
        <v>70.8</v>
      </c>
    </row>
    <row r="6" spans="1:4" x14ac:dyDescent="0.25">
      <c r="A6">
        <v>5</v>
      </c>
      <c r="B6" s="1">
        <v>110</v>
      </c>
      <c r="C6" s="1">
        <v>136.72999999999999</v>
      </c>
      <c r="D6" s="1">
        <v>72.260000000000005</v>
      </c>
    </row>
    <row r="7" spans="1:4" x14ac:dyDescent="0.25">
      <c r="A7">
        <v>6</v>
      </c>
      <c r="B7" s="1">
        <v>108.71</v>
      </c>
      <c r="C7" s="1">
        <v>136.49</v>
      </c>
      <c r="D7" s="1">
        <v>73.63</v>
      </c>
    </row>
    <row r="8" spans="1:4" x14ac:dyDescent="0.25">
      <c r="A8">
        <v>7</v>
      </c>
      <c r="B8" s="1">
        <v>109.82</v>
      </c>
      <c r="C8" s="1">
        <v>139.22</v>
      </c>
      <c r="D8" s="1">
        <v>73.64</v>
      </c>
    </row>
    <row r="9" spans="1:4" x14ac:dyDescent="0.25">
      <c r="A9">
        <v>8</v>
      </c>
      <c r="B9" s="1">
        <v>108.34</v>
      </c>
      <c r="C9" s="1">
        <v>138.41</v>
      </c>
      <c r="D9" s="1">
        <v>71.739999999999995</v>
      </c>
    </row>
    <row r="10" spans="1:4" x14ac:dyDescent="0.25">
      <c r="A10">
        <v>9</v>
      </c>
      <c r="B10" s="1">
        <v>108.98</v>
      </c>
      <c r="C10" s="1">
        <v>137.68</v>
      </c>
      <c r="D10" s="1">
        <v>72.89</v>
      </c>
    </row>
    <row r="11" spans="1:4" x14ac:dyDescent="0.25">
      <c r="A11">
        <v>10</v>
      </c>
      <c r="B11" s="1">
        <v>107.72</v>
      </c>
      <c r="C11" s="1">
        <v>140.59</v>
      </c>
      <c r="D11" s="1">
        <v>74.319999999999993</v>
      </c>
    </row>
    <row r="12" spans="1:4" x14ac:dyDescent="0.25">
      <c r="A12">
        <v>11</v>
      </c>
      <c r="B12" s="1">
        <v>109.1</v>
      </c>
      <c r="C12" s="1">
        <v>143.21</v>
      </c>
      <c r="D12" s="1">
        <v>75.569999999999993</v>
      </c>
    </row>
    <row r="13" spans="1:4" x14ac:dyDescent="0.25">
      <c r="A13">
        <v>12</v>
      </c>
      <c r="B13" s="1">
        <v>107.73</v>
      </c>
      <c r="C13" s="1">
        <v>145.94999999999999</v>
      </c>
      <c r="D13" s="1">
        <v>77.37</v>
      </c>
    </row>
    <row r="14" spans="1:4" x14ac:dyDescent="0.25">
      <c r="A14">
        <v>13</v>
      </c>
      <c r="B14" s="1">
        <v>107.75</v>
      </c>
      <c r="C14" s="1">
        <v>145.35</v>
      </c>
      <c r="D14" s="1">
        <v>75.7</v>
      </c>
    </row>
    <row r="15" spans="1:4" x14ac:dyDescent="0.25">
      <c r="A15">
        <v>14</v>
      </c>
      <c r="B15" s="1">
        <v>110.02</v>
      </c>
      <c r="C15" s="1">
        <v>145.35</v>
      </c>
      <c r="D15" s="1">
        <v>75.959999999999994</v>
      </c>
    </row>
    <row r="16" spans="1:4" x14ac:dyDescent="0.25">
      <c r="A16">
        <v>15</v>
      </c>
      <c r="B16" s="1">
        <v>112.45</v>
      </c>
      <c r="C16" s="1">
        <v>145.24</v>
      </c>
      <c r="D16" s="1">
        <v>78.040000000000006</v>
      </c>
    </row>
    <row r="17" spans="1:4" x14ac:dyDescent="0.25">
      <c r="A17">
        <v>16</v>
      </c>
      <c r="B17" s="1">
        <v>110.84</v>
      </c>
      <c r="C17" s="1">
        <v>148.19</v>
      </c>
      <c r="D17" s="1">
        <v>78.28</v>
      </c>
    </row>
    <row r="18" spans="1:4" x14ac:dyDescent="0.25">
      <c r="A18">
        <v>17</v>
      </c>
      <c r="B18" s="1">
        <v>109.06</v>
      </c>
      <c r="C18" s="1">
        <v>146.26</v>
      </c>
      <c r="D18" s="1">
        <v>79.41</v>
      </c>
    </row>
    <row r="19" spans="1:4" x14ac:dyDescent="0.25">
      <c r="A19">
        <v>18</v>
      </c>
      <c r="B19" s="1">
        <v>107.28</v>
      </c>
      <c r="C19" s="1">
        <v>144.43</v>
      </c>
      <c r="D19" s="1">
        <v>77.45</v>
      </c>
    </row>
    <row r="20" spans="1:4" x14ac:dyDescent="0.25">
      <c r="A20">
        <v>19</v>
      </c>
      <c r="B20" s="1">
        <v>108.88</v>
      </c>
      <c r="C20" s="1">
        <v>144.19</v>
      </c>
      <c r="D20" s="1">
        <v>76.040000000000006</v>
      </c>
    </row>
    <row r="21" spans="1:4" x14ac:dyDescent="0.25">
      <c r="A21">
        <v>20</v>
      </c>
      <c r="B21" s="1">
        <v>111.35</v>
      </c>
      <c r="C21" s="1">
        <v>142.59</v>
      </c>
      <c r="D21" s="1">
        <v>77.11</v>
      </c>
    </row>
    <row r="22" spans="1:4" x14ac:dyDescent="0.25">
      <c r="A22">
        <v>21</v>
      </c>
      <c r="B22" s="1">
        <v>112.72</v>
      </c>
      <c r="C22" s="1">
        <v>142.33000000000001</v>
      </c>
      <c r="D22" s="1">
        <v>78.72</v>
      </c>
    </row>
    <row r="23" spans="1:4" x14ac:dyDescent="0.25">
      <c r="A23">
        <v>22</v>
      </c>
      <c r="B23" s="1">
        <v>113.08</v>
      </c>
      <c r="C23" s="1">
        <v>141.56</v>
      </c>
      <c r="D23" s="1">
        <v>77</v>
      </c>
    </row>
    <row r="24" spans="1:4" x14ac:dyDescent="0.25">
      <c r="A24">
        <v>23</v>
      </c>
      <c r="B24" s="1">
        <v>115.28</v>
      </c>
      <c r="C24" s="1">
        <v>139.78</v>
      </c>
      <c r="D24" s="1">
        <v>79.03</v>
      </c>
    </row>
    <row r="25" spans="1:4" x14ac:dyDescent="0.25">
      <c r="A25">
        <v>24</v>
      </c>
      <c r="B25" s="1">
        <v>114.25</v>
      </c>
      <c r="C25" s="1">
        <v>142.72</v>
      </c>
      <c r="D25" s="1">
        <v>77.540000000000006</v>
      </c>
    </row>
    <row r="26" spans="1:4" x14ac:dyDescent="0.25">
      <c r="A26">
        <v>25</v>
      </c>
      <c r="B26" s="1">
        <v>112.65</v>
      </c>
      <c r="C26" s="1">
        <v>141.38</v>
      </c>
      <c r="D26" s="1">
        <v>76.08</v>
      </c>
    </row>
    <row r="27" spans="1:4" x14ac:dyDescent="0.25">
      <c r="A27">
        <v>26</v>
      </c>
      <c r="B27" s="1">
        <v>115.1</v>
      </c>
      <c r="C27" s="1">
        <v>141.34</v>
      </c>
      <c r="D27" s="1">
        <v>74.11</v>
      </c>
    </row>
    <row r="28" spans="1:4" x14ac:dyDescent="0.25">
      <c r="A28">
        <v>27</v>
      </c>
      <c r="B28" s="1">
        <v>116.76</v>
      </c>
      <c r="C28" s="1">
        <v>140.87</v>
      </c>
      <c r="D28" s="1">
        <v>72.23</v>
      </c>
    </row>
    <row r="29" spans="1:4" x14ac:dyDescent="0.25">
      <c r="A29">
        <v>28</v>
      </c>
      <c r="B29" s="1">
        <v>114.96</v>
      </c>
      <c r="C29" s="1">
        <v>139.35</v>
      </c>
      <c r="D29" s="1">
        <v>72.239999999999995</v>
      </c>
    </row>
    <row r="30" spans="1:4" x14ac:dyDescent="0.25">
      <c r="A30">
        <v>29</v>
      </c>
      <c r="B30" s="1">
        <v>113.89</v>
      </c>
      <c r="C30" s="1">
        <v>141.87</v>
      </c>
      <c r="D30" s="1">
        <v>74.19</v>
      </c>
    </row>
    <row r="31" spans="1:4" x14ac:dyDescent="0.25">
      <c r="A31">
        <v>30</v>
      </c>
      <c r="B31" s="1">
        <v>112.77</v>
      </c>
      <c r="C31" s="1">
        <v>140.41</v>
      </c>
      <c r="D31" s="1">
        <v>75.75</v>
      </c>
    </row>
    <row r="32" spans="1:4" x14ac:dyDescent="0.25">
      <c r="A32">
        <v>31</v>
      </c>
      <c r="B32" s="1">
        <v>113.51</v>
      </c>
      <c r="C32" s="1">
        <v>138.97999999999999</v>
      </c>
      <c r="D32" s="1">
        <v>74.11</v>
      </c>
    </row>
    <row r="33" spans="1:4" x14ac:dyDescent="0.25">
      <c r="A33">
        <v>32</v>
      </c>
      <c r="B33" s="1">
        <v>112.2</v>
      </c>
      <c r="C33" s="1">
        <v>137.32</v>
      </c>
      <c r="D33" s="1">
        <v>74.75</v>
      </c>
    </row>
    <row r="34" spans="1:4" x14ac:dyDescent="0.25">
      <c r="A34">
        <v>33</v>
      </c>
      <c r="B34" s="1">
        <v>110.36</v>
      </c>
      <c r="C34" s="1">
        <v>136.93</v>
      </c>
      <c r="D34" s="1">
        <v>72.89</v>
      </c>
    </row>
    <row r="35" spans="1:4" x14ac:dyDescent="0.25">
      <c r="A35">
        <v>34</v>
      </c>
      <c r="B35" s="1">
        <v>112.47</v>
      </c>
      <c r="C35" s="1">
        <v>136.37</v>
      </c>
      <c r="D35" s="1">
        <v>71.260000000000005</v>
      </c>
    </row>
    <row r="36" spans="1:4" x14ac:dyDescent="0.25">
      <c r="A36">
        <v>35</v>
      </c>
      <c r="B36" s="1">
        <v>112.67</v>
      </c>
      <c r="C36" s="1">
        <v>136.24</v>
      </c>
      <c r="D36" s="1">
        <v>72.92</v>
      </c>
    </row>
    <row r="37" spans="1:4" x14ac:dyDescent="0.25">
      <c r="A37">
        <v>36</v>
      </c>
      <c r="B37" s="1">
        <v>111.09</v>
      </c>
      <c r="C37" s="1">
        <v>134.69</v>
      </c>
      <c r="D37" s="1">
        <v>73.63</v>
      </c>
    </row>
    <row r="38" spans="1:4" x14ac:dyDescent="0.25">
      <c r="A38">
        <v>37</v>
      </c>
      <c r="B38" s="1">
        <v>110.06</v>
      </c>
      <c r="C38" s="1">
        <v>137.49</v>
      </c>
      <c r="D38" s="1">
        <v>72.040000000000006</v>
      </c>
    </row>
    <row r="39" spans="1:4" x14ac:dyDescent="0.25">
      <c r="A39">
        <v>38</v>
      </c>
      <c r="B39" s="1">
        <v>111.55</v>
      </c>
      <c r="C39" s="1">
        <v>135.69999999999999</v>
      </c>
      <c r="D39" s="1">
        <v>70.16</v>
      </c>
    </row>
    <row r="40" spans="1:4" x14ac:dyDescent="0.25">
      <c r="A40">
        <v>39</v>
      </c>
      <c r="B40" s="1">
        <v>112.25</v>
      </c>
      <c r="C40" s="1">
        <v>134.69</v>
      </c>
      <c r="D40" s="1">
        <v>72.239999999999995</v>
      </c>
    </row>
    <row r="41" spans="1:4" x14ac:dyDescent="0.25">
      <c r="A41">
        <v>40</v>
      </c>
      <c r="B41" s="1">
        <v>110.59</v>
      </c>
      <c r="C41" s="1">
        <v>133.41</v>
      </c>
      <c r="D41" s="1">
        <v>70.25</v>
      </c>
    </row>
    <row r="42" spans="1:4" x14ac:dyDescent="0.25">
      <c r="A42">
        <v>41</v>
      </c>
      <c r="B42" s="1">
        <v>109.24</v>
      </c>
      <c r="C42" s="1">
        <v>136.24</v>
      </c>
      <c r="D42" s="1">
        <v>71.67</v>
      </c>
    </row>
    <row r="43" spans="1:4" x14ac:dyDescent="0.25">
      <c r="A43">
        <v>42</v>
      </c>
      <c r="B43" s="1">
        <v>107.52</v>
      </c>
      <c r="C43" s="1">
        <v>136.22</v>
      </c>
      <c r="D43" s="1">
        <v>73.099999999999994</v>
      </c>
    </row>
    <row r="44" spans="1:4" x14ac:dyDescent="0.25">
      <c r="A44">
        <v>43</v>
      </c>
      <c r="B44" s="1">
        <v>107.97</v>
      </c>
      <c r="C44" s="1">
        <v>135.69999999999999</v>
      </c>
      <c r="D44" s="1">
        <v>74.36</v>
      </c>
    </row>
    <row r="45" spans="1:4" x14ac:dyDescent="0.25">
      <c r="A45">
        <v>44</v>
      </c>
      <c r="B45" s="1">
        <v>106.54</v>
      </c>
      <c r="C45" s="1">
        <v>134.72</v>
      </c>
      <c r="D45" s="1">
        <v>72.81</v>
      </c>
    </row>
    <row r="46" spans="1:4" x14ac:dyDescent="0.25">
      <c r="A46">
        <v>45</v>
      </c>
      <c r="B46" s="1">
        <v>105.18</v>
      </c>
      <c r="C46" s="1">
        <v>133.13</v>
      </c>
      <c r="D46" s="1">
        <v>71.02</v>
      </c>
    </row>
    <row r="47" spans="1:4" x14ac:dyDescent="0.25">
      <c r="A47">
        <v>46</v>
      </c>
      <c r="B47" s="1">
        <v>103.97</v>
      </c>
      <c r="C47" s="1">
        <v>131.47999999999999</v>
      </c>
      <c r="D47" s="1">
        <v>72.37</v>
      </c>
    </row>
    <row r="48" spans="1:4" x14ac:dyDescent="0.25">
      <c r="A48">
        <v>47</v>
      </c>
      <c r="B48" s="1">
        <v>105.17</v>
      </c>
      <c r="C48" s="1">
        <v>131.35</v>
      </c>
      <c r="D48" s="1">
        <v>72.58</v>
      </c>
    </row>
    <row r="49" spans="1:4" x14ac:dyDescent="0.25">
      <c r="A49">
        <v>48</v>
      </c>
      <c r="B49" s="1">
        <v>106.1</v>
      </c>
      <c r="C49" s="1">
        <v>131.19999999999999</v>
      </c>
      <c r="D49" s="1">
        <v>70.73</v>
      </c>
    </row>
    <row r="50" spans="1:4" x14ac:dyDescent="0.25">
      <c r="A50">
        <v>49</v>
      </c>
      <c r="B50" s="1">
        <v>107.77</v>
      </c>
      <c r="C50" s="1">
        <v>130.01</v>
      </c>
      <c r="D50" s="1">
        <v>69.03</v>
      </c>
    </row>
    <row r="51" spans="1:4" x14ac:dyDescent="0.25">
      <c r="A51">
        <v>50</v>
      </c>
      <c r="B51" s="1">
        <v>108.02</v>
      </c>
      <c r="C51" s="1">
        <v>129.72</v>
      </c>
      <c r="D51" s="1">
        <v>70</v>
      </c>
    </row>
    <row r="52" spans="1:4" x14ac:dyDescent="0.25">
      <c r="A52">
        <v>51</v>
      </c>
      <c r="B52" s="1">
        <v>108.88</v>
      </c>
      <c r="C52" s="1">
        <v>128.44999999999999</v>
      </c>
      <c r="D52" s="1">
        <v>68.27</v>
      </c>
    </row>
    <row r="53" spans="1:4" x14ac:dyDescent="0.25">
      <c r="A53">
        <v>52</v>
      </c>
      <c r="B53" s="1">
        <v>107.26</v>
      </c>
      <c r="C53" s="1">
        <v>128.38999999999999</v>
      </c>
      <c r="D53" s="1">
        <v>68.97</v>
      </c>
    </row>
    <row r="54" spans="1:4" x14ac:dyDescent="0.25">
      <c r="A54">
        <v>53</v>
      </c>
      <c r="B54" s="1">
        <v>106.11</v>
      </c>
      <c r="C54" s="1">
        <v>127.62</v>
      </c>
      <c r="D54" s="1">
        <v>67.489999999999995</v>
      </c>
    </row>
    <row r="55" spans="1:4" x14ac:dyDescent="0.25">
      <c r="A55">
        <v>54</v>
      </c>
      <c r="B55" s="1">
        <v>104.42</v>
      </c>
      <c r="C55" s="1">
        <v>127.12</v>
      </c>
      <c r="D55" s="1">
        <v>67.790000000000006</v>
      </c>
    </row>
    <row r="56" spans="1:4" x14ac:dyDescent="0.25">
      <c r="A56">
        <v>55</v>
      </c>
      <c r="B56" s="1">
        <v>106.04</v>
      </c>
      <c r="C56" s="1">
        <v>129.86000000000001</v>
      </c>
      <c r="D56" s="1">
        <v>68.91</v>
      </c>
    </row>
    <row r="57" spans="1:4" x14ac:dyDescent="0.25">
      <c r="A57">
        <v>56</v>
      </c>
      <c r="B57" s="1">
        <v>108.4</v>
      </c>
      <c r="C57" s="1">
        <v>128.13999999999999</v>
      </c>
      <c r="D57" s="1">
        <v>69.81</v>
      </c>
    </row>
    <row r="58" spans="1:4" x14ac:dyDescent="0.25">
      <c r="A58">
        <v>57</v>
      </c>
      <c r="B58" s="1">
        <v>108.53</v>
      </c>
      <c r="C58" s="1">
        <v>127.11</v>
      </c>
      <c r="D58" s="1">
        <v>67.84</v>
      </c>
    </row>
    <row r="59" spans="1:4" x14ac:dyDescent="0.25">
      <c r="A59">
        <v>58</v>
      </c>
      <c r="B59" s="1">
        <v>109.46</v>
      </c>
      <c r="C59" s="1">
        <v>125.12</v>
      </c>
      <c r="D59" s="1">
        <v>69.349999999999994</v>
      </c>
    </row>
    <row r="60" spans="1:4" x14ac:dyDescent="0.25">
      <c r="A60">
        <v>59</v>
      </c>
      <c r="B60" s="1">
        <v>108.32</v>
      </c>
      <c r="C60" s="1">
        <v>123.31</v>
      </c>
      <c r="D60" s="1">
        <v>69.709999999999994</v>
      </c>
    </row>
    <row r="61" spans="1:4" x14ac:dyDescent="0.25">
      <c r="A61">
        <v>60</v>
      </c>
      <c r="B61" s="1">
        <v>106.32</v>
      </c>
      <c r="C61" s="1">
        <v>123.23</v>
      </c>
      <c r="D61" s="1">
        <v>67.77</v>
      </c>
    </row>
    <row r="62" spans="1:4" x14ac:dyDescent="0.25">
      <c r="A62">
        <v>61</v>
      </c>
      <c r="B62" s="1">
        <v>111.11</v>
      </c>
      <c r="C62" s="1">
        <v>126.02</v>
      </c>
      <c r="D62" s="1">
        <v>69.61</v>
      </c>
    </row>
    <row r="63" spans="1:4" x14ac:dyDescent="0.25">
      <c r="A63">
        <v>62</v>
      </c>
      <c r="B63" s="1">
        <v>112.07</v>
      </c>
      <c r="C63" s="1">
        <v>124.34</v>
      </c>
      <c r="D63" s="1">
        <v>71.64</v>
      </c>
    </row>
    <row r="64" spans="1:4" x14ac:dyDescent="0.25">
      <c r="A64">
        <v>63</v>
      </c>
      <c r="B64" s="1">
        <v>110.42</v>
      </c>
      <c r="C64" s="1">
        <v>122.71</v>
      </c>
      <c r="D64" s="1">
        <v>73.260000000000005</v>
      </c>
    </row>
    <row r="65" spans="1:4" x14ac:dyDescent="0.25">
      <c r="A65">
        <v>64</v>
      </c>
      <c r="B65" s="1">
        <v>108.52</v>
      </c>
      <c r="C65" s="1">
        <v>122.53</v>
      </c>
      <c r="D65" s="1">
        <v>73.27</v>
      </c>
    </row>
    <row r="66" spans="1:4" x14ac:dyDescent="0.25">
      <c r="A66">
        <v>65</v>
      </c>
      <c r="B66" s="1">
        <v>106.63</v>
      </c>
      <c r="C66" s="1">
        <v>122.08</v>
      </c>
      <c r="D66" s="1">
        <v>74.290000000000006</v>
      </c>
    </row>
    <row r="67" spans="1:4" x14ac:dyDescent="0.25">
      <c r="A67">
        <v>66</v>
      </c>
      <c r="B67" s="1">
        <v>107.24</v>
      </c>
      <c r="C67" s="1">
        <v>124.82</v>
      </c>
      <c r="D67" s="1">
        <v>75.55</v>
      </c>
    </row>
    <row r="68" spans="1:4" x14ac:dyDescent="0.25">
      <c r="A68">
        <v>67</v>
      </c>
      <c r="B68" s="1">
        <v>109.24</v>
      </c>
      <c r="C68" s="1">
        <v>123.18</v>
      </c>
      <c r="D68" s="1">
        <v>76.38</v>
      </c>
    </row>
    <row r="69" spans="1:4" x14ac:dyDescent="0.25">
      <c r="A69">
        <v>68</v>
      </c>
      <c r="B69" s="1">
        <v>108.19</v>
      </c>
      <c r="C69" s="1">
        <v>121.65</v>
      </c>
      <c r="D69" s="1">
        <v>76.709999999999994</v>
      </c>
    </row>
    <row r="70" spans="1:4" x14ac:dyDescent="0.25">
      <c r="A70">
        <v>69</v>
      </c>
      <c r="B70" s="1">
        <v>106.77</v>
      </c>
      <c r="C70" s="1">
        <v>120.46</v>
      </c>
      <c r="D70" s="1">
        <v>78.13</v>
      </c>
    </row>
    <row r="71" spans="1:4" x14ac:dyDescent="0.25">
      <c r="A71">
        <v>70</v>
      </c>
      <c r="B71" s="1">
        <v>107.03</v>
      </c>
      <c r="C71" s="1">
        <v>118.94</v>
      </c>
      <c r="D71" s="1">
        <v>79.709999999999994</v>
      </c>
    </row>
    <row r="72" spans="1:4" x14ac:dyDescent="0.25">
      <c r="A72">
        <v>71</v>
      </c>
      <c r="B72" s="1">
        <v>107.42</v>
      </c>
      <c r="C72" s="1">
        <v>121.35</v>
      </c>
      <c r="D72" s="1">
        <v>81.349999999999994</v>
      </c>
    </row>
    <row r="73" spans="1:4" x14ac:dyDescent="0.25">
      <c r="A73">
        <v>72</v>
      </c>
      <c r="B73" s="1">
        <v>106.16</v>
      </c>
      <c r="C73" s="1">
        <v>119.53</v>
      </c>
      <c r="D73" s="1">
        <v>79.41</v>
      </c>
    </row>
    <row r="74" spans="1:4" x14ac:dyDescent="0.25">
      <c r="A74">
        <v>73</v>
      </c>
      <c r="B74" s="1">
        <v>108.3</v>
      </c>
      <c r="C74" s="1">
        <v>122.07</v>
      </c>
      <c r="D74" s="1">
        <v>77.7</v>
      </c>
    </row>
    <row r="75" spans="1:4" x14ac:dyDescent="0.25">
      <c r="A75">
        <v>74</v>
      </c>
      <c r="B75" s="1">
        <v>106.46</v>
      </c>
      <c r="C75" s="1">
        <v>121.46</v>
      </c>
      <c r="D75" s="1">
        <v>78.58</v>
      </c>
    </row>
    <row r="76" spans="1:4" x14ac:dyDescent="0.25">
      <c r="A76">
        <v>75</v>
      </c>
      <c r="B76" s="1">
        <v>108.61</v>
      </c>
      <c r="C76" s="1">
        <v>121.05</v>
      </c>
      <c r="D76" s="1">
        <v>77.02</v>
      </c>
    </row>
    <row r="77" spans="1:4" x14ac:dyDescent="0.25">
      <c r="A77">
        <v>76</v>
      </c>
      <c r="B77" s="1">
        <v>107.56</v>
      </c>
      <c r="C77" s="1">
        <v>119.15</v>
      </c>
      <c r="D77" s="1">
        <v>75.13</v>
      </c>
    </row>
    <row r="78" spans="1:4" x14ac:dyDescent="0.25">
      <c r="A78">
        <v>77</v>
      </c>
      <c r="B78" s="1">
        <v>109.68</v>
      </c>
      <c r="C78" s="1">
        <v>117.48</v>
      </c>
      <c r="D78" s="1">
        <v>73.45</v>
      </c>
    </row>
    <row r="79" spans="1:4" x14ac:dyDescent="0.25">
      <c r="A79">
        <v>78</v>
      </c>
      <c r="B79" s="1">
        <v>107.87</v>
      </c>
      <c r="C79" s="1">
        <v>120.35</v>
      </c>
      <c r="D79" s="1">
        <v>71.930000000000007</v>
      </c>
    </row>
    <row r="80" spans="1:4" x14ac:dyDescent="0.25">
      <c r="A80">
        <v>79</v>
      </c>
      <c r="B80" s="1">
        <v>106.41</v>
      </c>
      <c r="C80" s="1">
        <v>119.66</v>
      </c>
      <c r="D80" s="1">
        <v>72.959999999999994</v>
      </c>
    </row>
    <row r="81" spans="1:4" x14ac:dyDescent="0.25">
      <c r="A81">
        <v>80</v>
      </c>
      <c r="B81" s="1">
        <v>106.92</v>
      </c>
      <c r="C81" s="1">
        <v>117.79</v>
      </c>
      <c r="D81" s="1">
        <v>74.28</v>
      </c>
    </row>
    <row r="82" spans="1:4" x14ac:dyDescent="0.25">
      <c r="A82">
        <v>81</v>
      </c>
      <c r="B82" s="1">
        <v>105.03</v>
      </c>
      <c r="C82" s="1">
        <v>116.78</v>
      </c>
      <c r="D82" s="1">
        <v>75.78</v>
      </c>
    </row>
    <row r="83" spans="1:4" x14ac:dyDescent="0.25">
      <c r="A83">
        <v>82</v>
      </c>
      <c r="B83" s="1">
        <v>103.36</v>
      </c>
      <c r="C83" s="1">
        <v>115.69</v>
      </c>
      <c r="D83" s="1">
        <v>76.88</v>
      </c>
    </row>
    <row r="84" spans="1:4" x14ac:dyDescent="0.25">
      <c r="A84">
        <v>83</v>
      </c>
      <c r="B84" s="1">
        <v>103.78</v>
      </c>
      <c r="C84" s="1">
        <v>114.43</v>
      </c>
      <c r="D84" s="1">
        <v>77.36</v>
      </c>
    </row>
    <row r="85" spans="1:4" x14ac:dyDescent="0.25">
      <c r="A85">
        <v>84</v>
      </c>
      <c r="B85" s="1">
        <v>103.98</v>
      </c>
      <c r="C85" s="1">
        <v>116.98</v>
      </c>
      <c r="D85" s="1">
        <v>75.790000000000006</v>
      </c>
    </row>
    <row r="86" spans="1:4" x14ac:dyDescent="0.25">
      <c r="A86">
        <v>85</v>
      </c>
      <c r="B86" s="1">
        <v>102.21</v>
      </c>
      <c r="C86" s="1">
        <v>115.16</v>
      </c>
      <c r="D86" s="1">
        <v>77.34</v>
      </c>
    </row>
    <row r="87" spans="1:4" x14ac:dyDescent="0.25">
      <c r="A87">
        <v>86</v>
      </c>
      <c r="B87" s="1">
        <v>100.65</v>
      </c>
      <c r="C87" s="1">
        <v>117.73</v>
      </c>
      <c r="D87" s="1">
        <v>79.17</v>
      </c>
    </row>
    <row r="88" spans="1:4" x14ac:dyDescent="0.25">
      <c r="A88">
        <v>87</v>
      </c>
      <c r="B88" s="1">
        <v>99.64</v>
      </c>
      <c r="C88" s="1">
        <v>116.14</v>
      </c>
      <c r="D88" s="1">
        <v>80.760000000000005</v>
      </c>
    </row>
    <row r="89" spans="1:4" x14ac:dyDescent="0.25">
      <c r="A89">
        <v>88</v>
      </c>
      <c r="B89" s="1">
        <v>101.26</v>
      </c>
      <c r="C89" s="1">
        <v>114.52</v>
      </c>
      <c r="D89" s="1">
        <v>79.02</v>
      </c>
    </row>
    <row r="90" spans="1:4" x14ac:dyDescent="0.25">
      <c r="A90">
        <v>89</v>
      </c>
      <c r="B90" s="1">
        <v>102.85</v>
      </c>
      <c r="C90" s="1">
        <v>117.04</v>
      </c>
      <c r="D90" s="1">
        <v>79.25</v>
      </c>
    </row>
    <row r="91" spans="1:4" x14ac:dyDescent="0.25">
      <c r="A91">
        <v>90</v>
      </c>
      <c r="B91" s="1">
        <v>101.59</v>
      </c>
      <c r="C91" s="1">
        <v>116.49</v>
      </c>
      <c r="D91" s="1">
        <v>80.260000000000005</v>
      </c>
    </row>
    <row r="92" spans="1:4" x14ac:dyDescent="0.25">
      <c r="A92">
        <v>91</v>
      </c>
      <c r="B92" s="1">
        <v>102.13</v>
      </c>
      <c r="C92" s="1">
        <v>115.06</v>
      </c>
      <c r="D92" s="1">
        <v>81.260000000000005</v>
      </c>
    </row>
    <row r="93" spans="1:4" x14ac:dyDescent="0.25">
      <c r="A93">
        <v>92</v>
      </c>
      <c r="B93" s="1">
        <v>100.74</v>
      </c>
      <c r="C93" s="1">
        <v>117.47</v>
      </c>
      <c r="D93" s="1">
        <v>81.64</v>
      </c>
    </row>
    <row r="94" spans="1:4" x14ac:dyDescent="0.25">
      <c r="A94">
        <v>93</v>
      </c>
      <c r="B94" s="1">
        <v>99.12</v>
      </c>
      <c r="C94" s="1">
        <v>120.19</v>
      </c>
      <c r="D94" s="1">
        <v>79.849999999999994</v>
      </c>
    </row>
    <row r="95" spans="1:4" x14ac:dyDescent="0.25">
      <c r="A95">
        <v>94</v>
      </c>
      <c r="B95" s="1">
        <v>99.13</v>
      </c>
      <c r="C95" s="1">
        <v>122.89</v>
      </c>
      <c r="D95" s="1">
        <v>81.540000000000006</v>
      </c>
    </row>
    <row r="96" spans="1:4" x14ac:dyDescent="0.25">
      <c r="A96">
        <v>95</v>
      </c>
      <c r="B96" s="1">
        <v>99.6</v>
      </c>
      <c r="C96" s="1">
        <v>122.61</v>
      </c>
      <c r="D96" s="1">
        <v>79.87</v>
      </c>
    </row>
    <row r="97" spans="1:4" x14ac:dyDescent="0.25">
      <c r="A97">
        <v>96</v>
      </c>
      <c r="B97" s="1">
        <v>98.53</v>
      </c>
      <c r="C97" s="1">
        <v>122.59</v>
      </c>
      <c r="D97" s="1">
        <v>80</v>
      </c>
    </row>
    <row r="98" spans="1:4" x14ac:dyDescent="0.25">
      <c r="A98">
        <v>97</v>
      </c>
      <c r="B98" s="1">
        <v>98.74</v>
      </c>
      <c r="C98" s="1">
        <v>125.49</v>
      </c>
      <c r="D98" s="1">
        <v>81.010000000000005</v>
      </c>
    </row>
    <row r="99" spans="1:4" x14ac:dyDescent="0.25">
      <c r="A99">
        <v>98</v>
      </c>
      <c r="B99" s="1">
        <v>98.96</v>
      </c>
      <c r="C99" s="1">
        <v>127.95</v>
      </c>
      <c r="D99" s="1">
        <v>79.17</v>
      </c>
    </row>
    <row r="100" spans="1:4" x14ac:dyDescent="0.25">
      <c r="A100">
        <v>99</v>
      </c>
      <c r="B100" s="1">
        <v>97.74</v>
      </c>
      <c r="C100" s="1">
        <v>126.34</v>
      </c>
      <c r="D100" s="1">
        <v>80.290000000000006</v>
      </c>
    </row>
    <row r="101" spans="1:4" x14ac:dyDescent="0.25">
      <c r="A101">
        <v>100</v>
      </c>
      <c r="B101" s="1">
        <v>95.84</v>
      </c>
      <c r="C101" s="1">
        <v>128.94</v>
      </c>
      <c r="D101" s="1">
        <v>81.599999999999994</v>
      </c>
    </row>
    <row r="102" spans="1:4" x14ac:dyDescent="0.25">
      <c r="A102">
        <v>101</v>
      </c>
      <c r="B102" s="1">
        <v>94.12</v>
      </c>
      <c r="C102" s="1">
        <v>131.63999999999999</v>
      </c>
      <c r="D102" s="1">
        <v>82.75</v>
      </c>
    </row>
    <row r="103" spans="1:4" x14ac:dyDescent="0.25">
      <c r="A103">
        <v>102</v>
      </c>
      <c r="B103" s="1">
        <v>92.92</v>
      </c>
      <c r="C103" s="1">
        <v>134.62</v>
      </c>
      <c r="D103" s="1">
        <v>83.09</v>
      </c>
    </row>
    <row r="104" spans="1:4" x14ac:dyDescent="0.25">
      <c r="A104">
        <v>103</v>
      </c>
      <c r="B104" s="1">
        <v>91.81</v>
      </c>
      <c r="C104" s="1">
        <v>134.53</v>
      </c>
      <c r="D104" s="1">
        <v>84.09</v>
      </c>
    </row>
    <row r="105" spans="1:4" x14ac:dyDescent="0.25">
      <c r="A105">
        <v>104</v>
      </c>
      <c r="B105" s="1">
        <v>90.67</v>
      </c>
      <c r="C105" s="1">
        <v>137.36000000000001</v>
      </c>
      <c r="D105" s="1">
        <v>85.17</v>
      </c>
    </row>
    <row r="106" spans="1:4" x14ac:dyDescent="0.25">
      <c r="A106">
        <v>105</v>
      </c>
      <c r="B106" s="1">
        <v>89</v>
      </c>
      <c r="C106" s="1">
        <v>136.86000000000001</v>
      </c>
      <c r="D106" s="1">
        <v>86</v>
      </c>
    </row>
    <row r="107" spans="1:4" x14ac:dyDescent="0.25">
      <c r="A107">
        <v>106</v>
      </c>
      <c r="B107" s="1">
        <v>91.41</v>
      </c>
      <c r="C107" s="1">
        <v>136.07</v>
      </c>
      <c r="D107" s="1">
        <v>84.14</v>
      </c>
    </row>
    <row r="108" spans="1:4" x14ac:dyDescent="0.25">
      <c r="A108">
        <v>107</v>
      </c>
      <c r="B108" s="1">
        <v>89.57</v>
      </c>
      <c r="C108" s="1">
        <v>134.57</v>
      </c>
      <c r="D108" s="1">
        <v>86.19</v>
      </c>
    </row>
    <row r="109" spans="1:4" x14ac:dyDescent="0.25">
      <c r="A109">
        <v>108</v>
      </c>
      <c r="B109" s="1">
        <v>87.61</v>
      </c>
      <c r="C109" s="1">
        <v>134.38</v>
      </c>
      <c r="D109" s="1">
        <v>86.34</v>
      </c>
    </row>
    <row r="110" spans="1:4" x14ac:dyDescent="0.25">
      <c r="A110">
        <v>109</v>
      </c>
      <c r="B110" s="1">
        <v>86.05</v>
      </c>
      <c r="C110" s="1">
        <v>132.80000000000001</v>
      </c>
      <c r="D110" s="1">
        <v>87.75</v>
      </c>
    </row>
    <row r="111" spans="1:4" x14ac:dyDescent="0.25">
      <c r="A111">
        <v>110</v>
      </c>
      <c r="B111" s="1">
        <v>84.74</v>
      </c>
      <c r="C111" s="1">
        <v>131.24</v>
      </c>
      <c r="D111" s="1">
        <v>86.13</v>
      </c>
    </row>
    <row r="112" spans="1:4" x14ac:dyDescent="0.25">
      <c r="A112">
        <v>111</v>
      </c>
      <c r="B112" s="1">
        <v>82.99</v>
      </c>
      <c r="C112" s="1">
        <v>129.4</v>
      </c>
      <c r="D112" s="1">
        <v>87.39</v>
      </c>
    </row>
    <row r="113" spans="1:4" x14ac:dyDescent="0.25">
      <c r="A113">
        <v>112</v>
      </c>
      <c r="B113" s="1">
        <v>83.24</v>
      </c>
      <c r="C113" s="1">
        <v>128.88999999999999</v>
      </c>
      <c r="D113" s="1">
        <v>88.8</v>
      </c>
    </row>
    <row r="114" spans="1:4" x14ac:dyDescent="0.25">
      <c r="A114">
        <v>113</v>
      </c>
      <c r="B114" s="1">
        <v>82.01</v>
      </c>
      <c r="C114" s="1">
        <v>131.63</v>
      </c>
      <c r="D114" s="1">
        <v>89.88</v>
      </c>
    </row>
    <row r="115" spans="1:4" x14ac:dyDescent="0.25">
      <c r="A115">
        <v>114</v>
      </c>
      <c r="B115" s="1">
        <v>83.78</v>
      </c>
      <c r="C115" s="1">
        <v>130.61000000000001</v>
      </c>
      <c r="D115" s="1">
        <v>91.83</v>
      </c>
    </row>
    <row r="116" spans="1:4" x14ac:dyDescent="0.25">
      <c r="A116">
        <v>115</v>
      </c>
      <c r="B116" s="1">
        <v>84.58</v>
      </c>
      <c r="C116" s="1">
        <v>129.29</v>
      </c>
      <c r="D116" s="1">
        <v>93.53</v>
      </c>
    </row>
    <row r="117" spans="1:4" x14ac:dyDescent="0.25">
      <c r="A117">
        <v>116</v>
      </c>
      <c r="B117" s="1">
        <v>83.54</v>
      </c>
      <c r="C117" s="1">
        <v>128.63999999999999</v>
      </c>
      <c r="D117" s="1">
        <v>93.72</v>
      </c>
    </row>
    <row r="118" spans="1:4" x14ac:dyDescent="0.25">
      <c r="A118">
        <v>117</v>
      </c>
      <c r="B118" s="1">
        <v>81.98</v>
      </c>
      <c r="C118" s="1">
        <v>126.95</v>
      </c>
      <c r="D118" s="1">
        <v>94.47</v>
      </c>
    </row>
    <row r="119" spans="1:4" x14ac:dyDescent="0.25">
      <c r="A119">
        <v>118</v>
      </c>
      <c r="B119" s="1">
        <v>80.83</v>
      </c>
      <c r="C119" s="1">
        <v>129.85</v>
      </c>
      <c r="D119" s="1">
        <v>94.65</v>
      </c>
    </row>
    <row r="120" spans="1:4" x14ac:dyDescent="0.25">
      <c r="A120">
        <v>119</v>
      </c>
      <c r="B120" s="1">
        <v>82.36</v>
      </c>
      <c r="C120" s="1">
        <v>132.72</v>
      </c>
      <c r="D120" s="1">
        <v>92.86</v>
      </c>
    </row>
    <row r="121" spans="1:4" x14ac:dyDescent="0.25">
      <c r="A121">
        <v>120</v>
      </c>
      <c r="B121" s="1">
        <v>84.09</v>
      </c>
      <c r="C121" s="1">
        <v>131.19999999999999</v>
      </c>
      <c r="D121" s="1">
        <v>94.21</v>
      </c>
    </row>
    <row r="122" spans="1:4" x14ac:dyDescent="0.25">
      <c r="A122">
        <v>121</v>
      </c>
      <c r="B122" s="1">
        <v>84.24</v>
      </c>
      <c r="C122" s="1">
        <v>130.31</v>
      </c>
      <c r="D122" s="1">
        <v>96.18</v>
      </c>
    </row>
    <row r="123" spans="1:4" x14ac:dyDescent="0.25">
      <c r="A123">
        <v>122</v>
      </c>
      <c r="B123" s="1">
        <v>82.95</v>
      </c>
      <c r="C123" s="1">
        <v>129.08000000000001</v>
      </c>
      <c r="D123" s="1">
        <v>96.18</v>
      </c>
    </row>
    <row r="124" spans="1:4" x14ac:dyDescent="0.25">
      <c r="A124">
        <v>123</v>
      </c>
      <c r="B124" s="1">
        <v>81.31</v>
      </c>
      <c r="C124" s="1">
        <v>131.88</v>
      </c>
      <c r="D124" s="1">
        <v>94.72</v>
      </c>
    </row>
    <row r="125" spans="1:4" x14ac:dyDescent="0.25">
      <c r="A125">
        <v>124</v>
      </c>
      <c r="B125" s="1">
        <v>79.98</v>
      </c>
      <c r="C125" s="1">
        <v>134.6</v>
      </c>
      <c r="D125" s="1">
        <v>95.97</v>
      </c>
    </row>
    <row r="126" spans="1:4" x14ac:dyDescent="0.25">
      <c r="A126">
        <v>125</v>
      </c>
      <c r="B126" s="1">
        <v>82.43</v>
      </c>
      <c r="C126" s="1">
        <v>137.30000000000001</v>
      </c>
      <c r="D126" s="1">
        <v>94.21</v>
      </c>
    </row>
    <row r="127" spans="1:4" x14ac:dyDescent="0.25">
      <c r="A127">
        <v>126</v>
      </c>
      <c r="B127" s="1">
        <v>82.52</v>
      </c>
      <c r="C127" s="1">
        <v>136.16</v>
      </c>
      <c r="D127" s="1">
        <v>95.42</v>
      </c>
    </row>
    <row r="128" spans="1:4" x14ac:dyDescent="0.25">
      <c r="A128">
        <v>127</v>
      </c>
      <c r="B128" s="1">
        <v>84.65</v>
      </c>
      <c r="C128" s="1">
        <v>138.69999999999999</v>
      </c>
      <c r="D128" s="1">
        <v>93.76</v>
      </c>
    </row>
    <row r="129" spans="1:4" x14ac:dyDescent="0.25">
      <c r="A129">
        <v>128</v>
      </c>
      <c r="B129" s="1">
        <v>86.94</v>
      </c>
      <c r="C129" s="1">
        <v>141.12</v>
      </c>
      <c r="D129" s="1">
        <v>94.56</v>
      </c>
    </row>
    <row r="130" spans="1:4" x14ac:dyDescent="0.25">
      <c r="A130">
        <v>129</v>
      </c>
      <c r="B130" s="1">
        <v>85.55</v>
      </c>
      <c r="C130" s="1">
        <v>139.78</v>
      </c>
      <c r="D130" s="1">
        <v>92.73</v>
      </c>
    </row>
    <row r="131" spans="1:4" x14ac:dyDescent="0.25">
      <c r="A131">
        <v>130</v>
      </c>
      <c r="B131" s="1">
        <v>83.97</v>
      </c>
      <c r="C131" s="1">
        <v>139.46</v>
      </c>
      <c r="D131" s="1">
        <v>93.24</v>
      </c>
    </row>
    <row r="132" spans="1:4" x14ac:dyDescent="0.25">
      <c r="A132">
        <v>131</v>
      </c>
      <c r="B132" s="1">
        <v>86.02</v>
      </c>
      <c r="C132" s="1">
        <v>137.97</v>
      </c>
      <c r="D132" s="1">
        <v>94.61</v>
      </c>
    </row>
    <row r="133" spans="1:4" x14ac:dyDescent="0.25">
      <c r="A133">
        <v>132</v>
      </c>
      <c r="B133" s="1">
        <v>86.22</v>
      </c>
      <c r="C133" s="1">
        <v>140.63999999999999</v>
      </c>
      <c r="D133" s="1">
        <v>95.66</v>
      </c>
    </row>
    <row r="134" spans="1:4" x14ac:dyDescent="0.25">
      <c r="A134">
        <v>133</v>
      </c>
      <c r="B134" s="1">
        <v>85.22</v>
      </c>
      <c r="C134" s="1">
        <v>140.30000000000001</v>
      </c>
      <c r="D134" s="1">
        <v>96.73</v>
      </c>
    </row>
    <row r="135" spans="1:4" x14ac:dyDescent="0.25">
      <c r="A135">
        <v>134</v>
      </c>
      <c r="B135" s="1">
        <v>87.49</v>
      </c>
      <c r="C135" s="1">
        <v>140.18</v>
      </c>
      <c r="D135" s="1">
        <v>98.18</v>
      </c>
    </row>
    <row r="136" spans="1:4" x14ac:dyDescent="0.25">
      <c r="A136">
        <v>135</v>
      </c>
      <c r="B136" s="1">
        <v>86.28</v>
      </c>
      <c r="C136" s="1">
        <v>138.26</v>
      </c>
      <c r="D136" s="1">
        <v>96.62</v>
      </c>
    </row>
    <row r="137" spans="1:4" x14ac:dyDescent="0.25">
      <c r="A137">
        <v>136</v>
      </c>
      <c r="B137" s="1">
        <v>85.13</v>
      </c>
      <c r="C137" s="1">
        <v>136.72</v>
      </c>
      <c r="D137" s="1">
        <v>98.19</v>
      </c>
    </row>
    <row r="138" spans="1:4" x14ac:dyDescent="0.25">
      <c r="A138">
        <v>137</v>
      </c>
      <c r="B138" s="1">
        <v>85.52</v>
      </c>
      <c r="C138" s="1">
        <v>136.54</v>
      </c>
      <c r="D138" s="1">
        <v>99.72</v>
      </c>
    </row>
    <row r="139" spans="1:4" x14ac:dyDescent="0.25">
      <c r="A139">
        <v>138</v>
      </c>
      <c r="B139" s="1">
        <v>87.25</v>
      </c>
      <c r="C139" s="1">
        <v>135.38999999999999</v>
      </c>
      <c r="D139" s="1">
        <v>100.95</v>
      </c>
    </row>
    <row r="140" spans="1:4" x14ac:dyDescent="0.25">
      <c r="A140">
        <v>139</v>
      </c>
      <c r="B140" s="1">
        <v>86.24</v>
      </c>
      <c r="C140" s="1">
        <v>134.08000000000001</v>
      </c>
      <c r="D140" s="1">
        <v>99.54</v>
      </c>
    </row>
    <row r="141" spans="1:4" x14ac:dyDescent="0.25">
      <c r="A141">
        <v>140</v>
      </c>
      <c r="B141" s="1">
        <v>84.92</v>
      </c>
      <c r="C141" s="1">
        <v>133.26</v>
      </c>
      <c r="D141" s="1">
        <v>101.54</v>
      </c>
    </row>
    <row r="142" spans="1:4" x14ac:dyDescent="0.25">
      <c r="A142">
        <v>141</v>
      </c>
      <c r="B142" s="1">
        <v>87.16</v>
      </c>
      <c r="C142" s="1">
        <v>132.34</v>
      </c>
      <c r="D142" s="1">
        <v>101.73</v>
      </c>
    </row>
    <row r="143" spans="1:4" x14ac:dyDescent="0.25">
      <c r="A143">
        <v>142</v>
      </c>
      <c r="B143" s="1">
        <v>85.98</v>
      </c>
      <c r="C143" s="1">
        <v>135.11000000000001</v>
      </c>
      <c r="D143" s="1">
        <v>101.74</v>
      </c>
    </row>
    <row r="144" spans="1:4" x14ac:dyDescent="0.25">
      <c r="A144">
        <v>143</v>
      </c>
      <c r="B144" s="1">
        <v>88.4</v>
      </c>
      <c r="C144" s="1">
        <v>135</v>
      </c>
      <c r="D144" s="1">
        <v>100.01</v>
      </c>
    </row>
    <row r="145" spans="1:4" x14ac:dyDescent="0.25">
      <c r="A145">
        <v>144</v>
      </c>
      <c r="B145" s="1">
        <v>86.92</v>
      </c>
      <c r="C145" s="1">
        <v>133.35</v>
      </c>
      <c r="D145" s="1">
        <v>98.39</v>
      </c>
    </row>
    <row r="146" spans="1:4" x14ac:dyDescent="0.25">
      <c r="A146">
        <v>145</v>
      </c>
      <c r="B146" s="1">
        <v>85.46</v>
      </c>
      <c r="C146" s="1">
        <v>132.09</v>
      </c>
      <c r="D146" s="1">
        <v>96.49</v>
      </c>
    </row>
    <row r="147" spans="1:4" x14ac:dyDescent="0.25">
      <c r="A147">
        <v>146</v>
      </c>
      <c r="B147" s="1">
        <v>86.18</v>
      </c>
      <c r="C147" s="1">
        <v>131.82</v>
      </c>
      <c r="D147" s="1">
        <v>97.95</v>
      </c>
    </row>
    <row r="148" spans="1:4" x14ac:dyDescent="0.25">
      <c r="A148">
        <v>147</v>
      </c>
      <c r="B148" s="1">
        <v>85.09</v>
      </c>
      <c r="C148" s="1">
        <v>134.54</v>
      </c>
      <c r="D148" s="1">
        <v>96.33</v>
      </c>
    </row>
    <row r="149" spans="1:4" x14ac:dyDescent="0.25">
      <c r="A149">
        <v>148</v>
      </c>
      <c r="B149" s="1">
        <v>83.71</v>
      </c>
      <c r="C149" s="1">
        <v>137.08000000000001</v>
      </c>
      <c r="D149" s="1">
        <v>94.86</v>
      </c>
    </row>
    <row r="150" spans="1:4" x14ac:dyDescent="0.25">
      <c r="A150">
        <v>149</v>
      </c>
      <c r="B150" s="1">
        <v>85.66</v>
      </c>
      <c r="C150" s="1">
        <v>136.36000000000001</v>
      </c>
      <c r="D150" s="1">
        <v>96.17</v>
      </c>
    </row>
    <row r="151" spans="1:4" x14ac:dyDescent="0.25">
      <c r="A151">
        <v>150</v>
      </c>
      <c r="B151" s="1">
        <v>85.94</v>
      </c>
      <c r="C151" s="1">
        <v>134.97999999999999</v>
      </c>
      <c r="D151" s="1">
        <v>97.44</v>
      </c>
    </row>
    <row r="152" spans="1:4" x14ac:dyDescent="0.25">
      <c r="A152">
        <v>151</v>
      </c>
      <c r="B152" s="1">
        <v>87.4</v>
      </c>
      <c r="C152" s="1">
        <v>133.44</v>
      </c>
      <c r="D152" s="1">
        <v>98.68</v>
      </c>
    </row>
    <row r="153" spans="1:4" x14ac:dyDescent="0.25">
      <c r="A153">
        <v>152</v>
      </c>
      <c r="B153" s="1">
        <v>86.27</v>
      </c>
      <c r="C153" s="1">
        <v>132.32</v>
      </c>
      <c r="D153" s="1">
        <v>99.99</v>
      </c>
    </row>
    <row r="154" spans="1:4" x14ac:dyDescent="0.25">
      <c r="A154">
        <v>153</v>
      </c>
      <c r="B154" s="1">
        <v>88.03</v>
      </c>
      <c r="C154" s="1">
        <v>132.25</v>
      </c>
      <c r="D154" s="1">
        <v>100.81</v>
      </c>
    </row>
    <row r="155" spans="1:4" x14ac:dyDescent="0.25">
      <c r="A155">
        <v>154</v>
      </c>
      <c r="B155" s="1">
        <v>88.79</v>
      </c>
      <c r="C155" s="1">
        <v>134.86000000000001</v>
      </c>
      <c r="D155" s="1">
        <v>100.92</v>
      </c>
    </row>
    <row r="156" spans="1:4" x14ac:dyDescent="0.25">
      <c r="A156">
        <v>155</v>
      </c>
      <c r="B156" s="1">
        <v>89.7</v>
      </c>
      <c r="C156" s="1">
        <v>133.21</v>
      </c>
      <c r="D156" s="1">
        <v>102.29</v>
      </c>
    </row>
    <row r="157" spans="1:4" x14ac:dyDescent="0.25">
      <c r="A157">
        <v>156</v>
      </c>
      <c r="B157" s="1">
        <v>90.26</v>
      </c>
      <c r="C157" s="1">
        <v>131.81</v>
      </c>
      <c r="D157" s="1">
        <v>100.76</v>
      </c>
    </row>
    <row r="158" spans="1:4" x14ac:dyDescent="0.25">
      <c r="A158">
        <v>157</v>
      </c>
      <c r="B158" s="1">
        <v>88.27</v>
      </c>
      <c r="C158" s="1">
        <v>131</v>
      </c>
      <c r="D158" s="1">
        <v>102.48</v>
      </c>
    </row>
    <row r="159" spans="1:4" x14ac:dyDescent="0.25">
      <c r="A159">
        <v>158</v>
      </c>
      <c r="B159" s="1">
        <v>88.73</v>
      </c>
      <c r="C159" s="1">
        <v>130.27000000000001</v>
      </c>
      <c r="D159" s="1">
        <v>102.72</v>
      </c>
    </row>
    <row r="160" spans="1:4" x14ac:dyDescent="0.25">
      <c r="A160">
        <v>159</v>
      </c>
      <c r="B160" s="1">
        <v>87.13</v>
      </c>
      <c r="C160" s="1">
        <v>128.56</v>
      </c>
      <c r="D160" s="1">
        <v>104.6</v>
      </c>
    </row>
    <row r="161" spans="1:4" x14ac:dyDescent="0.25">
      <c r="A161">
        <v>160</v>
      </c>
      <c r="B161" s="1">
        <v>85.68</v>
      </c>
      <c r="C161" s="1">
        <v>127.84</v>
      </c>
      <c r="D161" s="1">
        <v>106.69</v>
      </c>
    </row>
    <row r="162" spans="1:4" x14ac:dyDescent="0.25">
      <c r="A162">
        <v>161</v>
      </c>
      <c r="B162" s="1">
        <v>84.27</v>
      </c>
      <c r="C162" s="1">
        <v>127.42</v>
      </c>
      <c r="D162" s="1">
        <v>106.85</v>
      </c>
    </row>
    <row r="163" spans="1:4" x14ac:dyDescent="0.25">
      <c r="A163">
        <v>162</v>
      </c>
      <c r="B163" s="1">
        <v>82.68</v>
      </c>
      <c r="C163" s="1">
        <v>127.09</v>
      </c>
      <c r="D163" s="1">
        <v>107.25</v>
      </c>
    </row>
    <row r="164" spans="1:4" x14ac:dyDescent="0.25">
      <c r="A164">
        <v>163</v>
      </c>
      <c r="B164" s="1">
        <v>84.44</v>
      </c>
      <c r="C164" s="1">
        <v>126.43</v>
      </c>
      <c r="D164" s="1">
        <v>108.44</v>
      </c>
    </row>
    <row r="165" spans="1:4" x14ac:dyDescent="0.25">
      <c r="A165">
        <v>164</v>
      </c>
      <c r="B165" s="1">
        <v>85.82</v>
      </c>
      <c r="C165" s="1">
        <v>126.31</v>
      </c>
      <c r="D165" s="1">
        <v>110.27</v>
      </c>
    </row>
    <row r="166" spans="1:4" x14ac:dyDescent="0.25">
      <c r="A166">
        <v>165</v>
      </c>
      <c r="B166" s="1">
        <v>84.73</v>
      </c>
      <c r="C166" s="1">
        <v>129.22999999999999</v>
      </c>
      <c r="D166" s="1">
        <v>110.94</v>
      </c>
    </row>
    <row r="167" spans="1:4" x14ac:dyDescent="0.25">
      <c r="A167">
        <v>166</v>
      </c>
      <c r="B167" s="1">
        <v>86.08</v>
      </c>
      <c r="C167" s="1">
        <v>128.37</v>
      </c>
      <c r="D167" s="1">
        <v>109.26</v>
      </c>
    </row>
    <row r="168" spans="1:4" x14ac:dyDescent="0.25">
      <c r="A168">
        <v>167</v>
      </c>
      <c r="B168" s="1">
        <v>87.8</v>
      </c>
      <c r="C168" s="1">
        <v>128.21</v>
      </c>
      <c r="D168" s="1">
        <v>110.98</v>
      </c>
    </row>
    <row r="169" spans="1:4" x14ac:dyDescent="0.25">
      <c r="A169">
        <v>168</v>
      </c>
      <c r="B169" s="1">
        <v>86.31</v>
      </c>
      <c r="C169" s="1">
        <v>130.97999999999999</v>
      </c>
      <c r="D169" s="1">
        <v>111.8</v>
      </c>
    </row>
    <row r="170" spans="1:4" x14ac:dyDescent="0.25">
      <c r="A170">
        <v>169</v>
      </c>
      <c r="B170" s="1">
        <v>84.68</v>
      </c>
      <c r="C170" s="1">
        <v>130.07</v>
      </c>
      <c r="D170" s="1">
        <v>110.07</v>
      </c>
    </row>
    <row r="171" spans="1:4" x14ac:dyDescent="0.25">
      <c r="A171">
        <v>170</v>
      </c>
      <c r="B171" s="1">
        <v>82.77</v>
      </c>
      <c r="C171" s="1">
        <v>129.9</v>
      </c>
      <c r="D171" s="1">
        <v>110.79</v>
      </c>
    </row>
    <row r="172" spans="1:4" x14ac:dyDescent="0.25">
      <c r="A172">
        <v>171</v>
      </c>
      <c r="B172" s="1">
        <v>80.95</v>
      </c>
      <c r="C172" s="1">
        <v>129.86000000000001</v>
      </c>
      <c r="D172" s="1">
        <v>109.17</v>
      </c>
    </row>
    <row r="173" spans="1:4" x14ac:dyDescent="0.25">
      <c r="A173">
        <v>172</v>
      </c>
      <c r="B173" s="1">
        <v>81.61</v>
      </c>
      <c r="C173" s="1">
        <v>128.05000000000001</v>
      </c>
      <c r="D173" s="1">
        <v>107.31</v>
      </c>
    </row>
    <row r="174" spans="1:4" x14ac:dyDescent="0.25">
      <c r="A174">
        <v>173</v>
      </c>
      <c r="B174" s="1">
        <v>82.19</v>
      </c>
      <c r="C174" s="1">
        <v>130.53</v>
      </c>
      <c r="D174" s="1">
        <v>107.72</v>
      </c>
    </row>
    <row r="175" spans="1:4" x14ac:dyDescent="0.25">
      <c r="A175">
        <v>174</v>
      </c>
      <c r="B175" s="1">
        <v>80.69</v>
      </c>
      <c r="C175" s="1">
        <v>130.22</v>
      </c>
      <c r="D175" s="1">
        <v>105.87</v>
      </c>
    </row>
    <row r="176" spans="1:4" x14ac:dyDescent="0.25">
      <c r="A176">
        <v>175</v>
      </c>
      <c r="B176" s="1">
        <v>81.66</v>
      </c>
      <c r="C176" s="1">
        <v>129.61000000000001</v>
      </c>
      <c r="D176" s="1">
        <v>106.22</v>
      </c>
    </row>
    <row r="177" spans="1:4" x14ac:dyDescent="0.25">
      <c r="A177">
        <v>176</v>
      </c>
      <c r="B177" s="1">
        <v>80.06</v>
      </c>
      <c r="C177" s="1">
        <v>128.19</v>
      </c>
      <c r="D177" s="1">
        <v>107.4</v>
      </c>
    </row>
    <row r="178" spans="1:4" x14ac:dyDescent="0.25">
      <c r="A178">
        <v>177</v>
      </c>
      <c r="B178" s="1">
        <v>78.959999999999994</v>
      </c>
      <c r="C178" s="1">
        <v>127.64</v>
      </c>
      <c r="D178" s="1">
        <v>108.01</v>
      </c>
    </row>
    <row r="179" spans="1:4" x14ac:dyDescent="0.25">
      <c r="A179">
        <v>178</v>
      </c>
      <c r="B179" s="1">
        <v>80.52</v>
      </c>
      <c r="C179" s="1">
        <v>126.21</v>
      </c>
      <c r="D179" s="1">
        <v>106.27</v>
      </c>
    </row>
    <row r="180" spans="1:4" x14ac:dyDescent="0.25">
      <c r="A180">
        <v>179</v>
      </c>
      <c r="B180" s="1">
        <v>81.67</v>
      </c>
      <c r="C180" s="1">
        <v>124.23</v>
      </c>
      <c r="D180" s="1">
        <v>108.33</v>
      </c>
    </row>
    <row r="181" spans="1:4" x14ac:dyDescent="0.25">
      <c r="A181">
        <v>180</v>
      </c>
      <c r="B181" s="1">
        <v>82.11</v>
      </c>
      <c r="C181" s="1">
        <v>123.24</v>
      </c>
      <c r="D181" s="1">
        <v>109.22</v>
      </c>
    </row>
    <row r="182" spans="1:4" x14ac:dyDescent="0.25">
      <c r="A182">
        <v>181</v>
      </c>
      <c r="B182" s="1">
        <v>83.32</v>
      </c>
      <c r="C182" s="1">
        <v>126.19</v>
      </c>
      <c r="D182" s="1">
        <v>107.37</v>
      </c>
    </row>
    <row r="183" spans="1:4" x14ac:dyDescent="0.25">
      <c r="A183">
        <v>182</v>
      </c>
      <c r="B183" s="1">
        <v>84.79</v>
      </c>
      <c r="C183" s="1">
        <v>129.05000000000001</v>
      </c>
      <c r="D183" s="1">
        <v>107.76</v>
      </c>
    </row>
    <row r="184" spans="1:4" x14ac:dyDescent="0.25">
      <c r="A184">
        <v>183</v>
      </c>
      <c r="B184" s="1">
        <v>83.25</v>
      </c>
      <c r="C184" s="1">
        <v>128.65</v>
      </c>
      <c r="D184" s="1">
        <v>108.37</v>
      </c>
    </row>
    <row r="185" spans="1:4" x14ac:dyDescent="0.25">
      <c r="A185">
        <v>184</v>
      </c>
      <c r="B185" s="1">
        <v>81.319999999999993</v>
      </c>
      <c r="C185" s="1">
        <v>126.93</v>
      </c>
      <c r="D185" s="1">
        <v>109.22</v>
      </c>
    </row>
    <row r="186" spans="1:4" x14ac:dyDescent="0.25">
      <c r="A186">
        <v>185</v>
      </c>
      <c r="B186" s="1">
        <v>82.7</v>
      </c>
      <c r="C186" s="1">
        <v>129.41</v>
      </c>
      <c r="D186" s="1">
        <v>107.78</v>
      </c>
    </row>
    <row r="187" spans="1:4" x14ac:dyDescent="0.25">
      <c r="A187">
        <v>186</v>
      </c>
      <c r="B187" s="1">
        <v>84.81</v>
      </c>
      <c r="C187" s="1">
        <v>129.25</v>
      </c>
      <c r="D187" s="1">
        <v>109.71</v>
      </c>
    </row>
    <row r="188" spans="1:4" x14ac:dyDescent="0.25">
      <c r="A188">
        <v>187</v>
      </c>
      <c r="B188" s="1">
        <v>86.6</v>
      </c>
      <c r="C188" s="1">
        <v>129.16999999999999</v>
      </c>
      <c r="D188" s="1">
        <v>107.74</v>
      </c>
    </row>
    <row r="189" spans="1:4" x14ac:dyDescent="0.25">
      <c r="A189">
        <v>188</v>
      </c>
      <c r="B189" s="1">
        <v>87.71</v>
      </c>
      <c r="C189" s="1">
        <v>127.81</v>
      </c>
      <c r="D189" s="1">
        <v>109.77</v>
      </c>
    </row>
    <row r="190" spans="1:4" x14ac:dyDescent="0.25">
      <c r="A190">
        <v>189</v>
      </c>
      <c r="B190" s="1">
        <v>86.58</v>
      </c>
      <c r="C190" s="1">
        <v>130.62</v>
      </c>
      <c r="D190" s="1">
        <v>111.27</v>
      </c>
    </row>
    <row r="191" spans="1:4" x14ac:dyDescent="0.25">
      <c r="A191">
        <v>190</v>
      </c>
      <c r="B191" s="1">
        <v>85.23</v>
      </c>
      <c r="C191" s="1">
        <v>129.24</v>
      </c>
      <c r="D191" s="1">
        <v>109.41</v>
      </c>
    </row>
    <row r="192" spans="1:4" x14ac:dyDescent="0.25">
      <c r="A192">
        <v>191</v>
      </c>
      <c r="B192" s="1">
        <v>87.45</v>
      </c>
      <c r="C192" s="1">
        <v>128.72</v>
      </c>
      <c r="D192" s="1">
        <v>109.72</v>
      </c>
    </row>
    <row r="193" spans="1:4" x14ac:dyDescent="0.25">
      <c r="A193">
        <v>192</v>
      </c>
      <c r="B193" s="1">
        <v>86.12</v>
      </c>
      <c r="C193" s="1">
        <v>128.01</v>
      </c>
      <c r="D193" s="1">
        <v>108.19</v>
      </c>
    </row>
    <row r="194" spans="1:4" x14ac:dyDescent="0.25">
      <c r="A194">
        <v>193</v>
      </c>
      <c r="B194" s="1">
        <v>87.45</v>
      </c>
      <c r="C194" s="1">
        <v>127.99</v>
      </c>
      <c r="D194" s="1">
        <v>109.68</v>
      </c>
    </row>
    <row r="195" spans="1:4" x14ac:dyDescent="0.25">
      <c r="A195">
        <v>194</v>
      </c>
      <c r="B195" s="1">
        <v>89.49</v>
      </c>
      <c r="C195" s="1">
        <v>126.59</v>
      </c>
      <c r="D195" s="1">
        <v>110.39</v>
      </c>
    </row>
    <row r="196" spans="1:4" x14ac:dyDescent="0.25">
      <c r="A196">
        <v>195</v>
      </c>
      <c r="B196" s="1">
        <v>87.85</v>
      </c>
      <c r="C196" s="1">
        <v>125.24</v>
      </c>
      <c r="D196" s="1">
        <v>111.28</v>
      </c>
    </row>
    <row r="197" spans="1:4" x14ac:dyDescent="0.25">
      <c r="A197">
        <v>196</v>
      </c>
      <c r="B197" s="1">
        <v>89.46</v>
      </c>
      <c r="C197" s="1">
        <v>123.39</v>
      </c>
      <c r="D197" s="1">
        <v>112.56</v>
      </c>
    </row>
    <row r="198" spans="1:4" x14ac:dyDescent="0.25">
      <c r="A198">
        <v>197</v>
      </c>
      <c r="B198" s="1">
        <v>87.6</v>
      </c>
      <c r="C198" s="1">
        <v>122.61</v>
      </c>
      <c r="D198" s="1">
        <v>113.15</v>
      </c>
    </row>
    <row r="199" spans="1:4" x14ac:dyDescent="0.25">
      <c r="A199">
        <v>198</v>
      </c>
      <c r="B199" s="1">
        <v>87.87</v>
      </c>
      <c r="C199" s="1">
        <v>122.54</v>
      </c>
      <c r="D199" s="1">
        <v>114.21</v>
      </c>
    </row>
    <row r="200" spans="1:4" x14ac:dyDescent="0.25">
      <c r="A200">
        <v>199</v>
      </c>
      <c r="B200" s="1">
        <v>88.46</v>
      </c>
      <c r="C200" s="1">
        <v>121.81</v>
      </c>
      <c r="D200" s="1">
        <v>114.89</v>
      </c>
    </row>
    <row r="201" spans="1:4" x14ac:dyDescent="0.25">
      <c r="A201">
        <v>200</v>
      </c>
      <c r="B201" s="1">
        <v>90.4</v>
      </c>
      <c r="C201" s="1">
        <v>124.57</v>
      </c>
      <c r="D201" s="1">
        <v>114.91</v>
      </c>
    </row>
    <row r="202" spans="1:4" x14ac:dyDescent="0.25">
      <c r="A202">
        <v>201</v>
      </c>
      <c r="B202" s="1">
        <v>88.55</v>
      </c>
      <c r="C202" s="1">
        <v>123.78</v>
      </c>
      <c r="D202" s="1">
        <v>112.97</v>
      </c>
    </row>
    <row r="203" spans="1:4" x14ac:dyDescent="0.25">
      <c r="A203">
        <v>202</v>
      </c>
      <c r="B203" s="1">
        <v>86.63</v>
      </c>
      <c r="C203" s="1">
        <v>126.62</v>
      </c>
      <c r="D203" s="1">
        <v>111.12</v>
      </c>
    </row>
    <row r="204" spans="1:4" x14ac:dyDescent="0.25">
      <c r="A204">
        <v>203</v>
      </c>
      <c r="B204" s="1">
        <v>88.98</v>
      </c>
      <c r="C204" s="1">
        <v>125.63</v>
      </c>
      <c r="D204" s="1">
        <v>111.44</v>
      </c>
    </row>
    <row r="205" spans="1:4" x14ac:dyDescent="0.25">
      <c r="A205">
        <v>204</v>
      </c>
      <c r="B205" s="1">
        <v>90.85</v>
      </c>
      <c r="C205" s="1">
        <v>124.55</v>
      </c>
      <c r="D205" s="1">
        <v>113.24</v>
      </c>
    </row>
    <row r="206" spans="1:4" x14ac:dyDescent="0.25">
      <c r="A206">
        <v>205</v>
      </c>
      <c r="B206" s="1">
        <v>89.19</v>
      </c>
      <c r="C206" s="1">
        <v>123.8</v>
      </c>
      <c r="D206" s="1">
        <v>111.26</v>
      </c>
    </row>
    <row r="207" spans="1:4" x14ac:dyDescent="0.25">
      <c r="A207">
        <v>206</v>
      </c>
      <c r="B207" s="1">
        <v>91.15</v>
      </c>
      <c r="C207" s="1">
        <v>123.76</v>
      </c>
      <c r="D207" s="1">
        <v>109.56</v>
      </c>
    </row>
    <row r="208" spans="1:4" x14ac:dyDescent="0.25">
      <c r="A208">
        <v>207</v>
      </c>
      <c r="B208" s="1">
        <v>93.49</v>
      </c>
      <c r="C208" s="1">
        <v>122.59</v>
      </c>
      <c r="D208" s="1">
        <v>109.82</v>
      </c>
    </row>
    <row r="209" spans="1:4" x14ac:dyDescent="0.25">
      <c r="A209">
        <v>208</v>
      </c>
      <c r="B209" s="1">
        <v>92.45</v>
      </c>
      <c r="C209" s="1">
        <v>121.07</v>
      </c>
      <c r="D209" s="1">
        <v>111.61</v>
      </c>
    </row>
    <row r="210" spans="1:4" x14ac:dyDescent="0.25">
      <c r="A210">
        <v>209</v>
      </c>
      <c r="B210" s="1">
        <v>90.51</v>
      </c>
      <c r="C210" s="1">
        <v>119.15</v>
      </c>
      <c r="D210" s="1">
        <v>110.11</v>
      </c>
    </row>
    <row r="211" spans="1:4" x14ac:dyDescent="0.25">
      <c r="A211">
        <v>210</v>
      </c>
      <c r="B211" s="1">
        <v>91.65</v>
      </c>
      <c r="C211" s="1">
        <v>122.04</v>
      </c>
      <c r="D211" s="1">
        <v>111.72</v>
      </c>
    </row>
    <row r="212" spans="1:4" x14ac:dyDescent="0.25">
      <c r="A212">
        <v>211</v>
      </c>
      <c r="B212" s="1">
        <v>92.92</v>
      </c>
      <c r="C212" s="1">
        <v>120.35</v>
      </c>
      <c r="D212" s="1">
        <v>111.85</v>
      </c>
    </row>
    <row r="213" spans="1:4" x14ac:dyDescent="0.25">
      <c r="A213">
        <v>212</v>
      </c>
      <c r="B213" s="1">
        <v>91.21</v>
      </c>
      <c r="C213" s="1">
        <v>119.39</v>
      </c>
      <c r="D213" s="1">
        <v>113.24</v>
      </c>
    </row>
    <row r="214" spans="1:4" x14ac:dyDescent="0.25">
      <c r="A214">
        <v>213</v>
      </c>
      <c r="B214" s="1">
        <v>93.43</v>
      </c>
      <c r="C214" s="1">
        <v>118.26</v>
      </c>
      <c r="D214" s="1">
        <v>114.79</v>
      </c>
    </row>
    <row r="215" spans="1:4" x14ac:dyDescent="0.25">
      <c r="A215">
        <v>214</v>
      </c>
      <c r="B215" s="1">
        <v>91.8</v>
      </c>
      <c r="C215" s="1">
        <v>117.65</v>
      </c>
      <c r="D215" s="1">
        <v>113.2</v>
      </c>
    </row>
    <row r="216" spans="1:4" x14ac:dyDescent="0.25">
      <c r="A216">
        <v>215</v>
      </c>
      <c r="B216" s="1">
        <v>91.8</v>
      </c>
      <c r="C216" s="1">
        <v>116.7</v>
      </c>
      <c r="D216" s="1">
        <v>113.27</v>
      </c>
    </row>
    <row r="217" spans="1:4" x14ac:dyDescent="0.25">
      <c r="A217">
        <v>216</v>
      </c>
      <c r="B217" s="1">
        <v>92</v>
      </c>
      <c r="C217" s="1">
        <v>119.54</v>
      </c>
      <c r="D217" s="1">
        <v>111.75</v>
      </c>
    </row>
    <row r="218" spans="1:4" x14ac:dyDescent="0.25">
      <c r="A218">
        <v>217</v>
      </c>
      <c r="B218" s="1">
        <v>92.36</v>
      </c>
      <c r="C218" s="1">
        <v>117.82</v>
      </c>
      <c r="D218" s="1">
        <v>112.97</v>
      </c>
    </row>
    <row r="219" spans="1:4" x14ac:dyDescent="0.25">
      <c r="A219">
        <v>218</v>
      </c>
      <c r="B219" s="1">
        <v>92.9</v>
      </c>
      <c r="C219" s="1">
        <v>116.68</v>
      </c>
      <c r="D219" s="1">
        <v>114.74</v>
      </c>
    </row>
    <row r="220" spans="1:4" x14ac:dyDescent="0.25">
      <c r="A220">
        <v>219</v>
      </c>
      <c r="B220" s="1">
        <v>93.1</v>
      </c>
      <c r="C220" s="1">
        <v>116.12</v>
      </c>
      <c r="D220" s="1">
        <v>115.57</v>
      </c>
    </row>
    <row r="221" spans="1:4" x14ac:dyDescent="0.25">
      <c r="A221">
        <v>220</v>
      </c>
      <c r="B221" s="1">
        <v>91.21</v>
      </c>
      <c r="C221" s="1">
        <v>114.56</v>
      </c>
      <c r="D221" s="1">
        <v>116.87</v>
      </c>
    </row>
    <row r="222" spans="1:4" x14ac:dyDescent="0.25">
      <c r="A222">
        <v>221</v>
      </c>
      <c r="B222" s="1">
        <v>91.54</v>
      </c>
      <c r="C222" s="1">
        <v>114.52</v>
      </c>
      <c r="D222" s="1">
        <v>114.98</v>
      </c>
    </row>
    <row r="223" spans="1:4" x14ac:dyDescent="0.25">
      <c r="A223">
        <v>222</v>
      </c>
      <c r="B223" s="1">
        <v>90.34</v>
      </c>
      <c r="C223" s="1">
        <v>117.21</v>
      </c>
      <c r="D223" s="1">
        <v>115.04</v>
      </c>
    </row>
    <row r="224" spans="1:4" x14ac:dyDescent="0.25">
      <c r="A224">
        <v>223</v>
      </c>
      <c r="B224" s="1">
        <v>92.62</v>
      </c>
      <c r="C224" s="1">
        <v>115.46</v>
      </c>
      <c r="D224" s="1">
        <v>113.31</v>
      </c>
    </row>
    <row r="225" spans="1:4" x14ac:dyDescent="0.25">
      <c r="A225">
        <v>224</v>
      </c>
      <c r="B225" s="1">
        <v>91.21</v>
      </c>
      <c r="C225" s="1">
        <v>118.16</v>
      </c>
      <c r="D225" s="1">
        <v>114.96</v>
      </c>
    </row>
    <row r="226" spans="1:4" x14ac:dyDescent="0.25">
      <c r="A226">
        <v>225</v>
      </c>
      <c r="B226" s="1">
        <v>89.52</v>
      </c>
      <c r="C226" s="1">
        <v>120.88</v>
      </c>
      <c r="D226" s="1">
        <v>116.8</v>
      </c>
    </row>
    <row r="227" spans="1:4" x14ac:dyDescent="0.25">
      <c r="A227">
        <v>226</v>
      </c>
      <c r="B227" s="1">
        <v>90.34</v>
      </c>
      <c r="C227" s="1">
        <v>119.2</v>
      </c>
      <c r="D227" s="1">
        <v>115.36</v>
      </c>
    </row>
    <row r="228" spans="1:4" x14ac:dyDescent="0.25">
      <c r="A228">
        <v>227</v>
      </c>
      <c r="B228" s="1">
        <v>91.91</v>
      </c>
      <c r="C228" s="1">
        <v>121.71</v>
      </c>
      <c r="D228" s="1">
        <v>116.53</v>
      </c>
    </row>
    <row r="229" spans="1:4" x14ac:dyDescent="0.25">
      <c r="A229">
        <v>228</v>
      </c>
      <c r="B229" s="1">
        <v>90.8</v>
      </c>
      <c r="C229" s="1">
        <v>121</v>
      </c>
      <c r="D229" s="1">
        <v>117.96</v>
      </c>
    </row>
    <row r="230" spans="1:4" x14ac:dyDescent="0.25">
      <c r="A230">
        <v>229</v>
      </c>
      <c r="B230" s="1">
        <v>88.98</v>
      </c>
      <c r="C230" s="1">
        <v>119.69</v>
      </c>
      <c r="D230" s="1">
        <v>118.03</v>
      </c>
    </row>
    <row r="231" spans="1:4" x14ac:dyDescent="0.25">
      <c r="A231">
        <v>230</v>
      </c>
      <c r="B231" s="1">
        <v>89.86</v>
      </c>
      <c r="C231" s="1">
        <v>117.74</v>
      </c>
      <c r="D231" s="1">
        <v>119.61</v>
      </c>
    </row>
    <row r="232" spans="1:4" x14ac:dyDescent="0.25">
      <c r="A232">
        <v>231</v>
      </c>
      <c r="B232" s="1">
        <v>88.45</v>
      </c>
      <c r="C232" s="1">
        <v>115.81</v>
      </c>
      <c r="D232" s="1">
        <v>120.03</v>
      </c>
    </row>
    <row r="233" spans="1:4" x14ac:dyDescent="0.25">
      <c r="A233">
        <v>232</v>
      </c>
      <c r="B233" s="1">
        <v>86.77</v>
      </c>
      <c r="C233" s="1">
        <v>115.06</v>
      </c>
      <c r="D233" s="1">
        <v>121.42</v>
      </c>
    </row>
    <row r="234" spans="1:4" x14ac:dyDescent="0.25">
      <c r="A234">
        <v>233</v>
      </c>
      <c r="B234" s="1">
        <v>85.63</v>
      </c>
      <c r="C234" s="1">
        <v>117.64</v>
      </c>
      <c r="D234" s="1">
        <v>119.78</v>
      </c>
    </row>
    <row r="235" spans="1:4" x14ac:dyDescent="0.25">
      <c r="A235">
        <v>234</v>
      </c>
      <c r="B235" s="1">
        <v>87.73</v>
      </c>
      <c r="C235" s="1">
        <v>116.28</v>
      </c>
      <c r="D235" s="1">
        <v>117.8</v>
      </c>
    </row>
    <row r="236" spans="1:4" x14ac:dyDescent="0.25">
      <c r="A236">
        <v>235</v>
      </c>
      <c r="B236" s="1">
        <v>89.17</v>
      </c>
      <c r="C236" s="1">
        <v>116.04</v>
      </c>
      <c r="D236" s="1">
        <v>118.56</v>
      </c>
    </row>
    <row r="237" spans="1:4" x14ac:dyDescent="0.25">
      <c r="A237">
        <v>236</v>
      </c>
      <c r="B237" s="1">
        <v>88.01</v>
      </c>
      <c r="C237" s="1">
        <v>115.24</v>
      </c>
      <c r="D237" s="1">
        <v>119.36</v>
      </c>
    </row>
    <row r="238" spans="1:4" x14ac:dyDescent="0.25">
      <c r="A238">
        <v>237</v>
      </c>
      <c r="B238" s="1">
        <v>88.31</v>
      </c>
      <c r="C238" s="1">
        <v>114.55</v>
      </c>
      <c r="D238" s="1">
        <v>121.42</v>
      </c>
    </row>
    <row r="239" spans="1:4" x14ac:dyDescent="0.25">
      <c r="A239">
        <v>238</v>
      </c>
      <c r="B239" s="1">
        <v>86.56</v>
      </c>
      <c r="C239" s="1">
        <v>114.27</v>
      </c>
      <c r="D239" s="1">
        <v>122.84</v>
      </c>
    </row>
    <row r="240" spans="1:4" x14ac:dyDescent="0.25">
      <c r="A240">
        <v>239</v>
      </c>
      <c r="B240" s="1">
        <v>87.67</v>
      </c>
      <c r="C240" s="1">
        <v>113.44</v>
      </c>
      <c r="D240" s="1">
        <v>123.27</v>
      </c>
    </row>
    <row r="241" spans="1:4" x14ac:dyDescent="0.25">
      <c r="A241">
        <v>240</v>
      </c>
      <c r="B241" s="1">
        <v>88.52</v>
      </c>
      <c r="C241" s="1">
        <v>112.32</v>
      </c>
      <c r="D241" s="1">
        <v>124.11</v>
      </c>
    </row>
    <row r="242" spans="1:4" x14ac:dyDescent="0.25">
      <c r="A242">
        <v>241</v>
      </c>
      <c r="B242" s="1">
        <v>87.25</v>
      </c>
      <c r="C242" s="1">
        <v>111.2</v>
      </c>
      <c r="D242" s="1">
        <v>122.69</v>
      </c>
    </row>
    <row r="243" spans="1:4" x14ac:dyDescent="0.25">
      <c r="A243">
        <v>242</v>
      </c>
      <c r="B243" s="1">
        <v>85.42</v>
      </c>
      <c r="C243" s="1">
        <v>113.85</v>
      </c>
      <c r="D243" s="1">
        <v>123.41</v>
      </c>
    </row>
    <row r="244" spans="1:4" x14ac:dyDescent="0.25">
      <c r="A244">
        <v>243</v>
      </c>
      <c r="B244" s="1">
        <v>86.62</v>
      </c>
      <c r="C244" s="1">
        <v>112.4</v>
      </c>
      <c r="D244" s="1">
        <v>124.95</v>
      </c>
    </row>
    <row r="245" spans="1:4" x14ac:dyDescent="0.25">
      <c r="A245">
        <v>244</v>
      </c>
      <c r="B245" s="1">
        <v>88.88</v>
      </c>
      <c r="C245" s="1">
        <v>110.75</v>
      </c>
      <c r="D245" s="1">
        <v>123.43</v>
      </c>
    </row>
    <row r="246" spans="1:4" x14ac:dyDescent="0.25">
      <c r="A246">
        <v>245</v>
      </c>
      <c r="B246" s="1">
        <v>91.29</v>
      </c>
      <c r="C246" s="1">
        <v>113.66</v>
      </c>
      <c r="D246" s="1">
        <v>124.69</v>
      </c>
    </row>
    <row r="247" spans="1:4" x14ac:dyDescent="0.25">
      <c r="A247">
        <v>246</v>
      </c>
      <c r="B247" s="1">
        <v>93.1</v>
      </c>
      <c r="C247" s="1">
        <v>116.29</v>
      </c>
      <c r="D247" s="1">
        <v>126.35</v>
      </c>
    </row>
    <row r="248" spans="1:4" x14ac:dyDescent="0.25">
      <c r="A248">
        <v>247</v>
      </c>
      <c r="B248" s="1">
        <v>93.12</v>
      </c>
      <c r="C248" s="1">
        <v>115.9</v>
      </c>
      <c r="D248" s="1">
        <v>128.30000000000001</v>
      </c>
    </row>
    <row r="249" spans="1:4" x14ac:dyDescent="0.25">
      <c r="A249">
        <v>248</v>
      </c>
      <c r="B249" s="1">
        <v>91.63</v>
      </c>
      <c r="C249" s="1">
        <v>115.81</v>
      </c>
      <c r="D249" s="1">
        <v>130.11000000000001</v>
      </c>
    </row>
    <row r="250" spans="1:4" x14ac:dyDescent="0.25">
      <c r="A250">
        <v>249</v>
      </c>
      <c r="B250" s="1">
        <v>92.81</v>
      </c>
      <c r="C250" s="1">
        <v>118.4</v>
      </c>
      <c r="D250" s="1">
        <v>131.28</v>
      </c>
    </row>
    <row r="251" spans="1:4" x14ac:dyDescent="0.25">
      <c r="A251">
        <v>250</v>
      </c>
      <c r="B251" s="1">
        <v>91.5</v>
      </c>
      <c r="C251" s="1">
        <v>117.81</v>
      </c>
      <c r="D251" s="1">
        <v>129.41</v>
      </c>
    </row>
    <row r="252" spans="1:4" x14ac:dyDescent="0.25">
      <c r="A252">
        <v>251</v>
      </c>
      <c r="B252" s="1">
        <v>89.95</v>
      </c>
      <c r="C252" s="1">
        <v>116.4</v>
      </c>
      <c r="D252" s="1">
        <v>130.46</v>
      </c>
    </row>
    <row r="253" spans="1:4" x14ac:dyDescent="0.25">
      <c r="A253">
        <v>252</v>
      </c>
      <c r="B253" s="1">
        <v>88.12</v>
      </c>
      <c r="C253" s="1">
        <v>115.83</v>
      </c>
      <c r="D253" s="1">
        <v>128.5</v>
      </c>
    </row>
    <row r="254" spans="1:4" x14ac:dyDescent="0.25">
      <c r="A254">
        <v>253</v>
      </c>
      <c r="B254" s="1">
        <v>89.9</v>
      </c>
      <c r="C254" s="1">
        <v>115.44</v>
      </c>
      <c r="D254" s="1">
        <v>130.22</v>
      </c>
    </row>
    <row r="255" spans="1:4" x14ac:dyDescent="0.25">
      <c r="A255">
        <v>254</v>
      </c>
      <c r="B255" s="1">
        <v>88.53</v>
      </c>
      <c r="C255" s="1">
        <v>114.28</v>
      </c>
      <c r="D255" s="1">
        <v>128.71</v>
      </c>
    </row>
    <row r="256" spans="1:4" x14ac:dyDescent="0.25">
      <c r="A256">
        <v>255</v>
      </c>
      <c r="B256" s="1">
        <v>89.84</v>
      </c>
      <c r="C256" s="1">
        <v>112.41</v>
      </c>
      <c r="D256" s="1">
        <v>129.19999999999999</v>
      </c>
    </row>
    <row r="257" spans="1:4" x14ac:dyDescent="0.25">
      <c r="A257">
        <v>256</v>
      </c>
      <c r="B257" s="1">
        <v>88.49</v>
      </c>
      <c r="C257" s="1">
        <v>111.14</v>
      </c>
      <c r="D257" s="1">
        <v>127.53</v>
      </c>
    </row>
    <row r="258" spans="1:4" x14ac:dyDescent="0.25">
      <c r="A258">
        <v>257</v>
      </c>
      <c r="B258" s="1">
        <v>89.57</v>
      </c>
      <c r="C258" s="1">
        <v>110.14</v>
      </c>
      <c r="D258" s="1">
        <v>127.7</v>
      </c>
    </row>
    <row r="259" spans="1:4" x14ac:dyDescent="0.25">
      <c r="A259">
        <v>258</v>
      </c>
      <c r="B259" s="1">
        <v>88.41</v>
      </c>
      <c r="C259" s="1">
        <v>109.88</v>
      </c>
      <c r="D259" s="1">
        <v>126.09</v>
      </c>
    </row>
    <row r="260" spans="1:4" x14ac:dyDescent="0.25">
      <c r="A260">
        <v>259</v>
      </c>
      <c r="B260" s="1">
        <v>86.51</v>
      </c>
      <c r="C260" s="1">
        <v>109.46</v>
      </c>
      <c r="D260" s="1">
        <v>126.84</v>
      </c>
    </row>
    <row r="261" spans="1:4" x14ac:dyDescent="0.25">
      <c r="A261">
        <v>260</v>
      </c>
      <c r="B261" s="1">
        <v>85.32</v>
      </c>
      <c r="C261" s="1">
        <v>109.05</v>
      </c>
      <c r="D261" s="1">
        <v>127.17</v>
      </c>
    </row>
    <row r="262" spans="1:4" x14ac:dyDescent="0.25">
      <c r="A262">
        <v>261</v>
      </c>
      <c r="B262" s="1">
        <v>84.06</v>
      </c>
      <c r="C262" s="1">
        <v>108.22</v>
      </c>
      <c r="D262" s="1">
        <v>127.26</v>
      </c>
    </row>
    <row r="263" spans="1:4" x14ac:dyDescent="0.25">
      <c r="A263">
        <v>262</v>
      </c>
      <c r="B263" s="1">
        <v>82.3</v>
      </c>
      <c r="C263" s="1">
        <v>108.01</v>
      </c>
      <c r="D263" s="1">
        <v>127.33</v>
      </c>
    </row>
    <row r="264" spans="1:4" x14ac:dyDescent="0.25">
      <c r="A264">
        <v>263</v>
      </c>
      <c r="B264" s="1">
        <v>80.760000000000005</v>
      </c>
      <c r="C264" s="1">
        <v>106.11</v>
      </c>
      <c r="D264" s="1">
        <v>128.84</v>
      </c>
    </row>
    <row r="265" spans="1:4" x14ac:dyDescent="0.25">
      <c r="A265">
        <v>264</v>
      </c>
      <c r="B265" s="1">
        <v>79.739999999999995</v>
      </c>
      <c r="C265" s="1">
        <v>109.11</v>
      </c>
      <c r="D265" s="1">
        <v>130.11000000000001</v>
      </c>
    </row>
    <row r="266" spans="1:4" x14ac:dyDescent="0.25">
      <c r="A266">
        <v>265</v>
      </c>
      <c r="B266" s="1">
        <v>77.97</v>
      </c>
      <c r="C266" s="1">
        <v>107.8</v>
      </c>
      <c r="D266" s="1">
        <v>130.80000000000001</v>
      </c>
    </row>
    <row r="267" spans="1:4" x14ac:dyDescent="0.25">
      <c r="A267">
        <v>266</v>
      </c>
      <c r="B267" s="1">
        <v>76.87</v>
      </c>
      <c r="C267" s="1">
        <v>107.08</v>
      </c>
      <c r="D267" s="1">
        <v>131.66</v>
      </c>
    </row>
    <row r="268" spans="1:4" x14ac:dyDescent="0.25">
      <c r="A268">
        <v>267</v>
      </c>
      <c r="B268" s="1">
        <v>75.680000000000007</v>
      </c>
      <c r="C268" s="1">
        <v>106.03</v>
      </c>
      <c r="D268" s="1">
        <v>133.33000000000001</v>
      </c>
    </row>
    <row r="269" spans="1:4" x14ac:dyDescent="0.25">
      <c r="A269">
        <v>268</v>
      </c>
      <c r="B269" s="1">
        <v>74</v>
      </c>
      <c r="C269" s="1">
        <v>108.96</v>
      </c>
      <c r="D269" s="1">
        <v>135</v>
      </c>
    </row>
    <row r="270" spans="1:4" x14ac:dyDescent="0.25">
      <c r="A270">
        <v>269</v>
      </c>
      <c r="B270" s="1">
        <v>72.63</v>
      </c>
      <c r="C270" s="1">
        <v>111.91</v>
      </c>
      <c r="D270" s="1">
        <v>133.07</v>
      </c>
    </row>
    <row r="271" spans="1:4" x14ac:dyDescent="0.25">
      <c r="A271">
        <v>270</v>
      </c>
      <c r="B271" s="1">
        <v>74.45</v>
      </c>
      <c r="C271" s="1">
        <v>110.17</v>
      </c>
      <c r="D271" s="1">
        <v>133.78</v>
      </c>
    </row>
    <row r="272" spans="1:4" x14ac:dyDescent="0.25">
      <c r="A272">
        <v>271</v>
      </c>
      <c r="B272" s="1">
        <v>76.709999999999994</v>
      </c>
      <c r="C272" s="1">
        <v>112.84</v>
      </c>
      <c r="D272" s="1">
        <v>132.02000000000001</v>
      </c>
    </row>
    <row r="273" spans="1:4" x14ac:dyDescent="0.25">
      <c r="A273">
        <v>272</v>
      </c>
      <c r="B273" s="1">
        <v>75</v>
      </c>
      <c r="C273" s="1">
        <v>111.15</v>
      </c>
      <c r="D273" s="1">
        <v>130.4</v>
      </c>
    </row>
    <row r="274" spans="1:4" x14ac:dyDescent="0.25">
      <c r="A274">
        <v>273</v>
      </c>
      <c r="B274" s="1">
        <v>73.349999999999994</v>
      </c>
      <c r="C274" s="1">
        <v>109.91</v>
      </c>
      <c r="D274" s="1">
        <v>132.28</v>
      </c>
    </row>
    <row r="275" spans="1:4" x14ac:dyDescent="0.25">
      <c r="A275">
        <v>274</v>
      </c>
      <c r="B275" s="1">
        <v>71.900000000000006</v>
      </c>
      <c r="C275" s="1">
        <v>109.19</v>
      </c>
      <c r="D275" s="1">
        <v>132.38999999999999</v>
      </c>
    </row>
    <row r="276" spans="1:4" x14ac:dyDescent="0.25">
      <c r="A276">
        <v>275</v>
      </c>
      <c r="B276" s="1">
        <v>70.31</v>
      </c>
      <c r="C276" s="1">
        <v>108.35</v>
      </c>
      <c r="D276" s="1">
        <v>130.94</v>
      </c>
    </row>
    <row r="277" spans="1:4" x14ac:dyDescent="0.25">
      <c r="A277">
        <v>276</v>
      </c>
      <c r="B277" s="1">
        <v>68.63</v>
      </c>
      <c r="C277" s="1">
        <v>107.99</v>
      </c>
      <c r="D277" s="1">
        <v>129.53</v>
      </c>
    </row>
    <row r="278" spans="1:4" x14ac:dyDescent="0.25">
      <c r="A278">
        <v>277</v>
      </c>
      <c r="B278" s="1">
        <v>71.069999999999993</v>
      </c>
      <c r="C278" s="1">
        <v>110.4</v>
      </c>
      <c r="D278" s="1">
        <v>129.55000000000001</v>
      </c>
    </row>
    <row r="279" spans="1:4" x14ac:dyDescent="0.25">
      <c r="A279">
        <v>278</v>
      </c>
      <c r="B279" s="1">
        <v>72.34</v>
      </c>
      <c r="C279" s="1">
        <v>108.92</v>
      </c>
      <c r="D279" s="1">
        <v>130.43</v>
      </c>
    </row>
    <row r="280" spans="1:4" x14ac:dyDescent="0.25">
      <c r="A280">
        <v>279</v>
      </c>
      <c r="B280" s="1">
        <v>71.27</v>
      </c>
      <c r="C280" s="1">
        <v>111.43</v>
      </c>
      <c r="D280" s="1">
        <v>130.88999999999999</v>
      </c>
    </row>
    <row r="281" spans="1:4" x14ac:dyDescent="0.25">
      <c r="A281">
        <v>280</v>
      </c>
      <c r="B281" s="1">
        <v>71.540000000000006</v>
      </c>
      <c r="C281" s="1">
        <v>109.43</v>
      </c>
      <c r="D281" s="1">
        <v>129.18</v>
      </c>
    </row>
    <row r="282" spans="1:4" x14ac:dyDescent="0.25">
      <c r="A282">
        <v>281</v>
      </c>
      <c r="B282" s="1">
        <v>72.11</v>
      </c>
      <c r="C282" s="1">
        <v>108.76</v>
      </c>
      <c r="D282" s="1">
        <v>129.96</v>
      </c>
    </row>
    <row r="283" spans="1:4" x14ac:dyDescent="0.25">
      <c r="A283">
        <v>282</v>
      </c>
      <c r="B283" s="1">
        <v>73.61</v>
      </c>
      <c r="C283" s="1">
        <v>107.21</v>
      </c>
      <c r="D283" s="1">
        <v>130.33000000000001</v>
      </c>
    </row>
    <row r="284" spans="1:4" x14ac:dyDescent="0.25">
      <c r="A284">
        <v>283</v>
      </c>
      <c r="B284" s="1">
        <v>74.5</v>
      </c>
      <c r="C284" s="1">
        <v>107.13</v>
      </c>
      <c r="D284" s="1">
        <v>130.63999999999999</v>
      </c>
    </row>
    <row r="285" spans="1:4" x14ac:dyDescent="0.25">
      <c r="A285">
        <v>284</v>
      </c>
      <c r="B285" s="1">
        <v>76.239999999999995</v>
      </c>
      <c r="C285" s="1">
        <v>109.71</v>
      </c>
      <c r="D285" s="1">
        <v>130.78</v>
      </c>
    </row>
    <row r="286" spans="1:4" x14ac:dyDescent="0.25">
      <c r="A286">
        <v>285</v>
      </c>
      <c r="B286" s="1">
        <v>76.92</v>
      </c>
      <c r="C286" s="1">
        <v>109.26</v>
      </c>
      <c r="D286" s="1">
        <v>129.13999999999999</v>
      </c>
    </row>
    <row r="287" spans="1:4" x14ac:dyDescent="0.25">
      <c r="A287">
        <v>286</v>
      </c>
      <c r="B287" s="1">
        <v>78.94</v>
      </c>
      <c r="C287" s="1">
        <v>108.08</v>
      </c>
      <c r="D287" s="1">
        <v>130.85</v>
      </c>
    </row>
    <row r="288" spans="1:4" x14ac:dyDescent="0.25">
      <c r="A288">
        <v>287</v>
      </c>
      <c r="B288" s="1">
        <v>77.64</v>
      </c>
      <c r="C288" s="1">
        <v>107.52</v>
      </c>
      <c r="D288" s="1">
        <v>131.24</v>
      </c>
    </row>
    <row r="289" spans="1:4" x14ac:dyDescent="0.25">
      <c r="A289">
        <v>288</v>
      </c>
      <c r="B289" s="1">
        <v>76.14</v>
      </c>
      <c r="C289" s="1">
        <v>107.35</v>
      </c>
      <c r="D289" s="1">
        <v>131.37</v>
      </c>
    </row>
    <row r="290" spans="1:4" x14ac:dyDescent="0.25">
      <c r="A290">
        <v>289</v>
      </c>
      <c r="B290" s="1">
        <v>74.72</v>
      </c>
      <c r="C290" s="1">
        <v>105.74</v>
      </c>
      <c r="D290" s="1">
        <v>129.88</v>
      </c>
    </row>
    <row r="291" spans="1:4" x14ac:dyDescent="0.25">
      <c r="A291">
        <v>290</v>
      </c>
      <c r="B291" s="1">
        <v>73.02</v>
      </c>
      <c r="C291" s="1">
        <v>105.32</v>
      </c>
      <c r="D291" s="1">
        <v>131.79</v>
      </c>
    </row>
    <row r="292" spans="1:4" x14ac:dyDescent="0.25">
      <c r="A292">
        <v>291</v>
      </c>
      <c r="B292" s="1">
        <v>73.42</v>
      </c>
      <c r="C292" s="1">
        <v>103.92</v>
      </c>
      <c r="D292" s="1">
        <v>129.97999999999999</v>
      </c>
    </row>
    <row r="293" spans="1:4" x14ac:dyDescent="0.25">
      <c r="A293">
        <v>292</v>
      </c>
      <c r="B293" s="1">
        <v>71.849999999999994</v>
      </c>
      <c r="C293" s="1">
        <v>103.17</v>
      </c>
      <c r="D293" s="1">
        <v>130.77000000000001</v>
      </c>
    </row>
    <row r="294" spans="1:4" x14ac:dyDescent="0.25">
      <c r="A294">
        <v>293</v>
      </c>
      <c r="B294" s="1">
        <v>70.02</v>
      </c>
      <c r="C294" s="1">
        <v>102.14</v>
      </c>
      <c r="D294" s="1">
        <v>129.31</v>
      </c>
    </row>
    <row r="295" spans="1:4" x14ac:dyDescent="0.25">
      <c r="A295">
        <v>294</v>
      </c>
      <c r="B295" s="1">
        <v>68.36</v>
      </c>
      <c r="C295" s="1">
        <v>101.73</v>
      </c>
      <c r="D295" s="1">
        <v>130.66999999999999</v>
      </c>
    </row>
    <row r="296" spans="1:4" x14ac:dyDescent="0.25">
      <c r="A296">
        <v>295</v>
      </c>
      <c r="B296" s="1">
        <v>66.989999999999995</v>
      </c>
      <c r="C296" s="1">
        <v>100.39</v>
      </c>
      <c r="D296" s="1">
        <v>128.88</v>
      </c>
    </row>
    <row r="297" spans="1:4" x14ac:dyDescent="0.25">
      <c r="A297">
        <v>296</v>
      </c>
      <c r="B297" s="1">
        <v>65.94</v>
      </c>
      <c r="C297" s="1">
        <v>98.52</v>
      </c>
      <c r="D297" s="1">
        <v>127.1</v>
      </c>
    </row>
    <row r="298" spans="1:4" x14ac:dyDescent="0.25">
      <c r="A298">
        <v>297</v>
      </c>
      <c r="B298" s="1">
        <v>64.150000000000006</v>
      </c>
      <c r="C298" s="1">
        <v>101.27</v>
      </c>
      <c r="D298" s="1">
        <v>128.56</v>
      </c>
    </row>
    <row r="299" spans="1:4" x14ac:dyDescent="0.25">
      <c r="A299">
        <v>298</v>
      </c>
      <c r="B299" s="1">
        <v>65.95</v>
      </c>
      <c r="C299" s="1">
        <v>101.23</v>
      </c>
      <c r="D299" s="1">
        <v>126.64</v>
      </c>
    </row>
    <row r="300" spans="1:4" x14ac:dyDescent="0.25">
      <c r="A300">
        <v>299</v>
      </c>
      <c r="B300" s="1">
        <v>67.45</v>
      </c>
      <c r="C300" s="1">
        <v>100.8</v>
      </c>
      <c r="D300" s="1">
        <v>127.5</v>
      </c>
    </row>
    <row r="301" spans="1:4" x14ac:dyDescent="0.25">
      <c r="A301">
        <v>300</v>
      </c>
      <c r="B301" s="1">
        <v>65.540000000000006</v>
      </c>
      <c r="C301" s="1">
        <v>103.36</v>
      </c>
      <c r="D301" s="1">
        <v>127.51</v>
      </c>
    </row>
    <row r="302" spans="1:4" x14ac:dyDescent="0.25">
      <c r="A302">
        <v>301</v>
      </c>
      <c r="B302" s="1">
        <v>67.31</v>
      </c>
      <c r="C302" s="1">
        <v>103.09</v>
      </c>
      <c r="D302" s="1">
        <v>128.83000000000001</v>
      </c>
    </row>
    <row r="303" spans="1:4" x14ac:dyDescent="0.25">
      <c r="A303">
        <v>302</v>
      </c>
      <c r="B303" s="1">
        <v>68.48</v>
      </c>
      <c r="C303" s="1">
        <v>101.33</v>
      </c>
      <c r="D303" s="1">
        <v>126.93</v>
      </c>
    </row>
    <row r="304" spans="1:4" x14ac:dyDescent="0.25">
      <c r="A304">
        <v>303</v>
      </c>
      <c r="B304" s="1">
        <v>70.61</v>
      </c>
      <c r="C304" s="1">
        <v>101.33</v>
      </c>
      <c r="D304" s="1">
        <v>128.9</v>
      </c>
    </row>
    <row r="305" spans="1:4" x14ac:dyDescent="0.25">
      <c r="A305">
        <v>304</v>
      </c>
      <c r="B305" s="1">
        <v>68.95</v>
      </c>
      <c r="C305" s="1">
        <v>100.05</v>
      </c>
      <c r="D305" s="1">
        <v>129.55000000000001</v>
      </c>
    </row>
    <row r="306" spans="1:4" x14ac:dyDescent="0.25">
      <c r="A306">
        <v>305</v>
      </c>
      <c r="B306" s="1">
        <v>70.34</v>
      </c>
      <c r="C306" s="1">
        <v>99.1</v>
      </c>
      <c r="D306" s="1">
        <v>130</v>
      </c>
    </row>
    <row r="307" spans="1:4" x14ac:dyDescent="0.25">
      <c r="A307">
        <v>306</v>
      </c>
      <c r="B307" s="1">
        <v>72.260000000000005</v>
      </c>
      <c r="C307" s="1">
        <v>102.08</v>
      </c>
      <c r="D307" s="1">
        <v>129.80000000000001</v>
      </c>
    </row>
    <row r="308" spans="1:4" x14ac:dyDescent="0.25">
      <c r="A308">
        <v>307</v>
      </c>
      <c r="B308" s="1">
        <v>70.56</v>
      </c>
      <c r="C308" s="1">
        <v>101.44</v>
      </c>
      <c r="D308" s="1">
        <v>131.47</v>
      </c>
    </row>
    <row r="309" spans="1:4" x14ac:dyDescent="0.25">
      <c r="A309">
        <v>308</v>
      </c>
      <c r="B309" s="1">
        <v>72.2</v>
      </c>
      <c r="C309" s="1">
        <v>100.09</v>
      </c>
      <c r="D309" s="1">
        <v>131.77000000000001</v>
      </c>
    </row>
    <row r="310" spans="1:4" x14ac:dyDescent="0.25">
      <c r="A310">
        <v>309</v>
      </c>
      <c r="B310" s="1">
        <v>70.36</v>
      </c>
      <c r="C310" s="1">
        <v>98.49</v>
      </c>
      <c r="D310" s="1">
        <v>132.02000000000001</v>
      </c>
    </row>
    <row r="311" spans="1:4" x14ac:dyDescent="0.25">
      <c r="A311">
        <v>310</v>
      </c>
      <c r="B311" s="1">
        <v>71.61</v>
      </c>
      <c r="C311" s="1">
        <v>96.78</v>
      </c>
      <c r="D311" s="1">
        <v>133.83000000000001</v>
      </c>
    </row>
    <row r="312" spans="1:4" x14ac:dyDescent="0.25">
      <c r="A312">
        <v>311</v>
      </c>
      <c r="B312" s="1">
        <v>70.290000000000006</v>
      </c>
      <c r="C312" s="1">
        <v>95.63</v>
      </c>
      <c r="D312" s="1">
        <v>135.18</v>
      </c>
    </row>
    <row r="313" spans="1:4" x14ac:dyDescent="0.25">
      <c r="A313">
        <v>312</v>
      </c>
      <c r="B313" s="1">
        <v>69.23</v>
      </c>
      <c r="C313" s="1">
        <v>93.96</v>
      </c>
      <c r="D313" s="1">
        <v>137.03</v>
      </c>
    </row>
    <row r="314" spans="1:4" x14ac:dyDescent="0.25">
      <c r="A314">
        <v>313</v>
      </c>
      <c r="B314" s="1">
        <v>67.989999999999995</v>
      </c>
      <c r="C314" s="1">
        <v>92.27</v>
      </c>
      <c r="D314" s="1">
        <v>138.52000000000001</v>
      </c>
    </row>
    <row r="315" spans="1:4" x14ac:dyDescent="0.25">
      <c r="A315">
        <v>314</v>
      </c>
      <c r="B315" s="1">
        <v>69.44</v>
      </c>
      <c r="C315" s="1">
        <v>90.35</v>
      </c>
      <c r="D315" s="1">
        <v>137.19</v>
      </c>
    </row>
    <row r="316" spans="1:4" x14ac:dyDescent="0.25">
      <c r="A316">
        <v>315</v>
      </c>
      <c r="B316" s="1">
        <v>70.47</v>
      </c>
      <c r="C316" s="1">
        <v>92.91</v>
      </c>
      <c r="D316" s="1">
        <v>135.94999999999999</v>
      </c>
    </row>
    <row r="317" spans="1:4" x14ac:dyDescent="0.25">
      <c r="A317">
        <v>316</v>
      </c>
      <c r="B317" s="1">
        <v>71.23</v>
      </c>
      <c r="C317" s="1">
        <v>91.71</v>
      </c>
      <c r="D317" s="1">
        <v>137</v>
      </c>
    </row>
    <row r="318" spans="1:4" x14ac:dyDescent="0.25">
      <c r="A318">
        <v>317</v>
      </c>
      <c r="B318" s="1">
        <v>70.17</v>
      </c>
      <c r="C318" s="1">
        <v>91.34</v>
      </c>
      <c r="D318" s="1">
        <v>137.66999999999999</v>
      </c>
    </row>
    <row r="319" spans="1:4" x14ac:dyDescent="0.25">
      <c r="A319">
        <v>318</v>
      </c>
      <c r="B319" s="1">
        <v>71.95</v>
      </c>
      <c r="C319" s="1">
        <v>90.05</v>
      </c>
      <c r="D319" s="1">
        <v>136.63</v>
      </c>
    </row>
    <row r="320" spans="1:4" x14ac:dyDescent="0.25">
      <c r="A320">
        <v>319</v>
      </c>
      <c r="B320" s="1">
        <v>73.099999999999994</v>
      </c>
      <c r="C320" s="1">
        <v>89.87</v>
      </c>
      <c r="D320" s="1">
        <v>137.87</v>
      </c>
    </row>
    <row r="321" spans="1:4" x14ac:dyDescent="0.25">
      <c r="A321">
        <v>320</v>
      </c>
      <c r="B321" s="1">
        <v>74.34</v>
      </c>
      <c r="C321" s="1">
        <v>92.63</v>
      </c>
      <c r="D321" s="1">
        <v>139.09</v>
      </c>
    </row>
    <row r="322" spans="1:4" x14ac:dyDescent="0.25">
      <c r="A322">
        <v>321</v>
      </c>
      <c r="B322" s="1">
        <v>75.400000000000006</v>
      </c>
      <c r="C322" s="1">
        <v>91.36</v>
      </c>
      <c r="D322" s="1">
        <v>140.12</v>
      </c>
    </row>
    <row r="323" spans="1:4" x14ac:dyDescent="0.25">
      <c r="A323">
        <v>322</v>
      </c>
      <c r="B323" s="1">
        <v>75.91</v>
      </c>
      <c r="C323" s="1">
        <v>91.04</v>
      </c>
      <c r="D323" s="1">
        <v>138.57</v>
      </c>
    </row>
    <row r="324" spans="1:4" x14ac:dyDescent="0.25">
      <c r="A324">
        <v>323</v>
      </c>
      <c r="B324" s="1">
        <v>74.760000000000005</v>
      </c>
      <c r="C324" s="1">
        <v>90.45</v>
      </c>
      <c r="D324" s="1">
        <v>138.84</v>
      </c>
    </row>
    <row r="325" spans="1:4" x14ac:dyDescent="0.25">
      <c r="A325">
        <v>324</v>
      </c>
      <c r="B325" s="1">
        <v>75.89</v>
      </c>
      <c r="C325" s="1">
        <v>89.75</v>
      </c>
      <c r="D325" s="1">
        <v>140.71</v>
      </c>
    </row>
    <row r="326" spans="1:4" x14ac:dyDescent="0.25">
      <c r="A326">
        <v>325</v>
      </c>
      <c r="B326" s="1">
        <v>77.86</v>
      </c>
      <c r="C326" s="1">
        <v>89.51</v>
      </c>
      <c r="D326" s="1">
        <v>140.85</v>
      </c>
    </row>
    <row r="327" spans="1:4" x14ac:dyDescent="0.25">
      <c r="A327">
        <v>326</v>
      </c>
      <c r="B327" s="1">
        <v>79.27</v>
      </c>
      <c r="C327" s="1">
        <v>88.66</v>
      </c>
      <c r="D327" s="1">
        <v>138.94999999999999</v>
      </c>
    </row>
    <row r="328" spans="1:4" x14ac:dyDescent="0.25">
      <c r="A328">
        <v>327</v>
      </c>
      <c r="B328" s="1">
        <v>80.73</v>
      </c>
      <c r="C328" s="1">
        <v>88.17</v>
      </c>
      <c r="D328" s="1">
        <v>140.37</v>
      </c>
    </row>
    <row r="329" spans="1:4" x14ac:dyDescent="0.25">
      <c r="A329">
        <v>328</v>
      </c>
      <c r="B329" s="1">
        <v>81.010000000000005</v>
      </c>
      <c r="C329" s="1">
        <v>87.02</v>
      </c>
      <c r="D329" s="1">
        <v>139.33000000000001</v>
      </c>
    </row>
    <row r="330" spans="1:4" x14ac:dyDescent="0.25">
      <c r="A330">
        <v>329</v>
      </c>
      <c r="B330" s="1">
        <v>79.97</v>
      </c>
      <c r="C330" s="1">
        <v>86.95</v>
      </c>
      <c r="D330" s="1">
        <v>141.26</v>
      </c>
    </row>
    <row r="331" spans="1:4" x14ac:dyDescent="0.25">
      <c r="A331">
        <v>330</v>
      </c>
      <c r="B331" s="1">
        <v>77.98</v>
      </c>
      <c r="C331" s="1">
        <v>85.86</v>
      </c>
      <c r="D331" s="1">
        <v>142.91999999999999</v>
      </c>
    </row>
    <row r="332" spans="1:4" x14ac:dyDescent="0.25">
      <c r="A332">
        <v>331</v>
      </c>
      <c r="B332" s="1">
        <v>79.209999999999994</v>
      </c>
      <c r="C332" s="1">
        <v>88.48</v>
      </c>
      <c r="D332" s="1">
        <v>145.30000000000001</v>
      </c>
    </row>
    <row r="333" spans="1:4" x14ac:dyDescent="0.25">
      <c r="A333">
        <v>332</v>
      </c>
      <c r="B333" s="1">
        <v>80.59</v>
      </c>
      <c r="C333" s="1">
        <v>86.96</v>
      </c>
      <c r="D333" s="1">
        <v>143.49</v>
      </c>
    </row>
    <row r="334" spans="1:4" x14ac:dyDescent="0.25">
      <c r="A334">
        <v>333</v>
      </c>
      <c r="B334" s="1">
        <v>83.04</v>
      </c>
      <c r="C334" s="1">
        <v>86.49</v>
      </c>
      <c r="D334" s="1">
        <v>145.41</v>
      </c>
    </row>
    <row r="335" spans="1:4" x14ac:dyDescent="0.25">
      <c r="A335">
        <v>334</v>
      </c>
      <c r="B335" s="1">
        <v>84.26</v>
      </c>
      <c r="C335" s="1">
        <v>86.09</v>
      </c>
      <c r="D335" s="1">
        <v>147.4</v>
      </c>
    </row>
    <row r="336" spans="1:4" x14ac:dyDescent="0.25">
      <c r="A336">
        <v>335</v>
      </c>
      <c r="B336" s="1">
        <v>85.28</v>
      </c>
      <c r="C336" s="1">
        <v>84.37</v>
      </c>
      <c r="D336" s="1">
        <v>146.27000000000001</v>
      </c>
    </row>
    <row r="337" spans="1:4" x14ac:dyDescent="0.25">
      <c r="A337">
        <v>336</v>
      </c>
      <c r="B337" s="1">
        <v>85.74</v>
      </c>
      <c r="C337" s="1">
        <v>83.22</v>
      </c>
      <c r="D337" s="1">
        <v>148.38</v>
      </c>
    </row>
    <row r="338" spans="1:4" x14ac:dyDescent="0.25">
      <c r="A338">
        <v>337</v>
      </c>
      <c r="B338" s="1">
        <v>84.14</v>
      </c>
      <c r="C338" s="1">
        <v>85.72</v>
      </c>
      <c r="D338" s="1">
        <v>150.66999999999999</v>
      </c>
    </row>
    <row r="339" spans="1:4" x14ac:dyDescent="0.25">
      <c r="A339">
        <v>338</v>
      </c>
      <c r="B339" s="1">
        <v>86.12</v>
      </c>
      <c r="C339" s="1">
        <v>84.73</v>
      </c>
      <c r="D339" s="1">
        <v>150.84</v>
      </c>
    </row>
    <row r="340" spans="1:4" x14ac:dyDescent="0.25">
      <c r="A340">
        <v>339</v>
      </c>
      <c r="B340" s="1">
        <v>86.23</v>
      </c>
      <c r="C340" s="1">
        <v>84.15</v>
      </c>
      <c r="D340" s="1">
        <v>149.72999999999999</v>
      </c>
    </row>
    <row r="341" spans="1:4" x14ac:dyDescent="0.25">
      <c r="A341">
        <v>340</v>
      </c>
      <c r="B341" s="1">
        <v>84.78</v>
      </c>
      <c r="C341" s="1">
        <v>83.26</v>
      </c>
      <c r="D341" s="1">
        <v>148.35</v>
      </c>
    </row>
    <row r="342" spans="1:4" x14ac:dyDescent="0.25">
      <c r="A342">
        <v>341</v>
      </c>
      <c r="B342" s="1">
        <v>86.91</v>
      </c>
      <c r="C342" s="1">
        <v>82.5</v>
      </c>
      <c r="D342" s="1">
        <v>150.61000000000001</v>
      </c>
    </row>
    <row r="343" spans="1:4" x14ac:dyDescent="0.25">
      <c r="A343">
        <v>342</v>
      </c>
      <c r="B343" s="1">
        <v>85.3</v>
      </c>
      <c r="C343" s="1">
        <v>81.739999999999995</v>
      </c>
      <c r="D343" s="1">
        <v>148.94999999999999</v>
      </c>
    </row>
    <row r="344" spans="1:4" x14ac:dyDescent="0.25">
      <c r="A344">
        <v>343</v>
      </c>
      <c r="B344" s="1">
        <v>83.64</v>
      </c>
      <c r="C344" s="1">
        <v>84.27</v>
      </c>
      <c r="D344" s="1">
        <v>147.16999999999999</v>
      </c>
    </row>
    <row r="345" spans="1:4" x14ac:dyDescent="0.25">
      <c r="A345">
        <v>344</v>
      </c>
      <c r="B345" s="1">
        <v>82.5</v>
      </c>
      <c r="C345" s="1">
        <v>83</v>
      </c>
      <c r="D345" s="1">
        <v>147.86000000000001</v>
      </c>
    </row>
    <row r="346" spans="1:4" x14ac:dyDescent="0.25">
      <c r="A346">
        <v>345</v>
      </c>
      <c r="B346" s="1">
        <v>83.5</v>
      </c>
      <c r="C346" s="1">
        <v>85.99</v>
      </c>
      <c r="D346" s="1">
        <v>149.49</v>
      </c>
    </row>
    <row r="347" spans="1:4" x14ac:dyDescent="0.25">
      <c r="A347">
        <v>346</v>
      </c>
      <c r="B347" s="1">
        <v>85.49</v>
      </c>
      <c r="C347" s="1">
        <v>84.29</v>
      </c>
      <c r="D347" s="1">
        <v>147.9</v>
      </c>
    </row>
    <row r="348" spans="1:4" x14ac:dyDescent="0.25">
      <c r="A348">
        <v>347</v>
      </c>
      <c r="B348" s="1">
        <v>87.71</v>
      </c>
      <c r="C348" s="1">
        <v>83.35</v>
      </c>
      <c r="D348" s="1">
        <v>146.46</v>
      </c>
    </row>
    <row r="349" spans="1:4" x14ac:dyDescent="0.25">
      <c r="A349">
        <v>348</v>
      </c>
      <c r="B349" s="1">
        <v>85.99</v>
      </c>
      <c r="C349" s="1">
        <v>86.22</v>
      </c>
      <c r="D349" s="1">
        <v>144.76</v>
      </c>
    </row>
    <row r="350" spans="1:4" x14ac:dyDescent="0.25">
      <c r="A350">
        <v>349</v>
      </c>
      <c r="B350" s="1">
        <v>88.15</v>
      </c>
      <c r="C350" s="1">
        <v>85.51</v>
      </c>
      <c r="D350" s="1">
        <v>146.63999999999999</v>
      </c>
    </row>
    <row r="351" spans="1:4" x14ac:dyDescent="0.25">
      <c r="A351">
        <v>350</v>
      </c>
      <c r="B351" s="1">
        <v>88.57</v>
      </c>
      <c r="C351" s="1">
        <v>84.25</v>
      </c>
      <c r="D351" s="1">
        <v>146.84</v>
      </c>
    </row>
    <row r="352" spans="1:4" x14ac:dyDescent="0.25">
      <c r="A352">
        <v>351</v>
      </c>
      <c r="B352" s="1">
        <v>88.75</v>
      </c>
      <c r="C352" s="1">
        <v>84.11</v>
      </c>
      <c r="D352" s="1">
        <v>145.82</v>
      </c>
    </row>
    <row r="353" spans="1:4" x14ac:dyDescent="0.25">
      <c r="A353">
        <v>352</v>
      </c>
      <c r="B353" s="1">
        <v>89.45</v>
      </c>
      <c r="C353" s="1">
        <v>86.81</v>
      </c>
      <c r="D353" s="1">
        <v>147.19999999999999</v>
      </c>
    </row>
    <row r="354" spans="1:4" x14ac:dyDescent="0.25">
      <c r="A354">
        <v>353</v>
      </c>
      <c r="B354" s="1">
        <v>87.7</v>
      </c>
      <c r="C354" s="1">
        <v>85.18</v>
      </c>
      <c r="D354" s="1">
        <v>149.22999999999999</v>
      </c>
    </row>
    <row r="355" spans="1:4" x14ac:dyDescent="0.25">
      <c r="A355">
        <v>354</v>
      </c>
      <c r="B355" s="1">
        <v>85.97</v>
      </c>
      <c r="C355" s="1">
        <v>85.17</v>
      </c>
      <c r="D355" s="1">
        <v>150.75</v>
      </c>
    </row>
    <row r="356" spans="1:4" x14ac:dyDescent="0.25">
      <c r="A356">
        <v>355</v>
      </c>
      <c r="B356" s="1">
        <v>86.77</v>
      </c>
      <c r="C356" s="1">
        <v>83.74</v>
      </c>
      <c r="D356" s="1">
        <v>151.94999999999999</v>
      </c>
    </row>
    <row r="357" spans="1:4" x14ac:dyDescent="0.25">
      <c r="A357">
        <v>356</v>
      </c>
      <c r="B357" s="1">
        <v>85.03</v>
      </c>
      <c r="C357" s="1">
        <v>83.16</v>
      </c>
      <c r="D357" s="1">
        <v>154.04</v>
      </c>
    </row>
    <row r="358" spans="1:4" x14ac:dyDescent="0.25">
      <c r="A358">
        <v>357</v>
      </c>
      <c r="B358" s="1">
        <v>83.62</v>
      </c>
      <c r="C358" s="1">
        <v>82.19</v>
      </c>
      <c r="D358" s="1">
        <v>155.46</v>
      </c>
    </row>
    <row r="359" spans="1:4" x14ac:dyDescent="0.25">
      <c r="A359">
        <v>358</v>
      </c>
      <c r="B359" s="1">
        <v>85.87</v>
      </c>
      <c r="C359" s="1">
        <v>80.930000000000007</v>
      </c>
      <c r="D359" s="1">
        <v>157.47</v>
      </c>
    </row>
    <row r="360" spans="1:4" x14ac:dyDescent="0.25">
      <c r="A360">
        <v>359</v>
      </c>
      <c r="B360" s="1">
        <v>86.95</v>
      </c>
      <c r="C360" s="1">
        <v>83.66</v>
      </c>
      <c r="D360" s="1">
        <v>155.78</v>
      </c>
    </row>
    <row r="361" spans="1:4" x14ac:dyDescent="0.25">
      <c r="A361">
        <v>360</v>
      </c>
      <c r="B361" s="1">
        <v>88.95</v>
      </c>
      <c r="C361" s="1">
        <v>82.17</v>
      </c>
      <c r="D361" s="1">
        <v>154.38999999999999</v>
      </c>
    </row>
    <row r="362" spans="1:4" x14ac:dyDescent="0.25">
      <c r="A362">
        <v>361</v>
      </c>
      <c r="B362" s="1">
        <v>87.68</v>
      </c>
      <c r="C362" s="1">
        <v>81.81</v>
      </c>
      <c r="D362" s="1">
        <v>155.91999999999999</v>
      </c>
    </row>
    <row r="363" spans="1:4" x14ac:dyDescent="0.25">
      <c r="A363">
        <v>362</v>
      </c>
      <c r="B363" s="1">
        <v>86.52</v>
      </c>
      <c r="C363" s="1">
        <v>80.97</v>
      </c>
      <c r="D363" s="1">
        <v>154.41999999999999</v>
      </c>
    </row>
    <row r="364" spans="1:4" x14ac:dyDescent="0.25">
      <c r="A364">
        <v>363</v>
      </c>
      <c r="B364" s="1">
        <v>87.64</v>
      </c>
      <c r="C364" s="1">
        <v>80.41</v>
      </c>
      <c r="D364" s="1">
        <v>153.37</v>
      </c>
    </row>
    <row r="365" spans="1:4" x14ac:dyDescent="0.25">
      <c r="A365">
        <v>364</v>
      </c>
      <c r="B365" s="1">
        <v>86.51</v>
      </c>
      <c r="C365" s="1">
        <v>79.86</v>
      </c>
      <c r="D365" s="1">
        <v>154.38</v>
      </c>
    </row>
    <row r="366" spans="1:4" x14ac:dyDescent="0.25">
      <c r="A366">
        <v>365</v>
      </c>
      <c r="B366" s="1">
        <v>85.1</v>
      </c>
      <c r="C366" s="1">
        <v>79.52</v>
      </c>
      <c r="D366" s="1">
        <v>152.55000000000001</v>
      </c>
    </row>
    <row r="367" spans="1:4" x14ac:dyDescent="0.25">
      <c r="A367">
        <v>366</v>
      </c>
      <c r="B367" s="1">
        <v>86.09</v>
      </c>
      <c r="C367" s="1">
        <v>78.86</v>
      </c>
      <c r="D367" s="1">
        <v>150.97999999999999</v>
      </c>
    </row>
    <row r="368" spans="1:4" x14ac:dyDescent="0.25">
      <c r="A368">
        <v>367</v>
      </c>
      <c r="B368" s="1">
        <v>84.89</v>
      </c>
      <c r="C368" s="1">
        <v>77.11</v>
      </c>
      <c r="D368" s="1">
        <v>151.24</v>
      </c>
    </row>
    <row r="369" spans="1:4" x14ac:dyDescent="0.25">
      <c r="A369">
        <v>368</v>
      </c>
      <c r="B369" s="1">
        <v>83.75</v>
      </c>
      <c r="C369" s="1">
        <v>75.290000000000006</v>
      </c>
      <c r="D369" s="1">
        <v>153.69</v>
      </c>
    </row>
    <row r="370" spans="1:4" x14ac:dyDescent="0.25">
      <c r="A370">
        <v>369</v>
      </c>
      <c r="B370" s="1">
        <v>85.37</v>
      </c>
      <c r="C370" s="1">
        <v>78.260000000000005</v>
      </c>
      <c r="D370" s="1">
        <v>155.26</v>
      </c>
    </row>
    <row r="371" spans="1:4" x14ac:dyDescent="0.25">
      <c r="A371">
        <v>370</v>
      </c>
      <c r="B371" s="1">
        <v>85.9</v>
      </c>
      <c r="C371" s="1">
        <v>77.23</v>
      </c>
      <c r="D371" s="1">
        <v>153.86000000000001</v>
      </c>
    </row>
    <row r="372" spans="1:4" x14ac:dyDescent="0.25">
      <c r="A372">
        <v>371</v>
      </c>
      <c r="B372" s="1">
        <v>84.34</v>
      </c>
      <c r="C372" s="1">
        <v>79.95</v>
      </c>
      <c r="D372" s="1">
        <v>152.09</v>
      </c>
    </row>
    <row r="373" spans="1:4" x14ac:dyDescent="0.25">
      <c r="A373">
        <v>372</v>
      </c>
      <c r="B373" s="1">
        <v>83.32</v>
      </c>
      <c r="C373" s="1">
        <v>79.03</v>
      </c>
      <c r="D373" s="1">
        <v>150.44</v>
      </c>
    </row>
    <row r="374" spans="1:4" x14ac:dyDescent="0.25">
      <c r="A374">
        <v>373</v>
      </c>
      <c r="B374" s="1">
        <v>83.78</v>
      </c>
      <c r="C374" s="1">
        <v>78.569999999999993</v>
      </c>
      <c r="D374" s="1">
        <v>152.88</v>
      </c>
    </row>
    <row r="375" spans="1:4" x14ac:dyDescent="0.25">
      <c r="A375">
        <v>374</v>
      </c>
      <c r="B375" s="1">
        <v>81.97</v>
      </c>
      <c r="C375" s="1">
        <v>76.849999999999994</v>
      </c>
      <c r="D375" s="1">
        <v>153.57</v>
      </c>
    </row>
    <row r="376" spans="1:4" x14ac:dyDescent="0.25">
      <c r="A376">
        <v>375</v>
      </c>
      <c r="B376" s="1">
        <v>83.69</v>
      </c>
      <c r="C376" s="1">
        <v>79.53</v>
      </c>
      <c r="D376" s="1">
        <v>151.80000000000001</v>
      </c>
    </row>
    <row r="377" spans="1:4" x14ac:dyDescent="0.25">
      <c r="A377">
        <v>376</v>
      </c>
      <c r="B377" s="1">
        <v>82.46</v>
      </c>
      <c r="C377" s="1">
        <v>82.14</v>
      </c>
      <c r="D377" s="1">
        <v>153.21</v>
      </c>
    </row>
    <row r="378" spans="1:4" x14ac:dyDescent="0.25">
      <c r="A378">
        <v>377</v>
      </c>
      <c r="B378" s="1">
        <v>84.11</v>
      </c>
      <c r="C378" s="1">
        <v>81.95</v>
      </c>
      <c r="D378" s="1">
        <v>154.75</v>
      </c>
    </row>
    <row r="379" spans="1:4" x14ac:dyDescent="0.25">
      <c r="A379">
        <v>378</v>
      </c>
      <c r="B379" s="1">
        <v>85.63</v>
      </c>
      <c r="C379" s="1">
        <v>81.260000000000005</v>
      </c>
      <c r="D379" s="1">
        <v>153.43</v>
      </c>
    </row>
    <row r="380" spans="1:4" x14ac:dyDescent="0.25">
      <c r="A380">
        <v>379</v>
      </c>
      <c r="B380" s="1">
        <v>85.83</v>
      </c>
      <c r="C380" s="1">
        <v>79.760000000000005</v>
      </c>
      <c r="D380" s="1">
        <v>152.27000000000001</v>
      </c>
    </row>
    <row r="381" spans="1:4" x14ac:dyDescent="0.25">
      <c r="A381">
        <v>380</v>
      </c>
      <c r="B381" s="1">
        <v>86.66</v>
      </c>
      <c r="C381" s="1">
        <v>82.5</v>
      </c>
      <c r="D381" s="1">
        <v>151</v>
      </c>
    </row>
    <row r="382" spans="1:4" x14ac:dyDescent="0.25">
      <c r="A382">
        <v>381</v>
      </c>
      <c r="B382" s="1">
        <v>87.96</v>
      </c>
      <c r="C382" s="1">
        <v>80.88</v>
      </c>
      <c r="D382" s="1">
        <v>152.36000000000001</v>
      </c>
    </row>
    <row r="383" spans="1:4" x14ac:dyDescent="0.25">
      <c r="A383">
        <v>382</v>
      </c>
      <c r="B383" s="1">
        <v>89.71</v>
      </c>
      <c r="C383" s="1">
        <v>80.27</v>
      </c>
      <c r="D383" s="1">
        <v>150.47999999999999</v>
      </c>
    </row>
    <row r="384" spans="1:4" x14ac:dyDescent="0.25">
      <c r="A384">
        <v>383</v>
      </c>
      <c r="B384" s="1">
        <v>91.38</v>
      </c>
      <c r="C384" s="1">
        <v>80.06</v>
      </c>
      <c r="D384" s="1">
        <v>151.6</v>
      </c>
    </row>
    <row r="385" spans="1:4" x14ac:dyDescent="0.25">
      <c r="A385">
        <v>384</v>
      </c>
      <c r="B385" s="1">
        <v>90.08</v>
      </c>
      <c r="C385" s="1">
        <v>78.17</v>
      </c>
      <c r="D385" s="1">
        <v>149.69999999999999</v>
      </c>
    </row>
    <row r="386" spans="1:4" x14ac:dyDescent="0.25">
      <c r="A386">
        <v>385</v>
      </c>
      <c r="B386" s="1">
        <v>88.79</v>
      </c>
      <c r="C386" s="1">
        <v>77.03</v>
      </c>
      <c r="D386" s="1">
        <v>150.75</v>
      </c>
    </row>
    <row r="387" spans="1:4" x14ac:dyDescent="0.25">
      <c r="A387">
        <v>386</v>
      </c>
      <c r="B387" s="1">
        <v>86.79</v>
      </c>
      <c r="C387" s="1">
        <v>76.48</v>
      </c>
      <c r="D387" s="1">
        <v>149.30000000000001</v>
      </c>
    </row>
    <row r="388" spans="1:4" x14ac:dyDescent="0.25">
      <c r="A388">
        <v>387</v>
      </c>
      <c r="B388" s="1">
        <v>84.93</v>
      </c>
      <c r="C388" s="1">
        <v>76.209999999999994</v>
      </c>
      <c r="D388" s="1">
        <v>149.41999999999999</v>
      </c>
    </row>
    <row r="389" spans="1:4" x14ac:dyDescent="0.25">
      <c r="A389">
        <v>388</v>
      </c>
      <c r="B389" s="1">
        <v>83.65</v>
      </c>
      <c r="C389" s="1">
        <v>76.09</v>
      </c>
      <c r="D389" s="1">
        <v>147.55000000000001</v>
      </c>
    </row>
    <row r="390" spans="1:4" x14ac:dyDescent="0.25">
      <c r="A390">
        <v>389</v>
      </c>
      <c r="B390" s="1">
        <v>84.46</v>
      </c>
      <c r="C390" s="1">
        <v>75.75</v>
      </c>
      <c r="D390" s="1">
        <v>148.07</v>
      </c>
    </row>
    <row r="391" spans="1:4" x14ac:dyDescent="0.25">
      <c r="A391">
        <v>390</v>
      </c>
      <c r="B391" s="1">
        <v>82.96</v>
      </c>
      <c r="C391" s="1">
        <v>74.55</v>
      </c>
      <c r="D391" s="1">
        <v>149.9</v>
      </c>
    </row>
    <row r="392" spans="1:4" x14ac:dyDescent="0.25">
      <c r="A392">
        <v>391</v>
      </c>
      <c r="B392" s="1">
        <v>81.92</v>
      </c>
      <c r="C392" s="1">
        <v>74.290000000000006</v>
      </c>
      <c r="D392" s="1">
        <v>151.68</v>
      </c>
    </row>
    <row r="393" spans="1:4" x14ac:dyDescent="0.25">
      <c r="A393">
        <v>392</v>
      </c>
      <c r="B393" s="1">
        <v>80.319999999999993</v>
      </c>
      <c r="C393" s="1">
        <v>73.209999999999994</v>
      </c>
      <c r="D393" s="1">
        <v>153.25</v>
      </c>
    </row>
    <row r="394" spans="1:4" x14ac:dyDescent="0.25">
      <c r="A394">
        <v>393</v>
      </c>
      <c r="B394" s="1">
        <v>80.37</v>
      </c>
      <c r="C394" s="1">
        <v>72.27</v>
      </c>
      <c r="D394" s="1">
        <v>152.22999999999999</v>
      </c>
    </row>
    <row r="395" spans="1:4" x14ac:dyDescent="0.25">
      <c r="A395">
        <v>394</v>
      </c>
      <c r="B395" s="1">
        <v>81.260000000000005</v>
      </c>
      <c r="C395" s="1">
        <v>70.48</v>
      </c>
      <c r="D395" s="1">
        <v>150.25</v>
      </c>
    </row>
    <row r="396" spans="1:4" x14ac:dyDescent="0.25">
      <c r="A396">
        <v>395</v>
      </c>
      <c r="B396" s="1">
        <v>83.72</v>
      </c>
      <c r="C396" s="1">
        <v>70.05</v>
      </c>
      <c r="D396" s="1">
        <v>148.80000000000001</v>
      </c>
    </row>
    <row r="397" spans="1:4" x14ac:dyDescent="0.25">
      <c r="A397">
        <v>396</v>
      </c>
      <c r="B397" s="1">
        <v>84.27</v>
      </c>
      <c r="C397" s="1">
        <v>68.349999999999994</v>
      </c>
      <c r="D397" s="1">
        <v>146.96</v>
      </c>
    </row>
    <row r="398" spans="1:4" x14ac:dyDescent="0.25">
      <c r="A398">
        <v>397</v>
      </c>
      <c r="B398" s="1">
        <v>82.97</v>
      </c>
      <c r="C398" s="1">
        <v>67.58</v>
      </c>
      <c r="D398" s="1">
        <v>145.47999999999999</v>
      </c>
    </row>
    <row r="399" spans="1:4" x14ac:dyDescent="0.25">
      <c r="A399">
        <v>398</v>
      </c>
      <c r="B399" s="1">
        <v>83.17</v>
      </c>
      <c r="C399" s="1">
        <v>66.3</v>
      </c>
      <c r="D399" s="1">
        <v>147.35</v>
      </c>
    </row>
    <row r="400" spans="1:4" x14ac:dyDescent="0.25">
      <c r="A400">
        <v>399</v>
      </c>
      <c r="B400" s="1">
        <v>81.819999999999993</v>
      </c>
      <c r="C400" s="1">
        <v>65.040000000000006</v>
      </c>
      <c r="D400" s="1">
        <v>145.4</v>
      </c>
    </row>
    <row r="401" spans="1:4" x14ac:dyDescent="0.25">
      <c r="A401">
        <v>400</v>
      </c>
      <c r="B401" s="1">
        <v>84.04</v>
      </c>
      <c r="C401" s="1">
        <v>63.88</v>
      </c>
      <c r="D401" s="1">
        <v>145.47</v>
      </c>
    </row>
    <row r="402" spans="1:4" x14ac:dyDescent="0.25">
      <c r="A402">
        <v>401</v>
      </c>
      <c r="B402" s="1">
        <v>82.65</v>
      </c>
      <c r="C402" s="1">
        <v>63.09</v>
      </c>
      <c r="D402" s="1">
        <v>146.12</v>
      </c>
    </row>
    <row r="403" spans="1:4" x14ac:dyDescent="0.25">
      <c r="A403">
        <v>402</v>
      </c>
      <c r="B403" s="1">
        <v>83.94</v>
      </c>
      <c r="C403" s="1">
        <v>61.68</v>
      </c>
      <c r="D403" s="1">
        <v>147.22</v>
      </c>
    </row>
    <row r="404" spans="1:4" x14ac:dyDescent="0.25">
      <c r="A404">
        <v>403</v>
      </c>
      <c r="B404" s="1">
        <v>82.19</v>
      </c>
      <c r="C404" s="1">
        <v>60.11</v>
      </c>
      <c r="D404" s="1">
        <v>148.13</v>
      </c>
    </row>
    <row r="405" spans="1:4" x14ac:dyDescent="0.25">
      <c r="A405">
        <v>404</v>
      </c>
      <c r="B405" s="1">
        <v>84.44</v>
      </c>
      <c r="C405" s="1">
        <v>63.04</v>
      </c>
      <c r="D405" s="1">
        <v>149.9</v>
      </c>
    </row>
    <row r="406" spans="1:4" x14ac:dyDescent="0.25">
      <c r="A406">
        <v>405</v>
      </c>
      <c r="B406" s="1">
        <v>82.85</v>
      </c>
      <c r="C406" s="1">
        <v>65.81</v>
      </c>
      <c r="D406" s="1">
        <v>147.96</v>
      </c>
    </row>
    <row r="407" spans="1:4" x14ac:dyDescent="0.25">
      <c r="A407">
        <v>406</v>
      </c>
      <c r="B407" s="1">
        <v>84.73</v>
      </c>
      <c r="C407" s="1">
        <v>64.260000000000005</v>
      </c>
      <c r="D407" s="1">
        <v>146.51</v>
      </c>
    </row>
    <row r="408" spans="1:4" x14ac:dyDescent="0.25">
      <c r="A408">
        <v>407</v>
      </c>
      <c r="B408" s="1">
        <v>84.93</v>
      </c>
      <c r="C408" s="1">
        <v>63.08</v>
      </c>
      <c r="D408" s="1">
        <v>147.87</v>
      </c>
    </row>
    <row r="409" spans="1:4" x14ac:dyDescent="0.25">
      <c r="A409">
        <v>408</v>
      </c>
      <c r="B409" s="1">
        <v>83.87</v>
      </c>
      <c r="C409" s="1">
        <v>62.49</v>
      </c>
      <c r="D409" s="1">
        <v>149.41</v>
      </c>
    </row>
    <row r="410" spans="1:4" x14ac:dyDescent="0.25">
      <c r="A410">
        <v>409</v>
      </c>
      <c r="B410" s="1">
        <v>82.71</v>
      </c>
      <c r="C410" s="1">
        <v>61.45</v>
      </c>
      <c r="D410" s="1">
        <v>150.38999999999999</v>
      </c>
    </row>
    <row r="411" spans="1:4" x14ac:dyDescent="0.25">
      <c r="A411">
        <v>410</v>
      </c>
      <c r="B411" s="1">
        <v>81.37</v>
      </c>
      <c r="C411" s="1">
        <v>60.3</v>
      </c>
      <c r="D411" s="1">
        <v>149.35</v>
      </c>
    </row>
    <row r="412" spans="1:4" x14ac:dyDescent="0.25">
      <c r="A412">
        <v>411</v>
      </c>
      <c r="B412" s="1">
        <v>80.040000000000006</v>
      </c>
      <c r="C412" s="1">
        <v>62.81</v>
      </c>
      <c r="D412" s="1">
        <v>147.81</v>
      </c>
    </row>
    <row r="413" spans="1:4" x14ac:dyDescent="0.25">
      <c r="A413">
        <v>412</v>
      </c>
      <c r="B413" s="1">
        <v>81.96</v>
      </c>
      <c r="C413" s="1">
        <v>62.35</v>
      </c>
      <c r="D413" s="1">
        <v>145.85</v>
      </c>
    </row>
    <row r="414" spans="1:4" x14ac:dyDescent="0.25">
      <c r="A414">
        <v>413</v>
      </c>
      <c r="B414" s="1">
        <v>82.73</v>
      </c>
      <c r="C414" s="1">
        <v>61.53</v>
      </c>
      <c r="D414" s="1">
        <v>147.65</v>
      </c>
    </row>
    <row r="415" spans="1:4" x14ac:dyDescent="0.25">
      <c r="A415">
        <v>414</v>
      </c>
      <c r="B415" s="1">
        <v>81.599999999999994</v>
      </c>
      <c r="C415" s="1">
        <v>61.16</v>
      </c>
      <c r="D415" s="1">
        <v>148</v>
      </c>
    </row>
    <row r="416" spans="1:4" x14ac:dyDescent="0.25">
      <c r="A416">
        <v>415</v>
      </c>
      <c r="B416" s="1">
        <v>80.37</v>
      </c>
      <c r="C416" s="1">
        <v>60.65</v>
      </c>
      <c r="D416" s="1">
        <v>149.16</v>
      </c>
    </row>
    <row r="417" spans="1:4" x14ac:dyDescent="0.25">
      <c r="A417">
        <v>416</v>
      </c>
      <c r="B417" s="1">
        <v>82.29</v>
      </c>
      <c r="C417" s="1">
        <v>59.06</v>
      </c>
      <c r="D417" s="1">
        <v>148.12</v>
      </c>
    </row>
    <row r="418" spans="1:4" x14ac:dyDescent="0.25">
      <c r="A418">
        <v>417</v>
      </c>
      <c r="B418" s="1">
        <v>83.24</v>
      </c>
      <c r="C418" s="1">
        <v>61.49</v>
      </c>
      <c r="D418" s="1">
        <v>146.75</v>
      </c>
    </row>
    <row r="419" spans="1:4" x14ac:dyDescent="0.25">
      <c r="A419">
        <v>418</v>
      </c>
      <c r="B419" s="1">
        <v>85.09</v>
      </c>
      <c r="C419" s="1">
        <v>64.209999999999994</v>
      </c>
      <c r="D419" s="1">
        <v>148.88</v>
      </c>
    </row>
    <row r="420" spans="1:4" x14ac:dyDescent="0.25">
      <c r="A420">
        <v>419</v>
      </c>
      <c r="B420" s="1">
        <v>85.26</v>
      </c>
      <c r="C420" s="1">
        <v>64.11</v>
      </c>
      <c r="D420" s="1">
        <v>150.13999999999999</v>
      </c>
    </row>
    <row r="421" spans="1:4" x14ac:dyDescent="0.25">
      <c r="A421">
        <v>420</v>
      </c>
      <c r="B421" s="1">
        <v>87.45</v>
      </c>
      <c r="C421" s="1">
        <v>63.4</v>
      </c>
      <c r="D421" s="1">
        <v>149.12</v>
      </c>
    </row>
    <row r="422" spans="1:4" x14ac:dyDescent="0.25">
      <c r="A422">
        <v>421</v>
      </c>
      <c r="B422" s="1">
        <v>89.82</v>
      </c>
      <c r="C422" s="1">
        <v>61.83</v>
      </c>
      <c r="D422" s="1">
        <v>147.93</v>
      </c>
    </row>
    <row r="423" spans="1:4" x14ac:dyDescent="0.25">
      <c r="A423">
        <v>422</v>
      </c>
      <c r="B423" s="1">
        <v>91.95</v>
      </c>
      <c r="C423" s="1">
        <v>59.96</v>
      </c>
      <c r="D423" s="1">
        <v>145.99</v>
      </c>
    </row>
    <row r="424" spans="1:4" x14ac:dyDescent="0.25">
      <c r="A424">
        <v>423</v>
      </c>
      <c r="B424" s="1">
        <v>94.23</v>
      </c>
      <c r="C424" s="1">
        <v>59.02</v>
      </c>
      <c r="D424" s="1">
        <v>144.71</v>
      </c>
    </row>
    <row r="425" spans="1:4" x14ac:dyDescent="0.25">
      <c r="A425">
        <v>424</v>
      </c>
      <c r="B425" s="1">
        <v>93.11</v>
      </c>
      <c r="C425" s="1">
        <v>57.84</v>
      </c>
      <c r="D425" s="1">
        <v>145.03</v>
      </c>
    </row>
    <row r="426" spans="1:4" x14ac:dyDescent="0.25">
      <c r="A426">
        <v>425</v>
      </c>
      <c r="B426" s="1">
        <v>93.73</v>
      </c>
      <c r="C426" s="1">
        <v>60.76</v>
      </c>
      <c r="D426" s="1">
        <v>146.52000000000001</v>
      </c>
    </row>
    <row r="427" spans="1:4" x14ac:dyDescent="0.25">
      <c r="A427">
        <v>426</v>
      </c>
      <c r="B427" s="1">
        <v>95.75</v>
      </c>
      <c r="C427" s="1">
        <v>60.53</v>
      </c>
      <c r="D427" s="1">
        <v>146.65</v>
      </c>
    </row>
    <row r="428" spans="1:4" x14ac:dyDescent="0.25">
      <c r="A428">
        <v>427</v>
      </c>
      <c r="B428" s="1">
        <v>97.38</v>
      </c>
      <c r="C428" s="1">
        <v>62.95</v>
      </c>
      <c r="D428" s="1">
        <v>148.26</v>
      </c>
    </row>
    <row r="429" spans="1:4" x14ac:dyDescent="0.25">
      <c r="A429">
        <v>428</v>
      </c>
      <c r="B429" s="1">
        <v>99.66</v>
      </c>
      <c r="C429" s="1">
        <v>62.42</v>
      </c>
      <c r="D429" s="1">
        <v>146.6</v>
      </c>
    </row>
    <row r="430" spans="1:4" x14ac:dyDescent="0.25">
      <c r="A430">
        <v>429</v>
      </c>
      <c r="B430" s="1">
        <v>98.06</v>
      </c>
      <c r="C430" s="1">
        <v>64.86</v>
      </c>
      <c r="D430" s="1">
        <v>147.83000000000001</v>
      </c>
    </row>
    <row r="431" spans="1:4" x14ac:dyDescent="0.25">
      <c r="A431">
        <v>430</v>
      </c>
      <c r="B431" s="1">
        <v>99.61</v>
      </c>
      <c r="C431" s="1">
        <v>63.25</v>
      </c>
      <c r="D431" s="1">
        <v>150.03</v>
      </c>
    </row>
    <row r="432" spans="1:4" x14ac:dyDescent="0.25">
      <c r="A432">
        <v>431</v>
      </c>
      <c r="B432" s="1">
        <v>97.68</v>
      </c>
      <c r="C432" s="1">
        <v>62.83</v>
      </c>
      <c r="D432" s="1">
        <v>151.15</v>
      </c>
    </row>
    <row r="433" spans="1:4" x14ac:dyDescent="0.25">
      <c r="A433">
        <v>432</v>
      </c>
      <c r="B433" s="1">
        <v>96.12</v>
      </c>
      <c r="C433" s="1">
        <v>61.62</v>
      </c>
      <c r="D433" s="1">
        <v>149.94999999999999</v>
      </c>
    </row>
    <row r="434" spans="1:4" x14ac:dyDescent="0.25">
      <c r="A434">
        <v>433</v>
      </c>
      <c r="B434" s="1">
        <v>94.84</v>
      </c>
      <c r="C434" s="1">
        <v>60.02</v>
      </c>
      <c r="D434" s="1">
        <v>150.97999999999999</v>
      </c>
    </row>
    <row r="435" spans="1:4" x14ac:dyDescent="0.25">
      <c r="A435">
        <v>434</v>
      </c>
      <c r="B435" s="1">
        <v>95.23</v>
      </c>
      <c r="C435" s="1">
        <v>59.25</v>
      </c>
      <c r="D435" s="1">
        <v>149.25</v>
      </c>
    </row>
    <row r="436" spans="1:4" x14ac:dyDescent="0.25">
      <c r="A436">
        <v>435</v>
      </c>
      <c r="B436" s="1">
        <v>96.12</v>
      </c>
      <c r="C436" s="1">
        <v>62.11</v>
      </c>
      <c r="D436" s="1">
        <v>151.06</v>
      </c>
    </row>
    <row r="437" spans="1:4" x14ac:dyDescent="0.25">
      <c r="A437">
        <v>436</v>
      </c>
      <c r="B437" s="1">
        <v>94.84</v>
      </c>
      <c r="C437" s="1">
        <v>60.56</v>
      </c>
      <c r="D437" s="1">
        <v>149.65</v>
      </c>
    </row>
    <row r="438" spans="1:4" x14ac:dyDescent="0.25">
      <c r="A438">
        <v>437</v>
      </c>
      <c r="B438" s="1">
        <v>93.28</v>
      </c>
      <c r="C438" s="1">
        <v>60.46</v>
      </c>
      <c r="D438" s="1">
        <v>148.22</v>
      </c>
    </row>
    <row r="439" spans="1:4" x14ac:dyDescent="0.25">
      <c r="A439">
        <v>438</v>
      </c>
      <c r="B439" s="1">
        <v>91.44</v>
      </c>
      <c r="C439" s="1">
        <v>63.27</v>
      </c>
      <c r="D439" s="1">
        <v>146.25</v>
      </c>
    </row>
    <row r="440" spans="1:4" x14ac:dyDescent="0.25">
      <c r="A440">
        <v>439</v>
      </c>
      <c r="B440" s="1">
        <v>93.22</v>
      </c>
      <c r="C440" s="1">
        <v>62.21</v>
      </c>
      <c r="D440" s="1">
        <v>146.91</v>
      </c>
    </row>
    <row r="441" spans="1:4" x14ac:dyDescent="0.25">
      <c r="A441">
        <v>440</v>
      </c>
      <c r="B441" s="1">
        <v>95.34</v>
      </c>
      <c r="C441" s="1">
        <v>65.209999999999994</v>
      </c>
      <c r="D441" s="1">
        <v>145.85</v>
      </c>
    </row>
    <row r="442" spans="1:4" x14ac:dyDescent="0.25">
      <c r="A442">
        <v>441</v>
      </c>
      <c r="B442" s="1">
        <v>97.18</v>
      </c>
      <c r="C442" s="1">
        <v>64.72</v>
      </c>
      <c r="D442" s="1">
        <v>146.31</v>
      </c>
    </row>
    <row r="443" spans="1:4" x14ac:dyDescent="0.25">
      <c r="A443">
        <v>442</v>
      </c>
      <c r="B443" s="1">
        <v>95.89</v>
      </c>
      <c r="C443" s="1">
        <v>64.510000000000005</v>
      </c>
      <c r="D443" s="1">
        <v>144.6</v>
      </c>
    </row>
    <row r="444" spans="1:4" x14ac:dyDescent="0.25">
      <c r="A444">
        <v>443</v>
      </c>
      <c r="B444" s="1">
        <v>94.4</v>
      </c>
      <c r="C444" s="1">
        <v>63.15</v>
      </c>
      <c r="D444" s="1">
        <v>143.56</v>
      </c>
    </row>
    <row r="445" spans="1:4" x14ac:dyDescent="0.25">
      <c r="A445">
        <v>444</v>
      </c>
      <c r="B445" s="1">
        <v>93.07</v>
      </c>
      <c r="C445" s="1">
        <v>65.959999999999994</v>
      </c>
      <c r="D445" s="1">
        <v>143.61000000000001</v>
      </c>
    </row>
    <row r="446" spans="1:4" x14ac:dyDescent="0.25">
      <c r="A446">
        <v>445</v>
      </c>
      <c r="B446" s="1">
        <v>93.84</v>
      </c>
      <c r="C446" s="1">
        <v>64.819999999999993</v>
      </c>
      <c r="D446" s="1">
        <v>143.97999999999999</v>
      </c>
    </row>
    <row r="447" spans="1:4" x14ac:dyDescent="0.25">
      <c r="A447">
        <v>446</v>
      </c>
      <c r="B447" s="1">
        <v>92.78</v>
      </c>
      <c r="C447" s="1">
        <v>63.49</v>
      </c>
      <c r="D447" s="1">
        <v>142.51</v>
      </c>
    </row>
    <row r="448" spans="1:4" x14ac:dyDescent="0.25">
      <c r="A448">
        <v>447</v>
      </c>
      <c r="B448" s="1">
        <v>94.02</v>
      </c>
      <c r="C448" s="1">
        <v>62.41</v>
      </c>
      <c r="D448" s="1">
        <v>144.03</v>
      </c>
    </row>
    <row r="449" spans="1:4" x14ac:dyDescent="0.25">
      <c r="A449">
        <v>448</v>
      </c>
      <c r="B449" s="1">
        <v>95.27</v>
      </c>
      <c r="C449" s="1">
        <v>65.36</v>
      </c>
      <c r="D449" s="1">
        <v>142.49</v>
      </c>
    </row>
    <row r="450" spans="1:4" x14ac:dyDescent="0.25">
      <c r="A450">
        <v>449</v>
      </c>
      <c r="B450" s="1">
        <v>93.67</v>
      </c>
      <c r="C450" s="1">
        <v>64.400000000000006</v>
      </c>
      <c r="D450" s="1">
        <v>140.54</v>
      </c>
    </row>
    <row r="451" spans="1:4" x14ac:dyDescent="0.25">
      <c r="A451">
        <v>450</v>
      </c>
      <c r="B451" s="1">
        <v>95.35</v>
      </c>
      <c r="C451" s="1">
        <v>63.79</v>
      </c>
      <c r="D451" s="1">
        <v>138.88999999999999</v>
      </c>
    </row>
    <row r="452" spans="1:4" x14ac:dyDescent="0.25">
      <c r="A452">
        <v>451</v>
      </c>
      <c r="B452" s="1">
        <v>96.14</v>
      </c>
      <c r="C452" s="1">
        <v>62.37</v>
      </c>
      <c r="D452" s="1">
        <v>137.61000000000001</v>
      </c>
    </row>
    <row r="453" spans="1:4" x14ac:dyDescent="0.25">
      <c r="A453">
        <v>452</v>
      </c>
      <c r="B453" s="1">
        <v>94.99</v>
      </c>
      <c r="C453" s="1">
        <v>65.239999999999995</v>
      </c>
      <c r="D453" s="1">
        <v>138.30000000000001</v>
      </c>
    </row>
    <row r="454" spans="1:4" x14ac:dyDescent="0.25">
      <c r="A454">
        <v>453</v>
      </c>
      <c r="B454" s="1">
        <v>95.7</v>
      </c>
      <c r="C454" s="1">
        <v>64.81</v>
      </c>
      <c r="D454" s="1">
        <v>136.81</v>
      </c>
    </row>
    <row r="455" spans="1:4" x14ac:dyDescent="0.25">
      <c r="A455">
        <v>454</v>
      </c>
      <c r="B455" s="1">
        <v>95.72</v>
      </c>
      <c r="C455" s="1">
        <v>63.89</v>
      </c>
      <c r="D455" s="1">
        <v>135.43</v>
      </c>
    </row>
    <row r="456" spans="1:4" x14ac:dyDescent="0.25">
      <c r="A456">
        <v>455</v>
      </c>
      <c r="B456" s="1">
        <v>96.62</v>
      </c>
      <c r="C456" s="1">
        <v>66.790000000000006</v>
      </c>
      <c r="D456" s="1">
        <v>134</v>
      </c>
    </row>
    <row r="457" spans="1:4" x14ac:dyDescent="0.25">
      <c r="A457">
        <v>456</v>
      </c>
      <c r="B457" s="1">
        <v>98.19</v>
      </c>
      <c r="C457" s="1">
        <v>65.16</v>
      </c>
      <c r="D457" s="1">
        <v>134.07</v>
      </c>
    </row>
    <row r="458" spans="1:4" x14ac:dyDescent="0.25">
      <c r="A458">
        <v>457</v>
      </c>
      <c r="B458" s="1">
        <v>97.19</v>
      </c>
      <c r="C458" s="1">
        <v>67.81</v>
      </c>
      <c r="D458" s="1">
        <v>135.07</v>
      </c>
    </row>
    <row r="459" spans="1:4" x14ac:dyDescent="0.25">
      <c r="A459">
        <v>458</v>
      </c>
      <c r="B459" s="1">
        <v>97.88</v>
      </c>
      <c r="C459" s="1">
        <v>70.23</v>
      </c>
      <c r="D459" s="1">
        <v>133.69999999999999</v>
      </c>
    </row>
    <row r="460" spans="1:4" x14ac:dyDescent="0.25">
      <c r="A460">
        <v>459</v>
      </c>
      <c r="B460" s="1">
        <v>96.5</v>
      </c>
      <c r="C460" s="1">
        <v>69.88</v>
      </c>
      <c r="D460" s="1">
        <v>132.12</v>
      </c>
    </row>
    <row r="461" spans="1:4" x14ac:dyDescent="0.25">
      <c r="A461">
        <v>460</v>
      </c>
      <c r="B461" s="1">
        <v>98.32</v>
      </c>
      <c r="C461" s="1">
        <v>69.650000000000006</v>
      </c>
      <c r="D461" s="1">
        <v>132.19999999999999</v>
      </c>
    </row>
    <row r="462" spans="1:4" x14ac:dyDescent="0.25">
      <c r="A462">
        <v>461</v>
      </c>
      <c r="B462" s="1">
        <v>100.41</v>
      </c>
      <c r="C462" s="1">
        <v>67.95</v>
      </c>
      <c r="D462" s="1">
        <v>134.63</v>
      </c>
    </row>
    <row r="463" spans="1:4" x14ac:dyDescent="0.25">
      <c r="A463">
        <v>462</v>
      </c>
      <c r="B463" s="1">
        <v>98.63</v>
      </c>
      <c r="C463" s="1">
        <v>66.98</v>
      </c>
      <c r="D463" s="1">
        <v>136.87</v>
      </c>
    </row>
    <row r="464" spans="1:4" x14ac:dyDescent="0.25">
      <c r="A464">
        <v>463</v>
      </c>
      <c r="B464" s="1">
        <v>96.81</v>
      </c>
      <c r="C464" s="1">
        <v>65.760000000000005</v>
      </c>
      <c r="D464" s="1">
        <v>138.55000000000001</v>
      </c>
    </row>
    <row r="465" spans="1:4" x14ac:dyDescent="0.25">
      <c r="A465">
        <v>464</v>
      </c>
      <c r="B465" s="1">
        <v>98.88</v>
      </c>
      <c r="C465" s="1">
        <v>65.53</v>
      </c>
      <c r="D465" s="1">
        <v>137.22999999999999</v>
      </c>
    </row>
    <row r="466" spans="1:4" x14ac:dyDescent="0.25">
      <c r="A466">
        <v>465</v>
      </c>
      <c r="B466" s="1">
        <v>100.54</v>
      </c>
      <c r="C466" s="1">
        <v>68.27</v>
      </c>
      <c r="D466" s="1">
        <v>135.35</v>
      </c>
    </row>
    <row r="467" spans="1:4" x14ac:dyDescent="0.25">
      <c r="A467">
        <v>466</v>
      </c>
      <c r="B467" s="1">
        <v>102.5</v>
      </c>
      <c r="C467" s="1">
        <v>66.36</v>
      </c>
      <c r="D467" s="1">
        <v>133.85</v>
      </c>
    </row>
    <row r="468" spans="1:4" x14ac:dyDescent="0.25">
      <c r="A468">
        <v>467</v>
      </c>
      <c r="B468" s="1">
        <v>103.73</v>
      </c>
      <c r="C468" s="1">
        <v>65</v>
      </c>
      <c r="D468" s="1">
        <v>134.44999999999999</v>
      </c>
    </row>
    <row r="469" spans="1:4" x14ac:dyDescent="0.25">
      <c r="A469">
        <v>468</v>
      </c>
      <c r="B469" s="1">
        <v>101.95</v>
      </c>
      <c r="C469" s="1">
        <v>67.900000000000006</v>
      </c>
      <c r="D469" s="1">
        <v>136.01</v>
      </c>
    </row>
    <row r="470" spans="1:4" x14ac:dyDescent="0.25">
      <c r="A470">
        <v>469</v>
      </c>
      <c r="B470" s="1">
        <v>100.28</v>
      </c>
      <c r="C470" s="1">
        <v>67.61</v>
      </c>
      <c r="D470" s="1">
        <v>134.69</v>
      </c>
    </row>
    <row r="471" spans="1:4" x14ac:dyDescent="0.25">
      <c r="A471">
        <v>470</v>
      </c>
      <c r="B471" s="1">
        <v>101.15</v>
      </c>
      <c r="C471" s="1">
        <v>66.87</v>
      </c>
      <c r="D471" s="1">
        <v>136.71</v>
      </c>
    </row>
    <row r="472" spans="1:4" x14ac:dyDescent="0.25">
      <c r="A472">
        <v>471</v>
      </c>
      <c r="B472" s="1">
        <v>101.53</v>
      </c>
      <c r="C472" s="1">
        <v>69.790000000000006</v>
      </c>
      <c r="D472" s="1">
        <v>135.55000000000001</v>
      </c>
    </row>
    <row r="473" spans="1:4" x14ac:dyDescent="0.25">
      <c r="A473">
        <v>472</v>
      </c>
      <c r="B473" s="1">
        <v>103.27</v>
      </c>
      <c r="C473" s="1">
        <v>72.55</v>
      </c>
      <c r="D473" s="1">
        <v>138.04</v>
      </c>
    </row>
    <row r="474" spans="1:4" x14ac:dyDescent="0.25">
      <c r="A474">
        <v>473</v>
      </c>
      <c r="B474" s="1">
        <v>102.2</v>
      </c>
      <c r="C474" s="1">
        <v>70.64</v>
      </c>
      <c r="D474" s="1">
        <v>136.30000000000001</v>
      </c>
    </row>
    <row r="475" spans="1:4" x14ac:dyDescent="0.25">
      <c r="A475">
        <v>474</v>
      </c>
      <c r="B475" s="1">
        <v>100.83</v>
      </c>
      <c r="C475" s="1">
        <v>69.989999999999995</v>
      </c>
      <c r="D475" s="1">
        <v>136.91</v>
      </c>
    </row>
    <row r="476" spans="1:4" x14ac:dyDescent="0.25">
      <c r="A476">
        <v>475</v>
      </c>
      <c r="B476" s="1">
        <v>101.6</v>
      </c>
      <c r="C476" s="1">
        <v>68.069999999999993</v>
      </c>
      <c r="D476" s="1">
        <v>137.52000000000001</v>
      </c>
    </row>
    <row r="477" spans="1:4" x14ac:dyDescent="0.25">
      <c r="A477">
        <v>476</v>
      </c>
      <c r="B477" s="1">
        <v>99.94</v>
      </c>
      <c r="C477" s="1">
        <v>66.72</v>
      </c>
      <c r="D477" s="1">
        <v>136.02000000000001</v>
      </c>
    </row>
    <row r="478" spans="1:4" x14ac:dyDescent="0.25">
      <c r="A478">
        <v>477</v>
      </c>
      <c r="B478" s="1">
        <v>98.46</v>
      </c>
      <c r="C478" s="1">
        <v>69.349999999999994</v>
      </c>
      <c r="D478" s="1">
        <v>134.65</v>
      </c>
    </row>
    <row r="479" spans="1:4" x14ac:dyDescent="0.25">
      <c r="A479">
        <v>478</v>
      </c>
      <c r="B479" s="1">
        <v>97.24</v>
      </c>
      <c r="C479" s="1">
        <v>68.8</v>
      </c>
      <c r="D479" s="1">
        <v>133.62</v>
      </c>
    </row>
    <row r="480" spans="1:4" x14ac:dyDescent="0.25">
      <c r="A480">
        <v>479</v>
      </c>
      <c r="B480" s="1">
        <v>97.6</v>
      </c>
      <c r="C480" s="1">
        <v>66.97</v>
      </c>
      <c r="D480" s="1">
        <v>134.27000000000001</v>
      </c>
    </row>
    <row r="481" spans="1:4" x14ac:dyDescent="0.25">
      <c r="A481">
        <v>480</v>
      </c>
      <c r="B481" s="1">
        <v>98.91</v>
      </c>
      <c r="C481" s="1">
        <v>66.28</v>
      </c>
      <c r="D481" s="1">
        <v>134.35</v>
      </c>
    </row>
    <row r="482" spans="1:4" x14ac:dyDescent="0.25">
      <c r="A482">
        <v>481</v>
      </c>
      <c r="B482" s="1">
        <v>101.11</v>
      </c>
      <c r="C482" s="1">
        <v>64.41</v>
      </c>
      <c r="D482" s="1">
        <v>133.19</v>
      </c>
    </row>
    <row r="483" spans="1:4" x14ac:dyDescent="0.25">
      <c r="A483">
        <v>482</v>
      </c>
      <c r="B483" s="1">
        <v>102.79</v>
      </c>
      <c r="C483" s="1">
        <v>66.86</v>
      </c>
      <c r="D483" s="1">
        <v>132.1</v>
      </c>
    </row>
    <row r="484" spans="1:4" x14ac:dyDescent="0.25">
      <c r="A484">
        <v>483</v>
      </c>
      <c r="B484" s="1">
        <v>103.54</v>
      </c>
      <c r="C484" s="1">
        <v>66.22</v>
      </c>
      <c r="D484" s="1">
        <v>132.30000000000001</v>
      </c>
    </row>
    <row r="485" spans="1:4" x14ac:dyDescent="0.25">
      <c r="A485">
        <v>484</v>
      </c>
      <c r="B485" s="1">
        <v>102.54</v>
      </c>
      <c r="C485" s="1">
        <v>64.239999999999995</v>
      </c>
      <c r="D485" s="1">
        <v>131.22999999999999</v>
      </c>
    </row>
    <row r="486" spans="1:4" x14ac:dyDescent="0.25">
      <c r="A486">
        <v>485</v>
      </c>
      <c r="B486" s="1">
        <v>100.72</v>
      </c>
      <c r="C486" s="1">
        <v>62.97</v>
      </c>
      <c r="D486" s="1">
        <v>130.09</v>
      </c>
    </row>
    <row r="487" spans="1:4" x14ac:dyDescent="0.25">
      <c r="A487">
        <v>486</v>
      </c>
      <c r="B487" s="1">
        <v>99.66</v>
      </c>
      <c r="C487" s="1">
        <v>61.28</v>
      </c>
      <c r="D487" s="1">
        <v>131.72999999999999</v>
      </c>
    </row>
    <row r="488" spans="1:4" x14ac:dyDescent="0.25">
      <c r="A488">
        <v>487</v>
      </c>
      <c r="B488" s="1">
        <v>101.44</v>
      </c>
      <c r="C488" s="1">
        <v>63.76</v>
      </c>
      <c r="D488" s="1">
        <v>130.03</v>
      </c>
    </row>
    <row r="489" spans="1:4" x14ac:dyDescent="0.25">
      <c r="A489">
        <v>488</v>
      </c>
      <c r="B489" s="1">
        <v>99.81</v>
      </c>
      <c r="C489" s="1">
        <v>63.15</v>
      </c>
      <c r="D489" s="1">
        <v>128.21</v>
      </c>
    </row>
    <row r="490" spans="1:4" x14ac:dyDescent="0.25">
      <c r="A490">
        <v>489</v>
      </c>
      <c r="B490" s="1">
        <v>101.7</v>
      </c>
      <c r="C490" s="1">
        <v>62.62</v>
      </c>
      <c r="D490" s="1">
        <v>128.51</v>
      </c>
    </row>
    <row r="491" spans="1:4" x14ac:dyDescent="0.25">
      <c r="A491">
        <v>490</v>
      </c>
      <c r="B491" s="1">
        <v>99.88</v>
      </c>
      <c r="C491" s="1">
        <v>65.52</v>
      </c>
      <c r="D491" s="1">
        <v>127.47</v>
      </c>
    </row>
    <row r="492" spans="1:4" x14ac:dyDescent="0.25">
      <c r="A492">
        <v>491</v>
      </c>
      <c r="B492" s="1">
        <v>102.11</v>
      </c>
      <c r="C492" s="1">
        <v>65.180000000000007</v>
      </c>
      <c r="D492" s="1">
        <v>126.24</v>
      </c>
    </row>
    <row r="493" spans="1:4" x14ac:dyDescent="0.25">
      <c r="A493">
        <v>492</v>
      </c>
      <c r="B493" s="1">
        <v>104.42</v>
      </c>
      <c r="C493" s="1">
        <v>64.34</v>
      </c>
      <c r="D493" s="1">
        <v>128.41</v>
      </c>
    </row>
    <row r="494" spans="1:4" x14ac:dyDescent="0.25">
      <c r="A494">
        <v>493</v>
      </c>
      <c r="B494" s="1">
        <v>105.45</v>
      </c>
      <c r="C494" s="1">
        <v>64.28</v>
      </c>
      <c r="D494" s="1">
        <v>128.56</v>
      </c>
    </row>
    <row r="495" spans="1:4" x14ac:dyDescent="0.25">
      <c r="A495">
        <v>494</v>
      </c>
      <c r="B495" s="1">
        <v>104.12</v>
      </c>
      <c r="C495" s="1">
        <v>67.06</v>
      </c>
      <c r="D495" s="1">
        <v>128.58000000000001</v>
      </c>
    </row>
    <row r="496" spans="1:4" x14ac:dyDescent="0.25">
      <c r="A496">
        <v>495</v>
      </c>
      <c r="B496" s="1">
        <v>102.55</v>
      </c>
      <c r="C496" s="1">
        <v>66.61</v>
      </c>
      <c r="D496" s="1">
        <v>127.41</v>
      </c>
    </row>
    <row r="497" spans="1:4" x14ac:dyDescent="0.25">
      <c r="A497">
        <v>496</v>
      </c>
      <c r="B497" s="1">
        <v>100.83</v>
      </c>
      <c r="C497" s="1">
        <v>65.150000000000006</v>
      </c>
      <c r="D497" s="1">
        <v>129.69</v>
      </c>
    </row>
    <row r="498" spans="1:4" x14ac:dyDescent="0.25">
      <c r="A498">
        <v>497</v>
      </c>
      <c r="B498" s="1">
        <v>102.59</v>
      </c>
      <c r="C498" s="1">
        <v>63.19</v>
      </c>
      <c r="D498" s="1">
        <v>128.27000000000001</v>
      </c>
    </row>
    <row r="499" spans="1:4" x14ac:dyDescent="0.25">
      <c r="A499">
        <v>498</v>
      </c>
      <c r="B499" s="1">
        <v>101.01</v>
      </c>
      <c r="C499" s="1">
        <v>62.21</v>
      </c>
      <c r="D499" s="1">
        <v>126.99</v>
      </c>
    </row>
    <row r="500" spans="1:4" x14ac:dyDescent="0.25">
      <c r="A500">
        <v>499</v>
      </c>
      <c r="B500" s="1">
        <v>102.11</v>
      </c>
      <c r="C500" s="1">
        <v>61.89</v>
      </c>
      <c r="D500" s="1">
        <v>127.03</v>
      </c>
    </row>
    <row r="501" spans="1:4" x14ac:dyDescent="0.25">
      <c r="A501">
        <v>500</v>
      </c>
      <c r="B501" s="1">
        <v>100.38</v>
      </c>
      <c r="C501" s="1">
        <v>59.94</v>
      </c>
      <c r="D501" s="1">
        <v>127.11</v>
      </c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1773-307D-40DD-9B84-D42DF126266C}">
  <dimension ref="A1:G501"/>
  <sheetViews>
    <sheetView workbookViewId="0">
      <selection activeCell="G5" sqref="G5"/>
    </sheetView>
  </sheetViews>
  <sheetFormatPr defaultRowHeight="15" x14ac:dyDescent="0.25"/>
  <cols>
    <col min="1" max="2" width="10.140625" bestFit="1" customWidth="1"/>
    <col min="7" max="7" width="9.28515625" customWidth="1"/>
    <col min="8" max="8" width="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126</v>
      </c>
      <c r="B2">
        <v>135.43</v>
      </c>
      <c r="C2">
        <v>65.430000000000007</v>
      </c>
      <c r="D2">
        <v>0</v>
      </c>
      <c r="E2">
        <v>0</v>
      </c>
      <c r="F2">
        <v>0</v>
      </c>
      <c r="G2">
        <f>IF(SUM(D2:F2)&gt;=2,1,0)</f>
        <v>0</v>
      </c>
    </row>
    <row r="3" spans="1:7" x14ac:dyDescent="0.25">
      <c r="A3">
        <v>119</v>
      </c>
      <c r="B3">
        <v>134.99</v>
      </c>
      <c r="C3">
        <v>67.06</v>
      </c>
      <c r="D3">
        <f>IF($A3&gt;MAX($A$2:$A2),1,0)</f>
        <v>0</v>
      </c>
      <c r="E3">
        <f>IF($B3&gt;MAX($B$2:$B2),1,0)</f>
        <v>0</v>
      </c>
      <c r="F3">
        <f>IF($C3&gt;MAX($C$2:$C2),1,0)</f>
        <v>1</v>
      </c>
      <c r="G3">
        <f>IF(SUM(D3:F3)&gt;=2,1,0)</f>
        <v>0</v>
      </c>
    </row>
    <row r="4" spans="1:7" x14ac:dyDescent="0.25">
      <c r="A4">
        <v>127</v>
      </c>
      <c r="B4">
        <v>134.04</v>
      </c>
      <c r="C4">
        <v>68.91</v>
      </c>
      <c r="D4">
        <f>IF($A4&gt;MAX($A$2:$A3),1,0)</f>
        <v>1</v>
      </c>
      <c r="E4">
        <f>IF($B4&gt;MAX($B$2:$B3),1,0)</f>
        <v>0</v>
      </c>
      <c r="F4">
        <f>IF($C4&gt;MAX($C$2:$C3),1,0)</f>
        <v>1</v>
      </c>
      <c r="G4">
        <f t="shared" ref="G4:G67" si="0">IF(SUM(D4:F4)&gt;=2,1,0)</f>
        <v>1</v>
      </c>
    </row>
    <row r="5" spans="1:7" x14ac:dyDescent="0.25">
      <c r="A5">
        <v>130</v>
      </c>
      <c r="B5">
        <v>133.76</v>
      </c>
      <c r="C5">
        <v>70.8</v>
      </c>
      <c r="D5">
        <f>IF($A5&gt;MAX($A$2:$A4),1,0)</f>
        <v>1</v>
      </c>
      <c r="E5">
        <f>IF($B5&gt;MAX($B$2:$B4),1,0)</f>
        <v>0</v>
      </c>
      <c r="F5">
        <f>IF($C5&gt;MAX($C$2:$C4),1,0)</f>
        <v>1</v>
      </c>
      <c r="G5">
        <f t="shared" si="0"/>
        <v>1</v>
      </c>
    </row>
    <row r="6" spans="1:7" x14ac:dyDescent="0.25">
      <c r="A6">
        <v>110</v>
      </c>
      <c r="B6">
        <v>136.72999999999999</v>
      </c>
      <c r="C6">
        <v>72.260000000000005</v>
      </c>
      <c r="D6">
        <f>IF($A6&gt;MAX($A$2:$A5),1,0)</f>
        <v>0</v>
      </c>
      <c r="E6">
        <f>IF($B6&gt;MAX($B$2:$B5),1,0)</f>
        <v>1</v>
      </c>
      <c r="F6">
        <f>IF($C6&gt;MAX($C$2:$C5),1,0)</f>
        <v>1</v>
      </c>
      <c r="G6">
        <f t="shared" si="0"/>
        <v>1</v>
      </c>
    </row>
    <row r="7" spans="1:7" x14ac:dyDescent="0.25">
      <c r="A7">
        <v>108.71</v>
      </c>
      <c r="B7">
        <v>136.49</v>
      </c>
      <c r="C7">
        <v>73.63</v>
      </c>
      <c r="D7">
        <f>IF($A7&gt;MAX($A$2:$A6),1,0)</f>
        <v>0</v>
      </c>
      <c r="E7">
        <f>IF($B7&gt;MAX($B$2:$B6),1,0)</f>
        <v>0</v>
      </c>
      <c r="F7">
        <f>IF($C7&gt;MAX($C$2:$C6),1,0)</f>
        <v>1</v>
      </c>
      <c r="G7">
        <f t="shared" si="0"/>
        <v>0</v>
      </c>
    </row>
    <row r="8" spans="1:7" x14ac:dyDescent="0.25">
      <c r="A8">
        <v>109.82</v>
      </c>
      <c r="B8">
        <v>139.22</v>
      </c>
      <c r="C8">
        <v>73.64</v>
      </c>
      <c r="D8">
        <f>IF($A8&gt;MAX($A$2:$A7),1,0)</f>
        <v>0</v>
      </c>
      <c r="E8">
        <f>IF($B8&gt;MAX($B$2:$B7),1,0)</f>
        <v>1</v>
      </c>
      <c r="F8">
        <f>IF($C8&gt;MAX($C$2:$C7),1,0)</f>
        <v>1</v>
      </c>
      <c r="G8">
        <f t="shared" si="0"/>
        <v>1</v>
      </c>
    </row>
    <row r="9" spans="1:7" x14ac:dyDescent="0.25">
      <c r="A9">
        <v>108.34</v>
      </c>
      <c r="B9">
        <v>138.41</v>
      </c>
      <c r="C9">
        <v>71.739999999999995</v>
      </c>
      <c r="D9">
        <f>IF($A9&gt;MAX($A$2:$A8),1,0)</f>
        <v>0</v>
      </c>
      <c r="E9">
        <f>IF($B9&gt;MAX($B$2:$B8),1,0)</f>
        <v>0</v>
      </c>
      <c r="F9">
        <f>IF($C9&gt;MAX($C$2:$C8),1,0)</f>
        <v>0</v>
      </c>
      <c r="G9">
        <f t="shared" si="0"/>
        <v>0</v>
      </c>
    </row>
    <row r="10" spans="1:7" x14ac:dyDescent="0.25">
      <c r="A10">
        <v>108.98</v>
      </c>
      <c r="B10">
        <v>137.68</v>
      </c>
      <c r="C10">
        <v>72.89</v>
      </c>
      <c r="D10">
        <f>IF($A10&gt;MAX($A$2:$A9),1,0)</f>
        <v>0</v>
      </c>
      <c r="E10">
        <f>IF($B10&gt;MAX($B$2:$B9),1,0)</f>
        <v>0</v>
      </c>
      <c r="F10">
        <f>IF($C10&gt;MAX($C$2:$C9),1,0)</f>
        <v>0</v>
      </c>
      <c r="G10">
        <f t="shared" si="0"/>
        <v>0</v>
      </c>
    </row>
    <row r="11" spans="1:7" x14ac:dyDescent="0.25">
      <c r="A11">
        <v>107.72</v>
      </c>
      <c r="B11">
        <v>140.59</v>
      </c>
      <c r="C11">
        <v>74.319999999999993</v>
      </c>
      <c r="D11">
        <f>IF($A11&gt;MAX($A$2:$A10),1,0)</f>
        <v>0</v>
      </c>
      <c r="E11">
        <f>IF($B11&gt;MAX($B$2:$B10),1,0)</f>
        <v>1</v>
      </c>
      <c r="F11">
        <f>IF($C11&gt;MAX($C$2:$C10),1,0)</f>
        <v>1</v>
      </c>
      <c r="G11">
        <f t="shared" si="0"/>
        <v>1</v>
      </c>
    </row>
    <row r="12" spans="1:7" x14ac:dyDescent="0.25">
      <c r="A12">
        <v>109.1</v>
      </c>
      <c r="B12">
        <v>143.21</v>
      </c>
      <c r="C12">
        <v>75.569999999999993</v>
      </c>
      <c r="D12">
        <f>IF($A12&gt;MAX($A$2:$A11),1,0)</f>
        <v>0</v>
      </c>
      <c r="E12">
        <f>IF($B12&gt;MAX($B$2:$B11),1,0)</f>
        <v>1</v>
      </c>
      <c r="F12">
        <f>IF($C12&gt;MAX($C$2:$C11),1,0)</f>
        <v>1</v>
      </c>
      <c r="G12">
        <f t="shared" si="0"/>
        <v>1</v>
      </c>
    </row>
    <row r="13" spans="1:7" x14ac:dyDescent="0.25">
      <c r="A13">
        <v>107.73</v>
      </c>
      <c r="B13">
        <v>145.94999999999999</v>
      </c>
      <c r="C13">
        <v>77.37</v>
      </c>
      <c r="D13">
        <f>IF($A13&gt;MAX($A$2:$A12),1,0)</f>
        <v>0</v>
      </c>
      <c r="E13">
        <f>IF($B13&gt;MAX($B$2:$B12),1,0)</f>
        <v>1</v>
      </c>
      <c r="F13">
        <f>IF($C13&gt;MAX($C$2:$C12),1,0)</f>
        <v>1</v>
      </c>
      <c r="G13">
        <f t="shared" si="0"/>
        <v>1</v>
      </c>
    </row>
    <row r="14" spans="1:7" x14ac:dyDescent="0.25">
      <c r="A14">
        <v>107.75</v>
      </c>
      <c r="B14">
        <v>145.35</v>
      </c>
      <c r="C14">
        <v>75.7</v>
      </c>
      <c r="D14">
        <f>IF($A14&gt;MAX($A$2:$A13),1,0)</f>
        <v>0</v>
      </c>
      <c r="E14">
        <f>IF($B14&gt;MAX($B$2:$B13),1,0)</f>
        <v>0</v>
      </c>
      <c r="F14">
        <f>IF($C14&gt;MAX($C$2:$C13),1,0)</f>
        <v>0</v>
      </c>
      <c r="G14">
        <f t="shared" si="0"/>
        <v>0</v>
      </c>
    </row>
    <row r="15" spans="1:7" x14ac:dyDescent="0.25">
      <c r="A15">
        <v>110.02</v>
      </c>
      <c r="B15">
        <v>145.35</v>
      </c>
      <c r="C15">
        <v>75.959999999999994</v>
      </c>
      <c r="D15">
        <f>IF($A15&gt;MAX($A$2:$A14),1,0)</f>
        <v>0</v>
      </c>
      <c r="E15">
        <f>IF($B15&gt;MAX($B$2:$B14),1,0)</f>
        <v>0</v>
      </c>
      <c r="F15">
        <f>IF($C15&gt;MAX($C$2:$C14),1,0)</f>
        <v>0</v>
      </c>
      <c r="G15">
        <f t="shared" si="0"/>
        <v>0</v>
      </c>
    </row>
    <row r="16" spans="1:7" x14ac:dyDescent="0.25">
      <c r="A16">
        <v>112.45</v>
      </c>
      <c r="B16">
        <v>145.24</v>
      </c>
      <c r="C16">
        <v>78.040000000000006</v>
      </c>
      <c r="D16">
        <f>IF($A16&gt;MAX($A$2:$A15),1,0)</f>
        <v>0</v>
      </c>
      <c r="E16">
        <f>IF($B16&gt;MAX($B$2:$B15),1,0)</f>
        <v>0</v>
      </c>
      <c r="F16">
        <f>IF($C16&gt;MAX($C$2:$C15),1,0)</f>
        <v>1</v>
      </c>
      <c r="G16">
        <f t="shared" si="0"/>
        <v>0</v>
      </c>
    </row>
    <row r="17" spans="1:7" x14ac:dyDescent="0.25">
      <c r="A17">
        <v>110.84</v>
      </c>
      <c r="B17">
        <v>148.19</v>
      </c>
      <c r="C17">
        <v>78.28</v>
      </c>
      <c r="D17">
        <f>IF($A17&gt;MAX($A$2:$A16),1,0)</f>
        <v>0</v>
      </c>
      <c r="E17">
        <f>IF($B17&gt;MAX($B$2:$B16),1,0)</f>
        <v>1</v>
      </c>
      <c r="F17">
        <f>IF($C17&gt;MAX($C$2:$C16),1,0)</f>
        <v>1</v>
      </c>
      <c r="G17">
        <f t="shared" si="0"/>
        <v>1</v>
      </c>
    </row>
    <row r="18" spans="1:7" x14ac:dyDescent="0.25">
      <c r="A18">
        <v>109.06</v>
      </c>
      <c r="B18">
        <v>146.26</v>
      </c>
      <c r="C18">
        <v>79.41</v>
      </c>
      <c r="D18">
        <f>IF($A18&gt;MAX($A$2:$A17),1,0)</f>
        <v>0</v>
      </c>
      <c r="E18">
        <f>IF($B18&gt;MAX($B$2:$B17),1,0)</f>
        <v>0</v>
      </c>
      <c r="F18">
        <f>IF($C18&gt;MAX($C$2:$C17),1,0)</f>
        <v>1</v>
      </c>
      <c r="G18">
        <f t="shared" si="0"/>
        <v>0</v>
      </c>
    </row>
    <row r="19" spans="1:7" x14ac:dyDescent="0.25">
      <c r="A19">
        <v>107.28</v>
      </c>
      <c r="B19">
        <v>144.43</v>
      </c>
      <c r="C19">
        <v>77.45</v>
      </c>
      <c r="D19">
        <f>IF($A19&gt;MAX($A$2:$A18),1,0)</f>
        <v>0</v>
      </c>
      <c r="E19">
        <f>IF($B19&gt;MAX($B$2:$B18),1,0)</f>
        <v>0</v>
      </c>
      <c r="F19">
        <f>IF($C19&gt;MAX($C$2:$C18),1,0)</f>
        <v>0</v>
      </c>
      <c r="G19">
        <f t="shared" si="0"/>
        <v>0</v>
      </c>
    </row>
    <row r="20" spans="1:7" x14ac:dyDescent="0.25">
      <c r="A20">
        <v>108.88</v>
      </c>
      <c r="B20">
        <v>144.19</v>
      </c>
      <c r="C20">
        <v>76.040000000000006</v>
      </c>
      <c r="D20">
        <f>IF($A20&gt;MAX($A$2:$A19),1,0)</f>
        <v>0</v>
      </c>
      <c r="E20">
        <f>IF($B20&gt;MAX($B$2:$B19),1,0)</f>
        <v>0</v>
      </c>
      <c r="F20">
        <f>IF($C20&gt;MAX($C$2:$C19),1,0)</f>
        <v>0</v>
      </c>
      <c r="G20">
        <f t="shared" si="0"/>
        <v>0</v>
      </c>
    </row>
    <row r="21" spans="1:7" x14ac:dyDescent="0.25">
      <c r="A21">
        <v>111.35</v>
      </c>
      <c r="B21">
        <v>142.59</v>
      </c>
      <c r="C21">
        <v>77.11</v>
      </c>
      <c r="D21">
        <f>IF($A21&gt;MAX($A$2:$A20),1,0)</f>
        <v>0</v>
      </c>
      <c r="E21">
        <f>IF($B21&gt;MAX($B$2:$B20),1,0)</f>
        <v>0</v>
      </c>
      <c r="F21">
        <f>IF($C21&gt;MAX($C$2:$C20),1,0)</f>
        <v>0</v>
      </c>
      <c r="G21">
        <f t="shared" si="0"/>
        <v>0</v>
      </c>
    </row>
    <row r="22" spans="1:7" x14ac:dyDescent="0.25">
      <c r="A22">
        <v>112.72</v>
      </c>
      <c r="B22">
        <v>142.33000000000001</v>
      </c>
      <c r="C22">
        <v>78.72</v>
      </c>
      <c r="D22">
        <f>IF($A22&gt;MAX($A$2:$A21),1,0)</f>
        <v>0</v>
      </c>
      <c r="E22">
        <f>IF($B22&gt;MAX($B$2:$B21),1,0)</f>
        <v>0</v>
      </c>
      <c r="F22">
        <f>IF($C22&gt;MAX($C$2:$C21),1,0)</f>
        <v>0</v>
      </c>
      <c r="G22">
        <f t="shared" si="0"/>
        <v>0</v>
      </c>
    </row>
    <row r="23" spans="1:7" x14ac:dyDescent="0.25">
      <c r="A23">
        <v>113.08</v>
      </c>
      <c r="B23">
        <v>141.56</v>
      </c>
      <c r="C23">
        <v>77</v>
      </c>
      <c r="D23">
        <f>IF($A23&gt;MAX($A$2:$A22),1,0)</f>
        <v>0</v>
      </c>
      <c r="E23">
        <f>IF($B23&gt;MAX($B$2:$B22),1,0)</f>
        <v>0</v>
      </c>
      <c r="F23">
        <f>IF($C23&gt;MAX($C$2:$C22),1,0)</f>
        <v>0</v>
      </c>
      <c r="G23">
        <f t="shared" si="0"/>
        <v>0</v>
      </c>
    </row>
    <row r="24" spans="1:7" x14ac:dyDescent="0.25">
      <c r="A24">
        <v>115.28</v>
      </c>
      <c r="B24">
        <v>139.78</v>
      </c>
      <c r="C24">
        <v>79.03</v>
      </c>
      <c r="D24">
        <f>IF($A24&gt;MAX($A$2:$A23),1,0)</f>
        <v>0</v>
      </c>
      <c r="E24">
        <f>IF($B24&gt;MAX($B$2:$B23),1,0)</f>
        <v>0</v>
      </c>
      <c r="F24">
        <f>IF($C24&gt;MAX($C$2:$C23),1,0)</f>
        <v>0</v>
      </c>
      <c r="G24">
        <f t="shared" si="0"/>
        <v>0</v>
      </c>
    </row>
    <row r="25" spans="1:7" x14ac:dyDescent="0.25">
      <c r="A25">
        <v>114.25</v>
      </c>
      <c r="B25">
        <v>142.72</v>
      </c>
      <c r="C25">
        <v>77.540000000000006</v>
      </c>
      <c r="D25">
        <f>IF($A25&gt;MAX($A$2:$A24),1,0)</f>
        <v>0</v>
      </c>
      <c r="E25">
        <f>IF($B25&gt;MAX($B$2:$B24),1,0)</f>
        <v>0</v>
      </c>
      <c r="F25">
        <f>IF($C25&gt;MAX($C$2:$C24),1,0)</f>
        <v>0</v>
      </c>
      <c r="G25">
        <f t="shared" si="0"/>
        <v>0</v>
      </c>
    </row>
    <row r="26" spans="1:7" x14ac:dyDescent="0.25">
      <c r="A26">
        <v>112.65</v>
      </c>
      <c r="B26">
        <v>141.38</v>
      </c>
      <c r="C26">
        <v>76.08</v>
      </c>
      <c r="D26">
        <f>IF($A26&gt;MAX($A$2:$A25),1,0)</f>
        <v>0</v>
      </c>
      <c r="E26">
        <f>IF($B26&gt;MAX($B$2:$B25),1,0)</f>
        <v>0</v>
      </c>
      <c r="F26">
        <f>IF($C26&gt;MAX($C$2:$C25),1,0)</f>
        <v>0</v>
      </c>
      <c r="G26">
        <f t="shared" si="0"/>
        <v>0</v>
      </c>
    </row>
    <row r="27" spans="1:7" x14ac:dyDescent="0.25">
      <c r="A27">
        <v>115.1</v>
      </c>
      <c r="B27">
        <v>141.34</v>
      </c>
      <c r="C27">
        <v>74.11</v>
      </c>
      <c r="D27">
        <f>IF($A27&gt;MAX($A$2:$A26),1,0)</f>
        <v>0</v>
      </c>
      <c r="E27">
        <f>IF($B27&gt;MAX($B$2:$B26),1,0)</f>
        <v>0</v>
      </c>
      <c r="F27">
        <f>IF($C27&gt;MAX($C$2:$C26),1,0)</f>
        <v>0</v>
      </c>
      <c r="G27">
        <f t="shared" si="0"/>
        <v>0</v>
      </c>
    </row>
    <row r="28" spans="1:7" x14ac:dyDescent="0.25">
      <c r="A28">
        <v>116.76</v>
      </c>
      <c r="B28">
        <v>140.87</v>
      </c>
      <c r="C28">
        <v>72.23</v>
      </c>
      <c r="D28">
        <f>IF($A28&gt;MAX($A$2:$A27),1,0)</f>
        <v>0</v>
      </c>
      <c r="E28">
        <f>IF($B28&gt;MAX($B$2:$B27),1,0)</f>
        <v>0</v>
      </c>
      <c r="F28">
        <f>IF($C28&gt;MAX($C$2:$C27),1,0)</f>
        <v>0</v>
      </c>
      <c r="G28">
        <f t="shared" si="0"/>
        <v>0</v>
      </c>
    </row>
    <row r="29" spans="1:7" x14ac:dyDescent="0.25">
      <c r="A29">
        <v>114.96</v>
      </c>
      <c r="B29">
        <v>139.35</v>
      </c>
      <c r="C29">
        <v>72.239999999999995</v>
      </c>
      <c r="D29">
        <f>IF($A29&gt;MAX($A$2:$A28),1,0)</f>
        <v>0</v>
      </c>
      <c r="E29">
        <f>IF($B29&gt;MAX($B$2:$B28),1,0)</f>
        <v>0</v>
      </c>
      <c r="F29">
        <f>IF($C29&gt;MAX($C$2:$C28),1,0)</f>
        <v>0</v>
      </c>
      <c r="G29">
        <f t="shared" si="0"/>
        <v>0</v>
      </c>
    </row>
    <row r="30" spans="1:7" x14ac:dyDescent="0.25">
      <c r="A30">
        <v>113.89</v>
      </c>
      <c r="B30">
        <v>141.87</v>
      </c>
      <c r="C30">
        <v>74.19</v>
      </c>
      <c r="D30">
        <f>IF($A30&gt;MAX($A$2:$A29),1,0)</f>
        <v>0</v>
      </c>
      <c r="E30">
        <f>IF($B30&gt;MAX($B$2:$B29),1,0)</f>
        <v>0</v>
      </c>
      <c r="F30">
        <f>IF($C30&gt;MAX($C$2:$C29),1,0)</f>
        <v>0</v>
      </c>
      <c r="G30">
        <f t="shared" si="0"/>
        <v>0</v>
      </c>
    </row>
    <row r="31" spans="1:7" x14ac:dyDescent="0.25">
      <c r="A31">
        <v>112.77</v>
      </c>
      <c r="B31">
        <v>140.41</v>
      </c>
      <c r="C31">
        <v>75.75</v>
      </c>
      <c r="D31">
        <f>IF($A31&gt;MAX($A$2:$A30),1,0)</f>
        <v>0</v>
      </c>
      <c r="E31">
        <f>IF($B31&gt;MAX($B$2:$B30),1,0)</f>
        <v>0</v>
      </c>
      <c r="F31">
        <f>IF($C31&gt;MAX($C$2:$C30),1,0)</f>
        <v>0</v>
      </c>
      <c r="G31">
        <f t="shared" si="0"/>
        <v>0</v>
      </c>
    </row>
    <row r="32" spans="1:7" x14ac:dyDescent="0.25">
      <c r="A32">
        <v>113.51</v>
      </c>
      <c r="B32">
        <v>138.97999999999999</v>
      </c>
      <c r="C32">
        <v>74.11</v>
      </c>
      <c r="D32">
        <f>IF($A32&gt;MAX($A$2:$A31),1,0)</f>
        <v>0</v>
      </c>
      <c r="E32">
        <f>IF($B32&gt;MAX($B$2:$B31),1,0)</f>
        <v>0</v>
      </c>
      <c r="F32">
        <f>IF($C32&gt;MAX($C$2:$C31),1,0)</f>
        <v>0</v>
      </c>
      <c r="G32">
        <f t="shared" si="0"/>
        <v>0</v>
      </c>
    </row>
    <row r="33" spans="1:7" x14ac:dyDescent="0.25">
      <c r="A33">
        <v>112.2</v>
      </c>
      <c r="B33">
        <v>137.32</v>
      </c>
      <c r="C33">
        <v>74.75</v>
      </c>
      <c r="D33">
        <f>IF($A33&gt;MAX($A$2:$A32),1,0)</f>
        <v>0</v>
      </c>
      <c r="E33">
        <f>IF($B33&gt;MAX($B$2:$B32),1,0)</f>
        <v>0</v>
      </c>
      <c r="F33">
        <f>IF($C33&gt;MAX($C$2:$C32),1,0)</f>
        <v>0</v>
      </c>
      <c r="G33">
        <f t="shared" si="0"/>
        <v>0</v>
      </c>
    </row>
    <row r="34" spans="1:7" x14ac:dyDescent="0.25">
      <c r="A34">
        <v>110.36</v>
      </c>
      <c r="B34">
        <v>136.93</v>
      </c>
      <c r="C34">
        <v>72.89</v>
      </c>
      <c r="D34">
        <f>IF($A34&gt;MAX($A$2:$A33),1,0)</f>
        <v>0</v>
      </c>
      <c r="E34">
        <f>IF($B34&gt;MAX($B$2:$B33),1,0)</f>
        <v>0</v>
      </c>
      <c r="F34">
        <f>IF($C34&gt;MAX($C$2:$C33),1,0)</f>
        <v>0</v>
      </c>
      <c r="G34">
        <f t="shared" si="0"/>
        <v>0</v>
      </c>
    </row>
    <row r="35" spans="1:7" x14ac:dyDescent="0.25">
      <c r="A35">
        <v>112.47</v>
      </c>
      <c r="B35">
        <v>136.37</v>
      </c>
      <c r="C35">
        <v>71.260000000000005</v>
      </c>
      <c r="D35">
        <f>IF($A35&gt;MAX($A$2:$A34),1,0)</f>
        <v>0</v>
      </c>
      <c r="E35">
        <f>IF($B35&gt;MAX($B$2:$B34),1,0)</f>
        <v>0</v>
      </c>
      <c r="F35">
        <f>IF($C35&gt;MAX($C$2:$C34),1,0)</f>
        <v>0</v>
      </c>
      <c r="G35">
        <f t="shared" si="0"/>
        <v>0</v>
      </c>
    </row>
    <row r="36" spans="1:7" x14ac:dyDescent="0.25">
      <c r="A36">
        <v>112.67</v>
      </c>
      <c r="B36">
        <v>136.24</v>
      </c>
      <c r="C36">
        <v>72.92</v>
      </c>
      <c r="D36">
        <f>IF($A36&gt;MAX($A$2:$A35),1,0)</f>
        <v>0</v>
      </c>
      <c r="E36">
        <f>IF($B36&gt;MAX($B$2:$B35),1,0)</f>
        <v>0</v>
      </c>
      <c r="F36">
        <f>IF($C36&gt;MAX($C$2:$C35),1,0)</f>
        <v>0</v>
      </c>
      <c r="G36">
        <f t="shared" si="0"/>
        <v>0</v>
      </c>
    </row>
    <row r="37" spans="1:7" x14ac:dyDescent="0.25">
      <c r="A37">
        <v>111.09</v>
      </c>
      <c r="B37">
        <v>134.69</v>
      </c>
      <c r="C37">
        <v>73.63</v>
      </c>
      <c r="D37">
        <f>IF($A37&gt;MAX($A$2:$A36),1,0)</f>
        <v>0</v>
      </c>
      <c r="E37">
        <f>IF($B37&gt;MAX($B$2:$B36),1,0)</f>
        <v>0</v>
      </c>
      <c r="F37">
        <f>IF($C37&gt;MAX($C$2:$C36),1,0)</f>
        <v>0</v>
      </c>
      <c r="G37">
        <f t="shared" si="0"/>
        <v>0</v>
      </c>
    </row>
    <row r="38" spans="1:7" x14ac:dyDescent="0.25">
      <c r="A38">
        <v>110.06</v>
      </c>
      <c r="B38">
        <v>137.49</v>
      </c>
      <c r="C38">
        <v>72.040000000000006</v>
      </c>
      <c r="D38">
        <f>IF($A38&gt;MAX($A$2:$A37),1,0)</f>
        <v>0</v>
      </c>
      <c r="E38">
        <f>IF($B38&gt;MAX($B$2:$B37),1,0)</f>
        <v>0</v>
      </c>
      <c r="F38">
        <f>IF($C38&gt;MAX($C$2:$C37),1,0)</f>
        <v>0</v>
      </c>
      <c r="G38">
        <f t="shared" si="0"/>
        <v>0</v>
      </c>
    </row>
    <row r="39" spans="1:7" x14ac:dyDescent="0.25">
      <c r="A39">
        <v>111.55</v>
      </c>
      <c r="B39">
        <v>135.69999999999999</v>
      </c>
      <c r="C39">
        <v>70.16</v>
      </c>
      <c r="D39">
        <f>IF($A39&gt;MAX($A$2:$A38),1,0)</f>
        <v>0</v>
      </c>
      <c r="E39">
        <f>IF($B39&gt;MAX($B$2:$B38),1,0)</f>
        <v>0</v>
      </c>
      <c r="F39">
        <f>IF($C39&gt;MAX($C$2:$C38),1,0)</f>
        <v>0</v>
      </c>
      <c r="G39">
        <f t="shared" si="0"/>
        <v>0</v>
      </c>
    </row>
    <row r="40" spans="1:7" x14ac:dyDescent="0.25">
      <c r="A40">
        <v>112.25</v>
      </c>
      <c r="B40">
        <v>134.69</v>
      </c>
      <c r="C40">
        <v>72.239999999999995</v>
      </c>
      <c r="D40">
        <f>IF($A40&gt;MAX($A$2:$A39),1,0)</f>
        <v>0</v>
      </c>
      <c r="E40">
        <f>IF($B40&gt;MAX($B$2:$B39),1,0)</f>
        <v>0</v>
      </c>
      <c r="F40">
        <f>IF($C40&gt;MAX($C$2:$C39),1,0)</f>
        <v>0</v>
      </c>
      <c r="G40">
        <f t="shared" si="0"/>
        <v>0</v>
      </c>
    </row>
    <row r="41" spans="1:7" x14ac:dyDescent="0.25">
      <c r="A41">
        <v>110.59</v>
      </c>
      <c r="B41">
        <v>133.41</v>
      </c>
      <c r="C41">
        <v>70.25</v>
      </c>
      <c r="D41">
        <f>IF($A41&gt;MAX($A$2:$A40),1,0)</f>
        <v>0</v>
      </c>
      <c r="E41">
        <f>IF($B41&gt;MAX($B$2:$B40),1,0)</f>
        <v>0</v>
      </c>
      <c r="F41">
        <f>IF($C41&gt;MAX($C$2:$C40),1,0)</f>
        <v>0</v>
      </c>
      <c r="G41">
        <f t="shared" si="0"/>
        <v>0</v>
      </c>
    </row>
    <row r="42" spans="1:7" x14ac:dyDescent="0.25">
      <c r="A42">
        <v>109.24</v>
      </c>
      <c r="B42">
        <v>136.24</v>
      </c>
      <c r="C42">
        <v>71.67</v>
      </c>
      <c r="D42">
        <f>IF($A42&gt;MAX($A$2:$A41),1,0)</f>
        <v>0</v>
      </c>
      <c r="E42">
        <f>IF($B42&gt;MAX($B$2:$B41),1,0)</f>
        <v>0</v>
      </c>
      <c r="F42">
        <f>IF($C42&gt;MAX($C$2:$C41),1,0)</f>
        <v>0</v>
      </c>
      <c r="G42">
        <f t="shared" si="0"/>
        <v>0</v>
      </c>
    </row>
    <row r="43" spans="1:7" x14ac:dyDescent="0.25">
      <c r="A43">
        <v>107.52</v>
      </c>
      <c r="B43">
        <v>136.22</v>
      </c>
      <c r="C43">
        <v>73.099999999999994</v>
      </c>
      <c r="D43">
        <f>IF($A43&gt;MAX($A$2:$A42),1,0)</f>
        <v>0</v>
      </c>
      <c r="E43">
        <f>IF($B43&gt;MAX($B$2:$B42),1,0)</f>
        <v>0</v>
      </c>
      <c r="F43">
        <f>IF($C43&gt;MAX($C$2:$C42),1,0)</f>
        <v>0</v>
      </c>
      <c r="G43">
        <f t="shared" si="0"/>
        <v>0</v>
      </c>
    </row>
    <row r="44" spans="1:7" x14ac:dyDescent="0.25">
      <c r="A44">
        <v>107.97</v>
      </c>
      <c r="B44">
        <v>135.69999999999999</v>
      </c>
      <c r="C44">
        <v>74.36</v>
      </c>
      <c r="D44">
        <f>IF($A44&gt;MAX($A$2:$A43),1,0)</f>
        <v>0</v>
      </c>
      <c r="E44">
        <f>IF($B44&gt;MAX($B$2:$B43),1,0)</f>
        <v>0</v>
      </c>
      <c r="F44">
        <f>IF($C44&gt;MAX($C$2:$C43),1,0)</f>
        <v>0</v>
      </c>
      <c r="G44">
        <f t="shared" si="0"/>
        <v>0</v>
      </c>
    </row>
    <row r="45" spans="1:7" x14ac:dyDescent="0.25">
      <c r="A45">
        <v>106.54</v>
      </c>
      <c r="B45">
        <v>134.72</v>
      </c>
      <c r="C45">
        <v>72.81</v>
      </c>
      <c r="D45">
        <f>IF($A45&gt;MAX($A$2:$A44),1,0)</f>
        <v>0</v>
      </c>
      <c r="E45">
        <f>IF($B45&gt;MAX($B$2:$B44),1,0)</f>
        <v>0</v>
      </c>
      <c r="F45">
        <f>IF($C45&gt;MAX($C$2:$C44),1,0)</f>
        <v>0</v>
      </c>
      <c r="G45">
        <f t="shared" si="0"/>
        <v>0</v>
      </c>
    </row>
    <row r="46" spans="1:7" x14ac:dyDescent="0.25">
      <c r="A46">
        <v>105.18</v>
      </c>
      <c r="B46">
        <v>133.13</v>
      </c>
      <c r="C46">
        <v>71.02</v>
      </c>
      <c r="D46">
        <f>IF($A46&gt;MAX($A$2:$A45),1,0)</f>
        <v>0</v>
      </c>
      <c r="E46">
        <f>IF($B46&gt;MAX($B$2:$B45),1,0)</f>
        <v>0</v>
      </c>
      <c r="F46">
        <f>IF($C46&gt;MAX($C$2:$C45),1,0)</f>
        <v>0</v>
      </c>
      <c r="G46">
        <f t="shared" si="0"/>
        <v>0</v>
      </c>
    </row>
    <row r="47" spans="1:7" x14ac:dyDescent="0.25">
      <c r="A47">
        <v>103.97</v>
      </c>
      <c r="B47">
        <v>131.47999999999999</v>
      </c>
      <c r="C47">
        <v>72.37</v>
      </c>
      <c r="D47">
        <f>IF($A47&gt;MAX($A$2:$A46),1,0)</f>
        <v>0</v>
      </c>
      <c r="E47">
        <f>IF($B47&gt;MAX($B$2:$B46),1,0)</f>
        <v>0</v>
      </c>
      <c r="F47">
        <f>IF($C47&gt;MAX($C$2:$C46),1,0)</f>
        <v>0</v>
      </c>
      <c r="G47">
        <f t="shared" si="0"/>
        <v>0</v>
      </c>
    </row>
    <row r="48" spans="1:7" x14ac:dyDescent="0.25">
      <c r="A48">
        <v>105.17</v>
      </c>
      <c r="B48">
        <v>131.35</v>
      </c>
      <c r="C48">
        <v>72.58</v>
      </c>
      <c r="D48">
        <f>IF($A48&gt;MAX($A$2:$A47),1,0)</f>
        <v>0</v>
      </c>
      <c r="E48">
        <f>IF($B48&gt;MAX($B$2:$B47),1,0)</f>
        <v>0</v>
      </c>
      <c r="F48">
        <f>IF($C48&gt;MAX($C$2:$C47),1,0)</f>
        <v>0</v>
      </c>
      <c r="G48">
        <f t="shared" si="0"/>
        <v>0</v>
      </c>
    </row>
    <row r="49" spans="1:7" x14ac:dyDescent="0.25">
      <c r="A49">
        <v>106.1</v>
      </c>
      <c r="B49">
        <v>131.19999999999999</v>
      </c>
      <c r="C49">
        <v>70.73</v>
      </c>
      <c r="D49">
        <f>IF($A49&gt;MAX($A$2:$A48),1,0)</f>
        <v>0</v>
      </c>
      <c r="E49">
        <f>IF($B49&gt;MAX($B$2:$B48),1,0)</f>
        <v>0</v>
      </c>
      <c r="F49">
        <f>IF($C49&gt;MAX($C$2:$C48),1,0)</f>
        <v>0</v>
      </c>
      <c r="G49">
        <f t="shared" si="0"/>
        <v>0</v>
      </c>
    </row>
    <row r="50" spans="1:7" x14ac:dyDescent="0.25">
      <c r="A50">
        <v>107.77</v>
      </c>
      <c r="B50">
        <v>130.01</v>
      </c>
      <c r="C50">
        <v>69.03</v>
      </c>
      <c r="D50">
        <f>IF($A50&gt;MAX($A$2:$A49),1,0)</f>
        <v>0</v>
      </c>
      <c r="E50">
        <f>IF($B50&gt;MAX($B$2:$B49),1,0)</f>
        <v>0</v>
      </c>
      <c r="F50">
        <f>IF($C50&gt;MAX($C$2:$C49),1,0)</f>
        <v>0</v>
      </c>
      <c r="G50">
        <f t="shared" si="0"/>
        <v>0</v>
      </c>
    </row>
    <row r="51" spans="1:7" x14ac:dyDescent="0.25">
      <c r="A51">
        <v>108.02</v>
      </c>
      <c r="B51">
        <v>129.72</v>
      </c>
      <c r="C51">
        <v>70</v>
      </c>
      <c r="D51">
        <f>IF($A51&gt;MAX($A$2:$A50),1,0)</f>
        <v>0</v>
      </c>
      <c r="E51">
        <f>IF($B51&gt;MAX($B$2:$B50),1,0)</f>
        <v>0</v>
      </c>
      <c r="F51">
        <f>IF($C51&gt;MAX($C$2:$C50),1,0)</f>
        <v>0</v>
      </c>
      <c r="G51">
        <f t="shared" si="0"/>
        <v>0</v>
      </c>
    </row>
    <row r="52" spans="1:7" x14ac:dyDescent="0.25">
      <c r="A52">
        <v>108.88</v>
      </c>
      <c r="B52">
        <v>128.44999999999999</v>
      </c>
      <c r="C52">
        <v>68.27</v>
      </c>
      <c r="D52">
        <f>IF($A52&gt;MAX($A$2:$A51),1,0)</f>
        <v>0</v>
      </c>
      <c r="E52">
        <f>IF($B52&gt;MAX($B$2:$B51),1,0)</f>
        <v>0</v>
      </c>
      <c r="F52">
        <f>IF($C52&gt;MAX($C$2:$C51),1,0)</f>
        <v>0</v>
      </c>
      <c r="G52">
        <f t="shared" si="0"/>
        <v>0</v>
      </c>
    </row>
    <row r="53" spans="1:7" x14ac:dyDescent="0.25">
      <c r="A53">
        <v>107.26</v>
      </c>
      <c r="B53">
        <v>128.38999999999999</v>
      </c>
      <c r="C53">
        <v>68.97</v>
      </c>
      <c r="D53">
        <f>IF($A53&gt;MAX($A$2:$A52),1,0)</f>
        <v>0</v>
      </c>
      <c r="E53">
        <f>IF($B53&gt;MAX($B$2:$B52),1,0)</f>
        <v>0</v>
      </c>
      <c r="F53">
        <f>IF($C53&gt;MAX($C$2:$C52),1,0)</f>
        <v>0</v>
      </c>
      <c r="G53">
        <f t="shared" si="0"/>
        <v>0</v>
      </c>
    </row>
    <row r="54" spans="1:7" x14ac:dyDescent="0.25">
      <c r="A54">
        <v>106.11</v>
      </c>
      <c r="B54">
        <v>127.62</v>
      </c>
      <c r="C54">
        <v>67.489999999999995</v>
      </c>
      <c r="D54">
        <f>IF($A54&gt;MAX($A$2:$A53),1,0)</f>
        <v>0</v>
      </c>
      <c r="E54">
        <f>IF($B54&gt;MAX($B$2:$B53),1,0)</f>
        <v>0</v>
      </c>
      <c r="F54">
        <f>IF($C54&gt;MAX($C$2:$C53),1,0)</f>
        <v>0</v>
      </c>
      <c r="G54">
        <f t="shared" si="0"/>
        <v>0</v>
      </c>
    </row>
    <row r="55" spans="1:7" x14ac:dyDescent="0.25">
      <c r="A55">
        <v>104.42</v>
      </c>
      <c r="B55">
        <v>127.12</v>
      </c>
      <c r="C55">
        <v>67.790000000000006</v>
      </c>
      <c r="D55">
        <f>IF($A55&gt;MAX($A$2:$A54),1,0)</f>
        <v>0</v>
      </c>
      <c r="E55">
        <f>IF($B55&gt;MAX($B$2:$B54),1,0)</f>
        <v>0</v>
      </c>
      <c r="F55">
        <f>IF($C55&gt;MAX($C$2:$C54),1,0)</f>
        <v>0</v>
      </c>
      <c r="G55">
        <f t="shared" si="0"/>
        <v>0</v>
      </c>
    </row>
    <row r="56" spans="1:7" x14ac:dyDescent="0.25">
      <c r="A56">
        <v>106.04</v>
      </c>
      <c r="B56">
        <v>129.86000000000001</v>
      </c>
      <c r="C56">
        <v>68.91</v>
      </c>
      <c r="D56">
        <f>IF($A56&gt;MAX($A$2:$A55),1,0)</f>
        <v>0</v>
      </c>
      <c r="E56">
        <f>IF($B56&gt;MAX($B$2:$B55),1,0)</f>
        <v>0</v>
      </c>
      <c r="F56">
        <f>IF($C56&gt;MAX($C$2:$C55),1,0)</f>
        <v>0</v>
      </c>
      <c r="G56">
        <f t="shared" si="0"/>
        <v>0</v>
      </c>
    </row>
    <row r="57" spans="1:7" x14ac:dyDescent="0.25">
      <c r="A57">
        <v>108.4</v>
      </c>
      <c r="B57">
        <v>128.13999999999999</v>
      </c>
      <c r="C57">
        <v>69.81</v>
      </c>
      <c r="D57">
        <f>IF($A57&gt;MAX($A$2:$A56),1,0)</f>
        <v>0</v>
      </c>
      <c r="E57">
        <f>IF($B57&gt;MAX($B$2:$B56),1,0)</f>
        <v>0</v>
      </c>
      <c r="F57">
        <f>IF($C57&gt;MAX($C$2:$C56),1,0)</f>
        <v>0</v>
      </c>
      <c r="G57">
        <f t="shared" si="0"/>
        <v>0</v>
      </c>
    </row>
    <row r="58" spans="1:7" x14ac:dyDescent="0.25">
      <c r="A58">
        <v>108.53</v>
      </c>
      <c r="B58">
        <v>127.11</v>
      </c>
      <c r="C58">
        <v>67.84</v>
      </c>
      <c r="D58">
        <f>IF($A58&gt;MAX($A$2:$A57),1,0)</f>
        <v>0</v>
      </c>
      <c r="E58">
        <f>IF($B58&gt;MAX($B$2:$B57),1,0)</f>
        <v>0</v>
      </c>
      <c r="F58">
        <f>IF($C58&gt;MAX($C$2:$C57),1,0)</f>
        <v>0</v>
      </c>
      <c r="G58">
        <f t="shared" si="0"/>
        <v>0</v>
      </c>
    </row>
    <row r="59" spans="1:7" x14ac:dyDescent="0.25">
      <c r="A59">
        <v>109.46</v>
      </c>
      <c r="B59">
        <v>125.12</v>
      </c>
      <c r="C59">
        <v>69.349999999999994</v>
      </c>
      <c r="D59">
        <f>IF($A59&gt;MAX($A$2:$A58),1,0)</f>
        <v>0</v>
      </c>
      <c r="E59">
        <f>IF($B59&gt;MAX($B$2:$B58),1,0)</f>
        <v>0</v>
      </c>
      <c r="F59">
        <f>IF($C59&gt;MAX($C$2:$C58),1,0)</f>
        <v>0</v>
      </c>
      <c r="G59">
        <f t="shared" si="0"/>
        <v>0</v>
      </c>
    </row>
    <row r="60" spans="1:7" x14ac:dyDescent="0.25">
      <c r="A60">
        <v>108.32</v>
      </c>
      <c r="B60">
        <v>123.31</v>
      </c>
      <c r="C60">
        <v>69.709999999999994</v>
      </c>
      <c r="D60">
        <f>IF($A60&gt;MAX($A$2:$A59),1,0)</f>
        <v>0</v>
      </c>
      <c r="E60">
        <f>IF($B60&gt;MAX($B$2:$B59),1,0)</f>
        <v>0</v>
      </c>
      <c r="F60">
        <f>IF($C60&gt;MAX($C$2:$C59),1,0)</f>
        <v>0</v>
      </c>
      <c r="G60">
        <f t="shared" si="0"/>
        <v>0</v>
      </c>
    </row>
    <row r="61" spans="1:7" x14ac:dyDescent="0.25">
      <c r="A61">
        <v>106.32</v>
      </c>
      <c r="B61">
        <v>123.23</v>
      </c>
      <c r="C61">
        <v>67.77</v>
      </c>
      <c r="D61">
        <f>IF($A61&gt;MAX($A$2:$A60),1,0)</f>
        <v>0</v>
      </c>
      <c r="E61">
        <f>IF($B61&gt;MAX($B$2:$B60),1,0)</f>
        <v>0</v>
      </c>
      <c r="F61">
        <f>IF($C61&gt;MAX($C$2:$C60),1,0)</f>
        <v>0</v>
      </c>
      <c r="G61">
        <f t="shared" si="0"/>
        <v>0</v>
      </c>
    </row>
    <row r="62" spans="1:7" x14ac:dyDescent="0.25">
      <c r="A62">
        <v>111.11</v>
      </c>
      <c r="B62">
        <v>126.02</v>
      </c>
      <c r="C62">
        <v>69.61</v>
      </c>
      <c r="D62">
        <f>IF($A62&gt;MAX($A$2:$A61),1,0)</f>
        <v>0</v>
      </c>
      <c r="E62">
        <f>IF($B62&gt;MAX($B$2:$B61),1,0)</f>
        <v>0</v>
      </c>
      <c r="F62">
        <f>IF($C62&gt;MAX($C$2:$C61),1,0)</f>
        <v>0</v>
      </c>
      <c r="G62">
        <f t="shared" si="0"/>
        <v>0</v>
      </c>
    </row>
    <row r="63" spans="1:7" x14ac:dyDescent="0.25">
      <c r="A63">
        <v>112.07</v>
      </c>
      <c r="B63">
        <v>124.34</v>
      </c>
      <c r="C63">
        <v>71.64</v>
      </c>
      <c r="D63">
        <f>IF($A63&gt;MAX($A$2:$A62),1,0)</f>
        <v>0</v>
      </c>
      <c r="E63">
        <f>IF($B63&gt;MAX($B$2:$B62),1,0)</f>
        <v>0</v>
      </c>
      <c r="F63">
        <f>IF($C63&gt;MAX($C$2:$C62),1,0)</f>
        <v>0</v>
      </c>
      <c r="G63">
        <f t="shared" si="0"/>
        <v>0</v>
      </c>
    </row>
    <row r="64" spans="1:7" x14ac:dyDescent="0.25">
      <c r="A64">
        <v>110.42</v>
      </c>
      <c r="B64">
        <v>122.71</v>
      </c>
      <c r="C64">
        <v>73.260000000000005</v>
      </c>
      <c r="D64">
        <f>IF($A64&gt;MAX($A$2:$A63),1,0)</f>
        <v>0</v>
      </c>
      <c r="E64">
        <f>IF($B64&gt;MAX($B$2:$B63),1,0)</f>
        <v>0</v>
      </c>
      <c r="F64">
        <f>IF($C64&gt;MAX($C$2:$C63),1,0)</f>
        <v>0</v>
      </c>
      <c r="G64">
        <f t="shared" si="0"/>
        <v>0</v>
      </c>
    </row>
    <row r="65" spans="1:7" x14ac:dyDescent="0.25">
      <c r="A65">
        <v>108.52</v>
      </c>
      <c r="B65">
        <v>122.53</v>
      </c>
      <c r="C65">
        <v>73.27</v>
      </c>
      <c r="D65">
        <f>IF($A65&gt;MAX($A$2:$A64),1,0)</f>
        <v>0</v>
      </c>
      <c r="E65">
        <f>IF($B65&gt;MAX($B$2:$B64),1,0)</f>
        <v>0</v>
      </c>
      <c r="F65">
        <f>IF($C65&gt;MAX($C$2:$C64),1,0)</f>
        <v>0</v>
      </c>
      <c r="G65">
        <f t="shared" si="0"/>
        <v>0</v>
      </c>
    </row>
    <row r="66" spans="1:7" x14ac:dyDescent="0.25">
      <c r="A66">
        <v>106.63</v>
      </c>
      <c r="B66">
        <v>122.08</v>
      </c>
      <c r="C66">
        <v>74.290000000000006</v>
      </c>
      <c r="D66">
        <f>IF($A66&gt;MAX($A$2:$A65),1,0)</f>
        <v>0</v>
      </c>
      <c r="E66">
        <f>IF($B66&gt;MAX($B$2:$B65),1,0)</f>
        <v>0</v>
      </c>
      <c r="F66">
        <f>IF($C66&gt;MAX($C$2:$C65),1,0)</f>
        <v>0</v>
      </c>
      <c r="G66">
        <f t="shared" si="0"/>
        <v>0</v>
      </c>
    </row>
    <row r="67" spans="1:7" x14ac:dyDescent="0.25">
      <c r="A67">
        <v>107.24</v>
      </c>
      <c r="B67">
        <v>124.82</v>
      </c>
      <c r="C67">
        <v>75.55</v>
      </c>
      <c r="D67">
        <f>IF($A67&gt;MAX($A$2:$A66),1,0)</f>
        <v>0</v>
      </c>
      <c r="E67">
        <f>IF($B67&gt;MAX($B$2:$B66),1,0)</f>
        <v>0</v>
      </c>
      <c r="F67">
        <f>IF($C67&gt;MAX($C$2:$C66),1,0)</f>
        <v>0</v>
      </c>
      <c r="G67">
        <f t="shared" si="0"/>
        <v>0</v>
      </c>
    </row>
    <row r="68" spans="1:7" x14ac:dyDescent="0.25">
      <c r="A68">
        <v>109.24</v>
      </c>
      <c r="B68">
        <v>123.18</v>
      </c>
      <c r="C68">
        <v>76.38</v>
      </c>
      <c r="D68">
        <f>IF($A68&gt;MAX($A$2:$A67),1,0)</f>
        <v>0</v>
      </c>
      <c r="E68">
        <f>IF($B68&gt;MAX($B$2:$B67),1,0)</f>
        <v>0</v>
      </c>
      <c r="F68">
        <f>IF($C68&gt;MAX($C$2:$C67),1,0)</f>
        <v>0</v>
      </c>
      <c r="G68">
        <f t="shared" ref="G68:G131" si="1">IF(SUM(D68:F68)&gt;=2,1,0)</f>
        <v>0</v>
      </c>
    </row>
    <row r="69" spans="1:7" x14ac:dyDescent="0.25">
      <c r="A69">
        <v>108.19</v>
      </c>
      <c r="B69">
        <v>121.65</v>
      </c>
      <c r="C69">
        <v>76.709999999999994</v>
      </c>
      <c r="D69">
        <f>IF($A69&gt;MAX($A$2:$A68),1,0)</f>
        <v>0</v>
      </c>
      <c r="E69">
        <f>IF($B69&gt;MAX($B$2:$B68),1,0)</f>
        <v>0</v>
      </c>
      <c r="F69">
        <f>IF($C69&gt;MAX($C$2:$C68),1,0)</f>
        <v>0</v>
      </c>
      <c r="G69">
        <f t="shared" si="1"/>
        <v>0</v>
      </c>
    </row>
    <row r="70" spans="1:7" x14ac:dyDescent="0.25">
      <c r="A70">
        <v>106.77</v>
      </c>
      <c r="B70">
        <v>120.46</v>
      </c>
      <c r="C70">
        <v>78.13</v>
      </c>
      <c r="D70">
        <f>IF($A70&gt;MAX($A$2:$A69),1,0)</f>
        <v>0</v>
      </c>
      <c r="E70">
        <f>IF($B70&gt;MAX($B$2:$B69),1,0)</f>
        <v>0</v>
      </c>
      <c r="F70">
        <f>IF($C70&gt;MAX($C$2:$C69),1,0)</f>
        <v>0</v>
      </c>
      <c r="G70">
        <f t="shared" si="1"/>
        <v>0</v>
      </c>
    </row>
    <row r="71" spans="1:7" x14ac:dyDescent="0.25">
      <c r="A71">
        <v>107.03</v>
      </c>
      <c r="B71">
        <v>118.94</v>
      </c>
      <c r="C71">
        <v>79.709999999999994</v>
      </c>
      <c r="D71">
        <f>IF($A71&gt;MAX($A$2:$A70),1,0)</f>
        <v>0</v>
      </c>
      <c r="E71">
        <f>IF($B71&gt;MAX($B$2:$B70),1,0)</f>
        <v>0</v>
      </c>
      <c r="F71">
        <f>IF($C71&gt;MAX($C$2:$C70),1,0)</f>
        <v>1</v>
      </c>
      <c r="G71">
        <f t="shared" si="1"/>
        <v>0</v>
      </c>
    </row>
    <row r="72" spans="1:7" x14ac:dyDescent="0.25">
      <c r="A72">
        <v>107.42</v>
      </c>
      <c r="B72">
        <v>121.35</v>
      </c>
      <c r="C72">
        <v>81.349999999999994</v>
      </c>
      <c r="D72">
        <f>IF($A72&gt;MAX($A$2:$A71),1,0)</f>
        <v>0</v>
      </c>
      <c r="E72">
        <f>IF($B72&gt;MAX($B$2:$B71),1,0)</f>
        <v>0</v>
      </c>
      <c r="F72">
        <f>IF($C72&gt;MAX($C$2:$C71),1,0)</f>
        <v>1</v>
      </c>
      <c r="G72">
        <f t="shared" si="1"/>
        <v>0</v>
      </c>
    </row>
    <row r="73" spans="1:7" x14ac:dyDescent="0.25">
      <c r="A73">
        <v>106.16</v>
      </c>
      <c r="B73">
        <v>119.53</v>
      </c>
      <c r="C73">
        <v>79.41</v>
      </c>
      <c r="D73">
        <f>IF($A73&gt;MAX($A$2:$A72),1,0)</f>
        <v>0</v>
      </c>
      <c r="E73">
        <f>IF($B73&gt;MAX($B$2:$B72),1,0)</f>
        <v>0</v>
      </c>
      <c r="F73">
        <f>IF($C73&gt;MAX($C$2:$C72),1,0)</f>
        <v>0</v>
      </c>
      <c r="G73">
        <f t="shared" si="1"/>
        <v>0</v>
      </c>
    </row>
    <row r="74" spans="1:7" x14ac:dyDescent="0.25">
      <c r="A74">
        <v>108.3</v>
      </c>
      <c r="B74">
        <v>122.07</v>
      </c>
      <c r="C74">
        <v>77.7</v>
      </c>
      <c r="D74">
        <f>IF($A74&gt;MAX($A$2:$A73),1,0)</f>
        <v>0</v>
      </c>
      <c r="E74">
        <f>IF($B74&gt;MAX($B$2:$B73),1,0)</f>
        <v>0</v>
      </c>
      <c r="F74">
        <f>IF($C74&gt;MAX($C$2:$C73),1,0)</f>
        <v>0</v>
      </c>
      <c r="G74">
        <f t="shared" si="1"/>
        <v>0</v>
      </c>
    </row>
    <row r="75" spans="1:7" x14ac:dyDescent="0.25">
      <c r="A75">
        <v>106.46</v>
      </c>
      <c r="B75">
        <v>121.46</v>
      </c>
      <c r="C75">
        <v>78.58</v>
      </c>
      <c r="D75">
        <f>IF($A75&gt;MAX($A$2:$A74),1,0)</f>
        <v>0</v>
      </c>
      <c r="E75">
        <f>IF($B75&gt;MAX($B$2:$B74),1,0)</f>
        <v>0</v>
      </c>
      <c r="F75">
        <f>IF($C75&gt;MAX($C$2:$C74),1,0)</f>
        <v>0</v>
      </c>
      <c r="G75">
        <f t="shared" si="1"/>
        <v>0</v>
      </c>
    </row>
    <row r="76" spans="1:7" x14ac:dyDescent="0.25">
      <c r="A76">
        <v>108.61</v>
      </c>
      <c r="B76">
        <v>121.05</v>
      </c>
      <c r="C76">
        <v>77.02</v>
      </c>
      <c r="D76">
        <f>IF($A76&gt;MAX($A$2:$A75),1,0)</f>
        <v>0</v>
      </c>
      <c r="E76">
        <f>IF($B76&gt;MAX($B$2:$B75),1,0)</f>
        <v>0</v>
      </c>
      <c r="F76">
        <f>IF($C76&gt;MAX($C$2:$C75),1,0)</f>
        <v>0</v>
      </c>
      <c r="G76">
        <f t="shared" si="1"/>
        <v>0</v>
      </c>
    </row>
    <row r="77" spans="1:7" x14ac:dyDescent="0.25">
      <c r="A77">
        <v>107.56</v>
      </c>
      <c r="B77">
        <v>119.15</v>
      </c>
      <c r="C77">
        <v>75.13</v>
      </c>
      <c r="D77">
        <f>IF($A77&gt;MAX($A$2:$A76),1,0)</f>
        <v>0</v>
      </c>
      <c r="E77">
        <f>IF($B77&gt;MAX($B$2:$B76),1,0)</f>
        <v>0</v>
      </c>
      <c r="F77">
        <f>IF($C77&gt;MAX($C$2:$C76),1,0)</f>
        <v>0</v>
      </c>
      <c r="G77">
        <f t="shared" si="1"/>
        <v>0</v>
      </c>
    </row>
    <row r="78" spans="1:7" x14ac:dyDescent="0.25">
      <c r="A78">
        <v>109.68</v>
      </c>
      <c r="B78">
        <v>117.48</v>
      </c>
      <c r="C78">
        <v>73.45</v>
      </c>
      <c r="D78">
        <f>IF($A78&gt;MAX($A$2:$A77),1,0)</f>
        <v>0</v>
      </c>
      <c r="E78">
        <f>IF($B78&gt;MAX($B$2:$B77),1,0)</f>
        <v>0</v>
      </c>
      <c r="F78">
        <f>IF($C78&gt;MAX($C$2:$C77),1,0)</f>
        <v>0</v>
      </c>
      <c r="G78">
        <f t="shared" si="1"/>
        <v>0</v>
      </c>
    </row>
    <row r="79" spans="1:7" x14ac:dyDescent="0.25">
      <c r="A79">
        <v>107.87</v>
      </c>
      <c r="B79">
        <v>120.35</v>
      </c>
      <c r="C79">
        <v>71.930000000000007</v>
      </c>
      <c r="D79">
        <f>IF($A79&gt;MAX($A$2:$A78),1,0)</f>
        <v>0</v>
      </c>
      <c r="E79">
        <f>IF($B79&gt;MAX($B$2:$B78),1,0)</f>
        <v>0</v>
      </c>
      <c r="F79">
        <f>IF($C79&gt;MAX($C$2:$C78),1,0)</f>
        <v>0</v>
      </c>
      <c r="G79">
        <f t="shared" si="1"/>
        <v>0</v>
      </c>
    </row>
    <row r="80" spans="1:7" x14ac:dyDescent="0.25">
      <c r="A80">
        <v>106.41</v>
      </c>
      <c r="B80">
        <v>119.66</v>
      </c>
      <c r="C80">
        <v>72.959999999999994</v>
      </c>
      <c r="D80">
        <f>IF($A80&gt;MAX($A$2:$A79),1,0)</f>
        <v>0</v>
      </c>
      <c r="E80">
        <f>IF($B80&gt;MAX($B$2:$B79),1,0)</f>
        <v>0</v>
      </c>
      <c r="F80">
        <f>IF($C80&gt;MAX($C$2:$C79),1,0)</f>
        <v>0</v>
      </c>
      <c r="G80">
        <f t="shared" si="1"/>
        <v>0</v>
      </c>
    </row>
    <row r="81" spans="1:7" x14ac:dyDescent="0.25">
      <c r="A81">
        <v>106.92</v>
      </c>
      <c r="B81">
        <v>117.79</v>
      </c>
      <c r="C81">
        <v>74.28</v>
      </c>
      <c r="D81">
        <f>IF($A81&gt;MAX($A$2:$A80),1,0)</f>
        <v>0</v>
      </c>
      <c r="E81">
        <f>IF($B81&gt;MAX($B$2:$B80),1,0)</f>
        <v>0</v>
      </c>
      <c r="F81">
        <f>IF($C81&gt;MAX($C$2:$C80),1,0)</f>
        <v>0</v>
      </c>
      <c r="G81">
        <f t="shared" si="1"/>
        <v>0</v>
      </c>
    </row>
    <row r="82" spans="1:7" x14ac:dyDescent="0.25">
      <c r="A82">
        <v>105.03</v>
      </c>
      <c r="B82">
        <v>116.78</v>
      </c>
      <c r="C82">
        <v>75.78</v>
      </c>
      <c r="D82">
        <f>IF($A82&gt;MAX($A$2:$A81),1,0)</f>
        <v>0</v>
      </c>
      <c r="E82">
        <f>IF($B82&gt;MAX($B$2:$B81),1,0)</f>
        <v>0</v>
      </c>
      <c r="F82">
        <f>IF($C82&gt;MAX($C$2:$C81),1,0)</f>
        <v>0</v>
      </c>
      <c r="G82">
        <f t="shared" si="1"/>
        <v>0</v>
      </c>
    </row>
    <row r="83" spans="1:7" x14ac:dyDescent="0.25">
      <c r="A83">
        <v>103.36</v>
      </c>
      <c r="B83">
        <v>115.69</v>
      </c>
      <c r="C83">
        <v>76.88</v>
      </c>
      <c r="D83">
        <f>IF($A83&gt;MAX($A$2:$A82),1,0)</f>
        <v>0</v>
      </c>
      <c r="E83">
        <f>IF($B83&gt;MAX($B$2:$B82),1,0)</f>
        <v>0</v>
      </c>
      <c r="F83">
        <f>IF($C83&gt;MAX($C$2:$C82),1,0)</f>
        <v>0</v>
      </c>
      <c r="G83">
        <f t="shared" si="1"/>
        <v>0</v>
      </c>
    </row>
    <row r="84" spans="1:7" x14ac:dyDescent="0.25">
      <c r="A84">
        <v>103.78</v>
      </c>
      <c r="B84">
        <v>114.43</v>
      </c>
      <c r="C84">
        <v>77.36</v>
      </c>
      <c r="D84">
        <f>IF($A84&gt;MAX($A$2:$A83),1,0)</f>
        <v>0</v>
      </c>
      <c r="E84">
        <f>IF($B84&gt;MAX($B$2:$B83),1,0)</f>
        <v>0</v>
      </c>
      <c r="F84">
        <f>IF($C84&gt;MAX($C$2:$C83),1,0)</f>
        <v>0</v>
      </c>
      <c r="G84">
        <f t="shared" si="1"/>
        <v>0</v>
      </c>
    </row>
    <row r="85" spans="1:7" x14ac:dyDescent="0.25">
      <c r="A85">
        <v>103.98</v>
      </c>
      <c r="B85">
        <v>116.98</v>
      </c>
      <c r="C85">
        <v>75.790000000000006</v>
      </c>
      <c r="D85">
        <f>IF($A85&gt;MAX($A$2:$A84),1,0)</f>
        <v>0</v>
      </c>
      <c r="E85">
        <f>IF($B85&gt;MAX($B$2:$B84),1,0)</f>
        <v>0</v>
      </c>
      <c r="F85">
        <f>IF($C85&gt;MAX($C$2:$C84),1,0)</f>
        <v>0</v>
      </c>
      <c r="G85">
        <f t="shared" si="1"/>
        <v>0</v>
      </c>
    </row>
    <row r="86" spans="1:7" x14ac:dyDescent="0.25">
      <c r="A86">
        <v>102.21</v>
      </c>
      <c r="B86">
        <v>115.16</v>
      </c>
      <c r="C86">
        <v>77.34</v>
      </c>
      <c r="D86">
        <f>IF($A86&gt;MAX($A$2:$A85),1,0)</f>
        <v>0</v>
      </c>
      <c r="E86">
        <f>IF($B86&gt;MAX($B$2:$B85),1,0)</f>
        <v>0</v>
      </c>
      <c r="F86">
        <f>IF($C86&gt;MAX($C$2:$C85),1,0)</f>
        <v>0</v>
      </c>
      <c r="G86">
        <f t="shared" si="1"/>
        <v>0</v>
      </c>
    </row>
    <row r="87" spans="1:7" x14ac:dyDescent="0.25">
      <c r="A87">
        <v>100.65</v>
      </c>
      <c r="B87">
        <v>117.73</v>
      </c>
      <c r="C87">
        <v>79.17</v>
      </c>
      <c r="D87">
        <f>IF($A87&gt;MAX($A$2:$A86),1,0)</f>
        <v>0</v>
      </c>
      <c r="E87">
        <f>IF($B87&gt;MAX($B$2:$B86),1,0)</f>
        <v>0</v>
      </c>
      <c r="F87">
        <f>IF($C87&gt;MAX($C$2:$C86),1,0)</f>
        <v>0</v>
      </c>
      <c r="G87">
        <f t="shared" si="1"/>
        <v>0</v>
      </c>
    </row>
    <row r="88" spans="1:7" x14ac:dyDescent="0.25">
      <c r="A88">
        <v>99.64</v>
      </c>
      <c r="B88">
        <v>116.14</v>
      </c>
      <c r="C88">
        <v>80.760000000000005</v>
      </c>
      <c r="D88">
        <f>IF($A88&gt;MAX($A$2:$A87),1,0)</f>
        <v>0</v>
      </c>
      <c r="E88">
        <f>IF($B88&gt;MAX($B$2:$B87),1,0)</f>
        <v>0</v>
      </c>
      <c r="F88">
        <f>IF($C88&gt;MAX($C$2:$C87),1,0)</f>
        <v>0</v>
      </c>
      <c r="G88">
        <f t="shared" si="1"/>
        <v>0</v>
      </c>
    </row>
    <row r="89" spans="1:7" x14ac:dyDescent="0.25">
      <c r="A89">
        <v>101.26</v>
      </c>
      <c r="B89">
        <v>114.52</v>
      </c>
      <c r="C89">
        <v>79.02</v>
      </c>
      <c r="D89">
        <f>IF($A89&gt;MAX($A$2:$A88),1,0)</f>
        <v>0</v>
      </c>
      <c r="E89">
        <f>IF($B89&gt;MAX($B$2:$B88),1,0)</f>
        <v>0</v>
      </c>
      <c r="F89">
        <f>IF($C89&gt;MAX($C$2:$C88),1,0)</f>
        <v>0</v>
      </c>
      <c r="G89">
        <f t="shared" si="1"/>
        <v>0</v>
      </c>
    </row>
    <row r="90" spans="1:7" x14ac:dyDescent="0.25">
      <c r="A90">
        <v>102.85</v>
      </c>
      <c r="B90">
        <v>117.04</v>
      </c>
      <c r="C90">
        <v>79.25</v>
      </c>
      <c r="D90">
        <f>IF($A90&gt;MAX($A$2:$A89),1,0)</f>
        <v>0</v>
      </c>
      <c r="E90">
        <f>IF($B90&gt;MAX($B$2:$B89),1,0)</f>
        <v>0</v>
      </c>
      <c r="F90">
        <f>IF($C90&gt;MAX($C$2:$C89),1,0)</f>
        <v>0</v>
      </c>
      <c r="G90">
        <f t="shared" si="1"/>
        <v>0</v>
      </c>
    </row>
    <row r="91" spans="1:7" x14ac:dyDescent="0.25">
      <c r="A91">
        <v>101.59</v>
      </c>
      <c r="B91">
        <v>116.49</v>
      </c>
      <c r="C91">
        <v>80.260000000000005</v>
      </c>
      <c r="D91">
        <f>IF($A91&gt;MAX($A$2:$A90),1,0)</f>
        <v>0</v>
      </c>
      <c r="E91">
        <f>IF($B91&gt;MAX($B$2:$B90),1,0)</f>
        <v>0</v>
      </c>
      <c r="F91">
        <f>IF($C91&gt;MAX($C$2:$C90),1,0)</f>
        <v>0</v>
      </c>
      <c r="G91">
        <f t="shared" si="1"/>
        <v>0</v>
      </c>
    </row>
    <row r="92" spans="1:7" x14ac:dyDescent="0.25">
      <c r="A92">
        <v>102.13</v>
      </c>
      <c r="B92">
        <v>115.06</v>
      </c>
      <c r="C92">
        <v>81.260000000000005</v>
      </c>
      <c r="D92">
        <f>IF($A92&gt;MAX($A$2:$A91),1,0)</f>
        <v>0</v>
      </c>
      <c r="E92">
        <f>IF($B92&gt;MAX($B$2:$B91),1,0)</f>
        <v>0</v>
      </c>
      <c r="F92">
        <f>IF($C92&gt;MAX($C$2:$C91),1,0)</f>
        <v>0</v>
      </c>
      <c r="G92">
        <f t="shared" si="1"/>
        <v>0</v>
      </c>
    </row>
    <row r="93" spans="1:7" x14ac:dyDescent="0.25">
      <c r="A93">
        <v>100.74</v>
      </c>
      <c r="B93">
        <v>117.47</v>
      </c>
      <c r="C93">
        <v>81.64</v>
      </c>
      <c r="D93">
        <f>IF($A93&gt;MAX($A$2:$A92),1,0)</f>
        <v>0</v>
      </c>
      <c r="E93">
        <f>IF($B93&gt;MAX($B$2:$B92),1,0)</f>
        <v>0</v>
      </c>
      <c r="F93">
        <f>IF($C93&gt;MAX($C$2:$C92),1,0)</f>
        <v>1</v>
      </c>
      <c r="G93">
        <f t="shared" si="1"/>
        <v>0</v>
      </c>
    </row>
    <row r="94" spans="1:7" x14ac:dyDescent="0.25">
      <c r="A94">
        <v>99.12</v>
      </c>
      <c r="B94">
        <v>120.19</v>
      </c>
      <c r="C94">
        <v>79.849999999999994</v>
      </c>
      <c r="D94">
        <f>IF($A94&gt;MAX($A$2:$A93),1,0)</f>
        <v>0</v>
      </c>
      <c r="E94">
        <f>IF($B94&gt;MAX($B$2:$B93),1,0)</f>
        <v>0</v>
      </c>
      <c r="F94">
        <f>IF($C94&gt;MAX($C$2:$C93),1,0)</f>
        <v>0</v>
      </c>
      <c r="G94">
        <f t="shared" si="1"/>
        <v>0</v>
      </c>
    </row>
    <row r="95" spans="1:7" x14ac:dyDescent="0.25">
      <c r="A95">
        <v>99.13</v>
      </c>
      <c r="B95">
        <v>122.89</v>
      </c>
      <c r="C95">
        <v>81.540000000000006</v>
      </c>
      <c r="D95">
        <f>IF($A95&gt;MAX($A$2:$A94),1,0)</f>
        <v>0</v>
      </c>
      <c r="E95">
        <f>IF($B95&gt;MAX($B$2:$B94),1,0)</f>
        <v>0</v>
      </c>
      <c r="F95">
        <f>IF($C95&gt;MAX($C$2:$C94),1,0)</f>
        <v>0</v>
      </c>
      <c r="G95">
        <f t="shared" si="1"/>
        <v>0</v>
      </c>
    </row>
    <row r="96" spans="1:7" x14ac:dyDescent="0.25">
      <c r="A96">
        <v>99.6</v>
      </c>
      <c r="B96">
        <v>122.61</v>
      </c>
      <c r="C96">
        <v>79.87</v>
      </c>
      <c r="D96">
        <f>IF($A96&gt;MAX($A$2:$A95),1,0)</f>
        <v>0</v>
      </c>
      <c r="E96">
        <f>IF($B96&gt;MAX($B$2:$B95),1,0)</f>
        <v>0</v>
      </c>
      <c r="F96">
        <f>IF($C96&gt;MAX($C$2:$C95),1,0)</f>
        <v>0</v>
      </c>
      <c r="G96">
        <f t="shared" si="1"/>
        <v>0</v>
      </c>
    </row>
    <row r="97" spans="1:7" x14ac:dyDescent="0.25">
      <c r="A97">
        <v>98.53</v>
      </c>
      <c r="B97">
        <v>122.59</v>
      </c>
      <c r="C97">
        <v>80</v>
      </c>
      <c r="D97">
        <f>IF($A97&gt;MAX($A$2:$A96),1,0)</f>
        <v>0</v>
      </c>
      <c r="E97">
        <f>IF($B97&gt;MAX($B$2:$B96),1,0)</f>
        <v>0</v>
      </c>
      <c r="F97">
        <f>IF($C97&gt;MAX($C$2:$C96),1,0)</f>
        <v>0</v>
      </c>
      <c r="G97">
        <f t="shared" si="1"/>
        <v>0</v>
      </c>
    </row>
    <row r="98" spans="1:7" x14ac:dyDescent="0.25">
      <c r="A98">
        <v>98.74</v>
      </c>
      <c r="B98">
        <v>125.49</v>
      </c>
      <c r="C98">
        <v>81.010000000000005</v>
      </c>
      <c r="D98">
        <f>IF($A98&gt;MAX($A$2:$A97),1,0)</f>
        <v>0</v>
      </c>
      <c r="E98">
        <f>IF($B98&gt;MAX($B$2:$B97),1,0)</f>
        <v>0</v>
      </c>
      <c r="F98">
        <f>IF($C98&gt;MAX($C$2:$C97),1,0)</f>
        <v>0</v>
      </c>
      <c r="G98">
        <f t="shared" si="1"/>
        <v>0</v>
      </c>
    </row>
    <row r="99" spans="1:7" x14ac:dyDescent="0.25">
      <c r="A99">
        <v>98.96</v>
      </c>
      <c r="B99">
        <v>127.95</v>
      </c>
      <c r="C99">
        <v>79.17</v>
      </c>
      <c r="D99">
        <f>IF($A99&gt;MAX($A$2:$A98),1,0)</f>
        <v>0</v>
      </c>
      <c r="E99">
        <f>IF($B99&gt;MAX($B$2:$B98),1,0)</f>
        <v>0</v>
      </c>
      <c r="F99">
        <f>IF($C99&gt;MAX($C$2:$C98),1,0)</f>
        <v>0</v>
      </c>
      <c r="G99">
        <f t="shared" si="1"/>
        <v>0</v>
      </c>
    </row>
    <row r="100" spans="1:7" x14ac:dyDescent="0.25">
      <c r="A100">
        <v>97.74</v>
      </c>
      <c r="B100">
        <v>126.34</v>
      </c>
      <c r="C100">
        <v>80.290000000000006</v>
      </c>
      <c r="D100">
        <f>IF($A100&gt;MAX($A$2:$A99),1,0)</f>
        <v>0</v>
      </c>
      <c r="E100">
        <f>IF($B100&gt;MAX($B$2:$B99),1,0)</f>
        <v>0</v>
      </c>
      <c r="F100">
        <f>IF($C100&gt;MAX($C$2:$C99),1,0)</f>
        <v>0</v>
      </c>
      <c r="G100">
        <f t="shared" si="1"/>
        <v>0</v>
      </c>
    </row>
    <row r="101" spans="1:7" x14ac:dyDescent="0.25">
      <c r="A101">
        <v>95.84</v>
      </c>
      <c r="B101">
        <v>128.94</v>
      </c>
      <c r="C101">
        <v>81.599999999999994</v>
      </c>
      <c r="D101">
        <f>IF($A101&gt;MAX($A$2:$A100),1,0)</f>
        <v>0</v>
      </c>
      <c r="E101">
        <f>IF($B101&gt;MAX($B$2:$B100),1,0)</f>
        <v>0</v>
      </c>
      <c r="F101">
        <f>IF($C101&gt;MAX($C$2:$C100),1,0)</f>
        <v>0</v>
      </c>
      <c r="G101">
        <f t="shared" si="1"/>
        <v>0</v>
      </c>
    </row>
    <row r="102" spans="1:7" x14ac:dyDescent="0.25">
      <c r="A102">
        <v>94.12</v>
      </c>
      <c r="B102">
        <v>131.63999999999999</v>
      </c>
      <c r="C102">
        <v>82.75</v>
      </c>
      <c r="D102">
        <f>IF($A102&gt;MAX($A$2:$A101),1,0)</f>
        <v>0</v>
      </c>
      <c r="E102">
        <f>IF($B102&gt;MAX($B$2:$B101),1,0)</f>
        <v>0</v>
      </c>
      <c r="F102">
        <f>IF($C102&gt;MAX($C$2:$C101),1,0)</f>
        <v>1</v>
      </c>
      <c r="G102">
        <f t="shared" si="1"/>
        <v>0</v>
      </c>
    </row>
    <row r="103" spans="1:7" x14ac:dyDescent="0.25">
      <c r="A103">
        <v>92.92</v>
      </c>
      <c r="B103">
        <v>134.62</v>
      </c>
      <c r="C103">
        <v>83.09</v>
      </c>
      <c r="D103">
        <f>IF($A103&gt;MAX($A$2:$A102),1,0)</f>
        <v>0</v>
      </c>
      <c r="E103">
        <f>IF($B103&gt;MAX($B$2:$B102),1,0)</f>
        <v>0</v>
      </c>
      <c r="F103">
        <f>IF($C103&gt;MAX($C$2:$C102),1,0)</f>
        <v>1</v>
      </c>
      <c r="G103">
        <f t="shared" si="1"/>
        <v>0</v>
      </c>
    </row>
    <row r="104" spans="1:7" x14ac:dyDescent="0.25">
      <c r="A104">
        <v>91.81</v>
      </c>
      <c r="B104">
        <v>134.53</v>
      </c>
      <c r="C104">
        <v>84.09</v>
      </c>
      <c r="D104">
        <f>IF($A104&gt;MAX($A$2:$A103),1,0)</f>
        <v>0</v>
      </c>
      <c r="E104">
        <f>IF($B104&gt;MAX($B$2:$B103),1,0)</f>
        <v>0</v>
      </c>
      <c r="F104">
        <f>IF($C104&gt;MAX($C$2:$C103),1,0)</f>
        <v>1</v>
      </c>
      <c r="G104">
        <f t="shared" si="1"/>
        <v>0</v>
      </c>
    </row>
    <row r="105" spans="1:7" x14ac:dyDescent="0.25">
      <c r="A105">
        <v>90.67</v>
      </c>
      <c r="B105">
        <v>137.36000000000001</v>
      </c>
      <c r="C105">
        <v>85.17</v>
      </c>
      <c r="D105">
        <f>IF($A105&gt;MAX($A$2:$A104),1,0)</f>
        <v>0</v>
      </c>
      <c r="E105">
        <f>IF($B105&gt;MAX($B$2:$B104),1,0)</f>
        <v>0</v>
      </c>
      <c r="F105">
        <f>IF($C105&gt;MAX($C$2:$C104),1,0)</f>
        <v>1</v>
      </c>
      <c r="G105">
        <f t="shared" si="1"/>
        <v>0</v>
      </c>
    </row>
    <row r="106" spans="1:7" x14ac:dyDescent="0.25">
      <c r="A106">
        <v>89</v>
      </c>
      <c r="B106">
        <v>136.86000000000001</v>
      </c>
      <c r="C106">
        <v>86</v>
      </c>
      <c r="D106">
        <f>IF($A106&gt;MAX($A$2:$A105),1,0)</f>
        <v>0</v>
      </c>
      <c r="E106">
        <f>IF($B106&gt;MAX($B$2:$B105),1,0)</f>
        <v>0</v>
      </c>
      <c r="F106">
        <f>IF($C106&gt;MAX($C$2:$C105),1,0)</f>
        <v>1</v>
      </c>
      <c r="G106">
        <f t="shared" si="1"/>
        <v>0</v>
      </c>
    </row>
    <row r="107" spans="1:7" x14ac:dyDescent="0.25">
      <c r="A107">
        <v>91.41</v>
      </c>
      <c r="B107">
        <v>136.07</v>
      </c>
      <c r="C107">
        <v>84.14</v>
      </c>
      <c r="D107">
        <f>IF($A107&gt;MAX($A$2:$A106),1,0)</f>
        <v>0</v>
      </c>
      <c r="E107">
        <f>IF($B107&gt;MAX($B$2:$B106),1,0)</f>
        <v>0</v>
      </c>
      <c r="F107">
        <f>IF($C107&gt;MAX($C$2:$C106),1,0)</f>
        <v>0</v>
      </c>
      <c r="G107">
        <f t="shared" si="1"/>
        <v>0</v>
      </c>
    </row>
    <row r="108" spans="1:7" x14ac:dyDescent="0.25">
      <c r="A108">
        <v>89.57</v>
      </c>
      <c r="B108">
        <v>134.57</v>
      </c>
      <c r="C108">
        <v>86.19</v>
      </c>
      <c r="D108">
        <f>IF($A108&gt;MAX($A$2:$A107),1,0)</f>
        <v>0</v>
      </c>
      <c r="E108">
        <f>IF($B108&gt;MAX($B$2:$B107),1,0)</f>
        <v>0</v>
      </c>
      <c r="F108">
        <f>IF($C108&gt;MAX($C$2:$C107),1,0)</f>
        <v>1</v>
      </c>
      <c r="G108">
        <f t="shared" si="1"/>
        <v>0</v>
      </c>
    </row>
    <row r="109" spans="1:7" x14ac:dyDescent="0.25">
      <c r="A109">
        <v>87.61</v>
      </c>
      <c r="B109">
        <v>134.38</v>
      </c>
      <c r="C109">
        <v>86.34</v>
      </c>
      <c r="D109">
        <f>IF($A109&gt;MAX($A$2:$A108),1,0)</f>
        <v>0</v>
      </c>
      <c r="E109">
        <f>IF($B109&gt;MAX($B$2:$B108),1,0)</f>
        <v>0</v>
      </c>
      <c r="F109">
        <f>IF($C109&gt;MAX($C$2:$C108),1,0)</f>
        <v>1</v>
      </c>
      <c r="G109">
        <f t="shared" si="1"/>
        <v>0</v>
      </c>
    </row>
    <row r="110" spans="1:7" x14ac:dyDescent="0.25">
      <c r="A110">
        <v>86.05</v>
      </c>
      <c r="B110">
        <v>132.80000000000001</v>
      </c>
      <c r="C110">
        <v>87.75</v>
      </c>
      <c r="D110">
        <f>IF($A110&gt;MAX($A$2:$A109),1,0)</f>
        <v>0</v>
      </c>
      <c r="E110">
        <f>IF($B110&gt;MAX($B$2:$B109),1,0)</f>
        <v>0</v>
      </c>
      <c r="F110">
        <f>IF($C110&gt;MAX($C$2:$C109),1,0)</f>
        <v>1</v>
      </c>
      <c r="G110">
        <f t="shared" si="1"/>
        <v>0</v>
      </c>
    </row>
    <row r="111" spans="1:7" x14ac:dyDescent="0.25">
      <c r="A111">
        <v>84.74</v>
      </c>
      <c r="B111">
        <v>131.24</v>
      </c>
      <c r="C111">
        <v>86.13</v>
      </c>
      <c r="D111">
        <f>IF($A111&gt;MAX($A$2:$A110),1,0)</f>
        <v>0</v>
      </c>
      <c r="E111">
        <f>IF($B111&gt;MAX($B$2:$B110),1,0)</f>
        <v>0</v>
      </c>
      <c r="F111">
        <f>IF($C111&gt;MAX($C$2:$C110),1,0)</f>
        <v>0</v>
      </c>
      <c r="G111">
        <f t="shared" si="1"/>
        <v>0</v>
      </c>
    </row>
    <row r="112" spans="1:7" x14ac:dyDescent="0.25">
      <c r="A112">
        <v>82.99</v>
      </c>
      <c r="B112">
        <v>129.4</v>
      </c>
      <c r="C112">
        <v>87.39</v>
      </c>
      <c r="D112">
        <f>IF($A112&gt;MAX($A$2:$A111),1,0)</f>
        <v>0</v>
      </c>
      <c r="E112">
        <f>IF($B112&gt;MAX($B$2:$B111),1,0)</f>
        <v>0</v>
      </c>
      <c r="F112">
        <f>IF($C112&gt;MAX($C$2:$C111),1,0)</f>
        <v>0</v>
      </c>
      <c r="G112">
        <f t="shared" si="1"/>
        <v>0</v>
      </c>
    </row>
    <row r="113" spans="1:7" x14ac:dyDescent="0.25">
      <c r="A113">
        <v>83.24</v>
      </c>
      <c r="B113">
        <v>128.88999999999999</v>
      </c>
      <c r="C113">
        <v>88.8</v>
      </c>
      <c r="D113">
        <f>IF($A113&gt;MAX($A$2:$A112),1,0)</f>
        <v>0</v>
      </c>
      <c r="E113">
        <f>IF($B113&gt;MAX($B$2:$B112),1,0)</f>
        <v>0</v>
      </c>
      <c r="F113">
        <f>IF($C113&gt;MAX($C$2:$C112),1,0)</f>
        <v>1</v>
      </c>
      <c r="G113">
        <f t="shared" si="1"/>
        <v>0</v>
      </c>
    </row>
    <row r="114" spans="1:7" x14ac:dyDescent="0.25">
      <c r="A114">
        <v>82.01</v>
      </c>
      <c r="B114">
        <v>131.63</v>
      </c>
      <c r="C114">
        <v>89.88</v>
      </c>
      <c r="D114">
        <f>IF($A114&gt;MAX($A$2:$A113),1,0)</f>
        <v>0</v>
      </c>
      <c r="E114">
        <f>IF($B114&gt;MAX($B$2:$B113),1,0)</f>
        <v>0</v>
      </c>
      <c r="F114">
        <f>IF($C114&gt;MAX($C$2:$C113),1,0)</f>
        <v>1</v>
      </c>
      <c r="G114">
        <f t="shared" si="1"/>
        <v>0</v>
      </c>
    </row>
    <row r="115" spans="1:7" x14ac:dyDescent="0.25">
      <c r="A115">
        <v>83.78</v>
      </c>
      <c r="B115">
        <v>130.61000000000001</v>
      </c>
      <c r="C115">
        <v>91.83</v>
      </c>
      <c r="D115">
        <f>IF($A115&gt;MAX($A$2:$A114),1,0)</f>
        <v>0</v>
      </c>
      <c r="E115">
        <f>IF($B115&gt;MAX($B$2:$B114),1,0)</f>
        <v>0</v>
      </c>
      <c r="F115">
        <f>IF($C115&gt;MAX($C$2:$C114),1,0)</f>
        <v>1</v>
      </c>
      <c r="G115">
        <f t="shared" si="1"/>
        <v>0</v>
      </c>
    </row>
    <row r="116" spans="1:7" x14ac:dyDescent="0.25">
      <c r="A116">
        <v>84.58</v>
      </c>
      <c r="B116">
        <v>129.29</v>
      </c>
      <c r="C116">
        <v>93.53</v>
      </c>
      <c r="D116">
        <f>IF($A116&gt;MAX($A$2:$A115),1,0)</f>
        <v>0</v>
      </c>
      <c r="E116">
        <f>IF($B116&gt;MAX($B$2:$B115),1,0)</f>
        <v>0</v>
      </c>
      <c r="F116">
        <f>IF($C116&gt;MAX($C$2:$C115),1,0)</f>
        <v>1</v>
      </c>
      <c r="G116">
        <f t="shared" si="1"/>
        <v>0</v>
      </c>
    </row>
    <row r="117" spans="1:7" x14ac:dyDescent="0.25">
      <c r="A117">
        <v>83.54</v>
      </c>
      <c r="B117">
        <v>128.63999999999999</v>
      </c>
      <c r="C117">
        <v>93.72</v>
      </c>
      <c r="D117">
        <f>IF($A117&gt;MAX($A$2:$A116),1,0)</f>
        <v>0</v>
      </c>
      <c r="E117">
        <f>IF($B117&gt;MAX($B$2:$B116),1,0)</f>
        <v>0</v>
      </c>
      <c r="F117">
        <f>IF($C117&gt;MAX($C$2:$C116),1,0)</f>
        <v>1</v>
      </c>
      <c r="G117">
        <f t="shared" si="1"/>
        <v>0</v>
      </c>
    </row>
    <row r="118" spans="1:7" x14ac:dyDescent="0.25">
      <c r="A118">
        <v>81.98</v>
      </c>
      <c r="B118">
        <v>126.95</v>
      </c>
      <c r="C118">
        <v>94.47</v>
      </c>
      <c r="D118">
        <f>IF($A118&gt;MAX($A$2:$A117),1,0)</f>
        <v>0</v>
      </c>
      <c r="E118">
        <f>IF($B118&gt;MAX($B$2:$B117),1,0)</f>
        <v>0</v>
      </c>
      <c r="F118">
        <f>IF($C118&gt;MAX($C$2:$C117),1,0)</f>
        <v>1</v>
      </c>
      <c r="G118">
        <f t="shared" si="1"/>
        <v>0</v>
      </c>
    </row>
    <row r="119" spans="1:7" x14ac:dyDescent="0.25">
      <c r="A119">
        <v>80.83</v>
      </c>
      <c r="B119">
        <v>129.85</v>
      </c>
      <c r="C119">
        <v>94.65</v>
      </c>
      <c r="D119">
        <f>IF($A119&gt;MAX($A$2:$A118),1,0)</f>
        <v>0</v>
      </c>
      <c r="E119">
        <f>IF($B119&gt;MAX($B$2:$B118),1,0)</f>
        <v>0</v>
      </c>
      <c r="F119">
        <f>IF($C119&gt;MAX($C$2:$C118),1,0)</f>
        <v>1</v>
      </c>
      <c r="G119">
        <f t="shared" si="1"/>
        <v>0</v>
      </c>
    </row>
    <row r="120" spans="1:7" x14ac:dyDescent="0.25">
      <c r="A120">
        <v>82.36</v>
      </c>
      <c r="B120">
        <v>132.72</v>
      </c>
      <c r="C120">
        <v>92.86</v>
      </c>
      <c r="D120">
        <f>IF($A120&gt;MAX($A$2:$A119),1,0)</f>
        <v>0</v>
      </c>
      <c r="E120">
        <f>IF($B120&gt;MAX($B$2:$B119),1,0)</f>
        <v>0</v>
      </c>
      <c r="F120">
        <f>IF($C120&gt;MAX($C$2:$C119),1,0)</f>
        <v>0</v>
      </c>
      <c r="G120">
        <f t="shared" si="1"/>
        <v>0</v>
      </c>
    </row>
    <row r="121" spans="1:7" x14ac:dyDescent="0.25">
      <c r="A121">
        <v>84.09</v>
      </c>
      <c r="B121">
        <v>131.19999999999999</v>
      </c>
      <c r="C121">
        <v>94.21</v>
      </c>
      <c r="D121">
        <f>IF($A121&gt;MAX($A$2:$A120),1,0)</f>
        <v>0</v>
      </c>
      <c r="E121">
        <f>IF($B121&gt;MAX($B$2:$B120),1,0)</f>
        <v>0</v>
      </c>
      <c r="F121">
        <f>IF($C121&gt;MAX($C$2:$C120),1,0)</f>
        <v>0</v>
      </c>
      <c r="G121">
        <f t="shared" si="1"/>
        <v>0</v>
      </c>
    </row>
    <row r="122" spans="1:7" x14ac:dyDescent="0.25">
      <c r="A122">
        <v>84.24</v>
      </c>
      <c r="B122">
        <v>130.31</v>
      </c>
      <c r="C122">
        <v>96.18</v>
      </c>
      <c r="D122">
        <f>IF($A122&gt;MAX($A$2:$A121),1,0)</f>
        <v>0</v>
      </c>
      <c r="E122">
        <f>IF($B122&gt;MAX($B$2:$B121),1,0)</f>
        <v>0</v>
      </c>
      <c r="F122">
        <f>IF($C122&gt;MAX($C$2:$C121),1,0)</f>
        <v>1</v>
      </c>
      <c r="G122">
        <f t="shared" si="1"/>
        <v>0</v>
      </c>
    </row>
    <row r="123" spans="1:7" x14ac:dyDescent="0.25">
      <c r="A123">
        <v>82.95</v>
      </c>
      <c r="B123">
        <v>129.08000000000001</v>
      </c>
      <c r="C123">
        <v>96.18</v>
      </c>
      <c r="D123">
        <f>IF($A123&gt;MAX($A$2:$A122),1,0)</f>
        <v>0</v>
      </c>
      <c r="E123">
        <f>IF($B123&gt;MAX($B$2:$B122),1,0)</f>
        <v>0</v>
      </c>
      <c r="F123">
        <f>IF($C123&gt;MAX($C$2:$C122),1,0)</f>
        <v>0</v>
      </c>
      <c r="G123">
        <f t="shared" si="1"/>
        <v>0</v>
      </c>
    </row>
    <row r="124" spans="1:7" x14ac:dyDescent="0.25">
      <c r="A124">
        <v>81.31</v>
      </c>
      <c r="B124">
        <v>131.88</v>
      </c>
      <c r="C124">
        <v>94.72</v>
      </c>
      <c r="D124">
        <f>IF($A124&gt;MAX($A$2:$A123),1,0)</f>
        <v>0</v>
      </c>
      <c r="E124">
        <f>IF($B124&gt;MAX($B$2:$B123),1,0)</f>
        <v>0</v>
      </c>
      <c r="F124">
        <f>IF($C124&gt;MAX($C$2:$C123),1,0)</f>
        <v>0</v>
      </c>
      <c r="G124">
        <f t="shared" si="1"/>
        <v>0</v>
      </c>
    </row>
    <row r="125" spans="1:7" x14ac:dyDescent="0.25">
      <c r="A125">
        <v>79.98</v>
      </c>
      <c r="B125">
        <v>134.6</v>
      </c>
      <c r="C125">
        <v>95.97</v>
      </c>
      <c r="D125">
        <f>IF($A125&gt;MAX($A$2:$A124),1,0)</f>
        <v>0</v>
      </c>
      <c r="E125">
        <f>IF($B125&gt;MAX($B$2:$B124),1,0)</f>
        <v>0</v>
      </c>
      <c r="F125">
        <f>IF($C125&gt;MAX($C$2:$C124),1,0)</f>
        <v>0</v>
      </c>
      <c r="G125">
        <f t="shared" si="1"/>
        <v>0</v>
      </c>
    </row>
    <row r="126" spans="1:7" x14ac:dyDescent="0.25">
      <c r="A126">
        <v>82.43</v>
      </c>
      <c r="B126">
        <v>137.30000000000001</v>
      </c>
      <c r="C126">
        <v>94.21</v>
      </c>
      <c r="D126">
        <f>IF($A126&gt;MAX($A$2:$A125),1,0)</f>
        <v>0</v>
      </c>
      <c r="E126">
        <f>IF($B126&gt;MAX($B$2:$B125),1,0)</f>
        <v>0</v>
      </c>
      <c r="F126">
        <f>IF($C126&gt;MAX($C$2:$C125),1,0)</f>
        <v>0</v>
      </c>
      <c r="G126">
        <f t="shared" si="1"/>
        <v>0</v>
      </c>
    </row>
    <row r="127" spans="1:7" x14ac:dyDescent="0.25">
      <c r="A127">
        <v>82.52</v>
      </c>
      <c r="B127">
        <v>136.16</v>
      </c>
      <c r="C127">
        <v>95.42</v>
      </c>
      <c r="D127">
        <f>IF($A127&gt;MAX($A$2:$A126),1,0)</f>
        <v>0</v>
      </c>
      <c r="E127">
        <f>IF($B127&gt;MAX($B$2:$B126),1,0)</f>
        <v>0</v>
      </c>
      <c r="F127">
        <f>IF($C127&gt;MAX($C$2:$C126),1,0)</f>
        <v>0</v>
      </c>
      <c r="G127">
        <f t="shared" si="1"/>
        <v>0</v>
      </c>
    </row>
    <row r="128" spans="1:7" x14ac:dyDescent="0.25">
      <c r="A128">
        <v>84.65</v>
      </c>
      <c r="B128">
        <v>138.69999999999999</v>
      </c>
      <c r="C128">
        <v>93.76</v>
      </c>
      <c r="D128">
        <f>IF($A128&gt;MAX($A$2:$A127),1,0)</f>
        <v>0</v>
      </c>
      <c r="E128">
        <f>IF($B128&gt;MAX($B$2:$B127),1,0)</f>
        <v>0</v>
      </c>
      <c r="F128">
        <f>IF($C128&gt;MAX($C$2:$C127),1,0)</f>
        <v>0</v>
      </c>
      <c r="G128">
        <f t="shared" si="1"/>
        <v>0</v>
      </c>
    </row>
    <row r="129" spans="1:7" x14ac:dyDescent="0.25">
      <c r="A129">
        <v>86.94</v>
      </c>
      <c r="B129">
        <v>141.12</v>
      </c>
      <c r="C129">
        <v>94.56</v>
      </c>
      <c r="D129">
        <f>IF($A129&gt;MAX($A$2:$A128),1,0)</f>
        <v>0</v>
      </c>
      <c r="E129">
        <f>IF($B129&gt;MAX($B$2:$B128),1,0)</f>
        <v>0</v>
      </c>
      <c r="F129">
        <f>IF($C129&gt;MAX($C$2:$C128),1,0)</f>
        <v>0</v>
      </c>
      <c r="G129">
        <f t="shared" si="1"/>
        <v>0</v>
      </c>
    </row>
    <row r="130" spans="1:7" x14ac:dyDescent="0.25">
      <c r="A130">
        <v>85.55</v>
      </c>
      <c r="B130">
        <v>139.78</v>
      </c>
      <c r="C130">
        <v>92.73</v>
      </c>
      <c r="D130">
        <f>IF($A130&gt;MAX($A$2:$A129),1,0)</f>
        <v>0</v>
      </c>
      <c r="E130">
        <f>IF($B130&gt;MAX($B$2:$B129),1,0)</f>
        <v>0</v>
      </c>
      <c r="F130">
        <f>IF($C130&gt;MAX($C$2:$C129),1,0)</f>
        <v>0</v>
      </c>
      <c r="G130">
        <f t="shared" si="1"/>
        <v>0</v>
      </c>
    </row>
    <row r="131" spans="1:7" x14ac:dyDescent="0.25">
      <c r="A131">
        <v>83.97</v>
      </c>
      <c r="B131">
        <v>139.46</v>
      </c>
      <c r="C131">
        <v>93.24</v>
      </c>
      <c r="D131">
        <f>IF($A131&gt;MAX($A$2:$A130),1,0)</f>
        <v>0</v>
      </c>
      <c r="E131">
        <f>IF($B131&gt;MAX($B$2:$B130),1,0)</f>
        <v>0</v>
      </c>
      <c r="F131">
        <f>IF($C131&gt;MAX($C$2:$C130),1,0)</f>
        <v>0</v>
      </c>
      <c r="G131">
        <f t="shared" si="1"/>
        <v>0</v>
      </c>
    </row>
    <row r="132" spans="1:7" x14ac:dyDescent="0.25">
      <c r="A132">
        <v>86.02</v>
      </c>
      <c r="B132">
        <v>137.97</v>
      </c>
      <c r="C132">
        <v>94.61</v>
      </c>
      <c r="D132">
        <f>IF($A132&gt;MAX($A$2:$A131),1,0)</f>
        <v>0</v>
      </c>
      <c r="E132">
        <f>IF($B132&gt;MAX($B$2:$B131),1,0)</f>
        <v>0</v>
      </c>
      <c r="F132">
        <f>IF($C132&gt;MAX($C$2:$C131),1,0)</f>
        <v>0</v>
      </c>
      <c r="G132">
        <f t="shared" ref="G132:G195" si="2">IF(SUM(D132:F132)&gt;=2,1,0)</f>
        <v>0</v>
      </c>
    </row>
    <row r="133" spans="1:7" x14ac:dyDescent="0.25">
      <c r="A133">
        <v>86.22</v>
      </c>
      <c r="B133">
        <v>140.63999999999999</v>
      </c>
      <c r="C133">
        <v>95.66</v>
      </c>
      <c r="D133">
        <f>IF($A133&gt;MAX($A$2:$A132),1,0)</f>
        <v>0</v>
      </c>
      <c r="E133">
        <f>IF($B133&gt;MAX($B$2:$B132),1,0)</f>
        <v>0</v>
      </c>
      <c r="F133">
        <f>IF($C133&gt;MAX($C$2:$C132),1,0)</f>
        <v>0</v>
      </c>
      <c r="G133">
        <f t="shared" si="2"/>
        <v>0</v>
      </c>
    </row>
    <row r="134" spans="1:7" x14ac:dyDescent="0.25">
      <c r="A134">
        <v>85.22</v>
      </c>
      <c r="B134">
        <v>140.30000000000001</v>
      </c>
      <c r="C134">
        <v>96.73</v>
      </c>
      <c r="D134">
        <f>IF($A134&gt;MAX($A$2:$A133),1,0)</f>
        <v>0</v>
      </c>
      <c r="E134">
        <f>IF($B134&gt;MAX($B$2:$B133),1,0)</f>
        <v>0</v>
      </c>
      <c r="F134">
        <f>IF($C134&gt;MAX($C$2:$C133),1,0)</f>
        <v>1</v>
      </c>
      <c r="G134">
        <f t="shared" si="2"/>
        <v>0</v>
      </c>
    </row>
    <row r="135" spans="1:7" x14ac:dyDescent="0.25">
      <c r="A135">
        <v>87.49</v>
      </c>
      <c r="B135">
        <v>140.18</v>
      </c>
      <c r="C135">
        <v>98.18</v>
      </c>
      <c r="D135">
        <f>IF($A135&gt;MAX($A$2:$A134),1,0)</f>
        <v>0</v>
      </c>
      <c r="E135">
        <f>IF($B135&gt;MAX($B$2:$B134),1,0)</f>
        <v>0</v>
      </c>
      <c r="F135">
        <f>IF($C135&gt;MAX($C$2:$C134),1,0)</f>
        <v>1</v>
      </c>
      <c r="G135">
        <f t="shared" si="2"/>
        <v>0</v>
      </c>
    </row>
    <row r="136" spans="1:7" x14ac:dyDescent="0.25">
      <c r="A136">
        <v>86.28</v>
      </c>
      <c r="B136">
        <v>138.26</v>
      </c>
      <c r="C136">
        <v>96.62</v>
      </c>
      <c r="D136">
        <f>IF($A136&gt;MAX($A$2:$A135),1,0)</f>
        <v>0</v>
      </c>
      <c r="E136">
        <f>IF($B136&gt;MAX($B$2:$B135),1,0)</f>
        <v>0</v>
      </c>
      <c r="F136">
        <f>IF($C136&gt;MAX($C$2:$C135),1,0)</f>
        <v>0</v>
      </c>
      <c r="G136">
        <f t="shared" si="2"/>
        <v>0</v>
      </c>
    </row>
    <row r="137" spans="1:7" x14ac:dyDescent="0.25">
      <c r="A137">
        <v>85.13</v>
      </c>
      <c r="B137">
        <v>136.72</v>
      </c>
      <c r="C137">
        <v>98.19</v>
      </c>
      <c r="D137">
        <f>IF($A137&gt;MAX($A$2:$A136),1,0)</f>
        <v>0</v>
      </c>
      <c r="E137">
        <f>IF($B137&gt;MAX($B$2:$B136),1,0)</f>
        <v>0</v>
      </c>
      <c r="F137">
        <f>IF($C137&gt;MAX($C$2:$C136),1,0)</f>
        <v>1</v>
      </c>
      <c r="G137">
        <f t="shared" si="2"/>
        <v>0</v>
      </c>
    </row>
    <row r="138" spans="1:7" x14ac:dyDescent="0.25">
      <c r="A138">
        <v>85.52</v>
      </c>
      <c r="B138">
        <v>136.54</v>
      </c>
      <c r="C138">
        <v>99.72</v>
      </c>
      <c r="D138">
        <f>IF($A138&gt;MAX($A$2:$A137),1,0)</f>
        <v>0</v>
      </c>
      <c r="E138">
        <f>IF($B138&gt;MAX($B$2:$B137),1,0)</f>
        <v>0</v>
      </c>
      <c r="F138">
        <f>IF($C138&gt;MAX($C$2:$C137),1,0)</f>
        <v>1</v>
      </c>
      <c r="G138">
        <f t="shared" si="2"/>
        <v>0</v>
      </c>
    </row>
    <row r="139" spans="1:7" x14ac:dyDescent="0.25">
      <c r="A139">
        <v>87.25</v>
      </c>
      <c r="B139">
        <v>135.38999999999999</v>
      </c>
      <c r="C139">
        <v>100.95</v>
      </c>
      <c r="D139">
        <f>IF($A139&gt;MAX($A$2:$A138),1,0)</f>
        <v>0</v>
      </c>
      <c r="E139">
        <f>IF($B139&gt;MAX($B$2:$B138),1,0)</f>
        <v>0</v>
      </c>
      <c r="F139">
        <f>IF($C139&gt;MAX($C$2:$C138),1,0)</f>
        <v>1</v>
      </c>
      <c r="G139">
        <f t="shared" si="2"/>
        <v>0</v>
      </c>
    </row>
    <row r="140" spans="1:7" x14ac:dyDescent="0.25">
      <c r="A140">
        <v>86.24</v>
      </c>
      <c r="B140">
        <v>134.08000000000001</v>
      </c>
      <c r="C140">
        <v>99.54</v>
      </c>
      <c r="D140">
        <f>IF($A140&gt;MAX($A$2:$A139),1,0)</f>
        <v>0</v>
      </c>
      <c r="E140">
        <f>IF($B140&gt;MAX($B$2:$B139),1,0)</f>
        <v>0</v>
      </c>
      <c r="F140">
        <f>IF($C140&gt;MAX($C$2:$C139),1,0)</f>
        <v>0</v>
      </c>
      <c r="G140">
        <f t="shared" si="2"/>
        <v>0</v>
      </c>
    </row>
    <row r="141" spans="1:7" x14ac:dyDescent="0.25">
      <c r="A141">
        <v>84.92</v>
      </c>
      <c r="B141">
        <v>133.26</v>
      </c>
      <c r="C141">
        <v>101.54</v>
      </c>
      <c r="D141">
        <f>IF($A141&gt;MAX($A$2:$A140),1,0)</f>
        <v>0</v>
      </c>
      <c r="E141">
        <f>IF($B141&gt;MAX($B$2:$B140),1,0)</f>
        <v>0</v>
      </c>
      <c r="F141">
        <f>IF($C141&gt;MAX($C$2:$C140),1,0)</f>
        <v>1</v>
      </c>
      <c r="G141">
        <f t="shared" si="2"/>
        <v>0</v>
      </c>
    </row>
    <row r="142" spans="1:7" x14ac:dyDescent="0.25">
      <c r="A142">
        <v>87.16</v>
      </c>
      <c r="B142">
        <v>132.34</v>
      </c>
      <c r="C142">
        <v>101.73</v>
      </c>
      <c r="D142">
        <f>IF($A142&gt;MAX($A$2:$A141),1,0)</f>
        <v>0</v>
      </c>
      <c r="E142">
        <f>IF($B142&gt;MAX($B$2:$B141),1,0)</f>
        <v>0</v>
      </c>
      <c r="F142">
        <f>IF($C142&gt;MAX($C$2:$C141),1,0)</f>
        <v>1</v>
      </c>
      <c r="G142">
        <f t="shared" si="2"/>
        <v>0</v>
      </c>
    </row>
    <row r="143" spans="1:7" x14ac:dyDescent="0.25">
      <c r="A143">
        <v>85.98</v>
      </c>
      <c r="B143">
        <v>135.11000000000001</v>
      </c>
      <c r="C143">
        <v>101.74</v>
      </c>
      <c r="D143">
        <f>IF($A143&gt;MAX($A$2:$A142),1,0)</f>
        <v>0</v>
      </c>
      <c r="E143">
        <f>IF($B143&gt;MAX($B$2:$B142),1,0)</f>
        <v>0</v>
      </c>
      <c r="F143">
        <f>IF($C143&gt;MAX($C$2:$C142),1,0)</f>
        <v>1</v>
      </c>
      <c r="G143">
        <f t="shared" si="2"/>
        <v>0</v>
      </c>
    </row>
    <row r="144" spans="1:7" x14ac:dyDescent="0.25">
      <c r="A144">
        <v>88.4</v>
      </c>
      <c r="B144">
        <v>135</v>
      </c>
      <c r="C144">
        <v>100.01</v>
      </c>
      <c r="D144">
        <f>IF($A144&gt;MAX($A$2:$A143),1,0)</f>
        <v>0</v>
      </c>
      <c r="E144">
        <f>IF($B144&gt;MAX($B$2:$B143),1,0)</f>
        <v>0</v>
      </c>
      <c r="F144">
        <f>IF($C144&gt;MAX($C$2:$C143),1,0)</f>
        <v>0</v>
      </c>
      <c r="G144">
        <f t="shared" si="2"/>
        <v>0</v>
      </c>
    </row>
    <row r="145" spans="1:7" x14ac:dyDescent="0.25">
      <c r="A145">
        <v>86.92</v>
      </c>
      <c r="B145">
        <v>133.35</v>
      </c>
      <c r="C145">
        <v>98.39</v>
      </c>
      <c r="D145">
        <f>IF($A145&gt;MAX($A$2:$A144),1,0)</f>
        <v>0</v>
      </c>
      <c r="E145">
        <f>IF($B145&gt;MAX($B$2:$B144),1,0)</f>
        <v>0</v>
      </c>
      <c r="F145">
        <f>IF($C145&gt;MAX($C$2:$C144),1,0)</f>
        <v>0</v>
      </c>
      <c r="G145">
        <f t="shared" si="2"/>
        <v>0</v>
      </c>
    </row>
    <row r="146" spans="1:7" x14ac:dyDescent="0.25">
      <c r="A146">
        <v>85.46</v>
      </c>
      <c r="B146">
        <v>132.09</v>
      </c>
      <c r="C146">
        <v>96.49</v>
      </c>
      <c r="D146">
        <f>IF($A146&gt;MAX($A$2:$A145),1,0)</f>
        <v>0</v>
      </c>
      <c r="E146">
        <f>IF($B146&gt;MAX($B$2:$B145),1,0)</f>
        <v>0</v>
      </c>
      <c r="F146">
        <f>IF($C146&gt;MAX($C$2:$C145),1,0)</f>
        <v>0</v>
      </c>
      <c r="G146">
        <f t="shared" si="2"/>
        <v>0</v>
      </c>
    </row>
    <row r="147" spans="1:7" x14ac:dyDescent="0.25">
      <c r="A147">
        <v>86.18</v>
      </c>
      <c r="B147">
        <v>131.82</v>
      </c>
      <c r="C147">
        <v>97.95</v>
      </c>
      <c r="D147">
        <f>IF($A147&gt;MAX($A$2:$A146),1,0)</f>
        <v>0</v>
      </c>
      <c r="E147">
        <f>IF($B147&gt;MAX($B$2:$B146),1,0)</f>
        <v>0</v>
      </c>
      <c r="F147">
        <f>IF($C147&gt;MAX($C$2:$C146),1,0)</f>
        <v>0</v>
      </c>
      <c r="G147">
        <f t="shared" si="2"/>
        <v>0</v>
      </c>
    </row>
    <row r="148" spans="1:7" x14ac:dyDescent="0.25">
      <c r="A148">
        <v>85.09</v>
      </c>
      <c r="B148">
        <v>134.54</v>
      </c>
      <c r="C148">
        <v>96.33</v>
      </c>
      <c r="D148">
        <f>IF($A148&gt;MAX($A$2:$A147),1,0)</f>
        <v>0</v>
      </c>
      <c r="E148">
        <f>IF($B148&gt;MAX($B$2:$B147),1,0)</f>
        <v>0</v>
      </c>
      <c r="F148">
        <f>IF($C148&gt;MAX($C$2:$C147),1,0)</f>
        <v>0</v>
      </c>
      <c r="G148">
        <f t="shared" si="2"/>
        <v>0</v>
      </c>
    </row>
    <row r="149" spans="1:7" x14ac:dyDescent="0.25">
      <c r="A149">
        <v>83.71</v>
      </c>
      <c r="B149">
        <v>137.08000000000001</v>
      </c>
      <c r="C149">
        <v>94.86</v>
      </c>
      <c r="D149">
        <f>IF($A149&gt;MAX($A$2:$A148),1,0)</f>
        <v>0</v>
      </c>
      <c r="E149">
        <f>IF($B149&gt;MAX($B$2:$B148),1,0)</f>
        <v>0</v>
      </c>
      <c r="F149">
        <f>IF($C149&gt;MAX($C$2:$C148),1,0)</f>
        <v>0</v>
      </c>
      <c r="G149">
        <f t="shared" si="2"/>
        <v>0</v>
      </c>
    </row>
    <row r="150" spans="1:7" x14ac:dyDescent="0.25">
      <c r="A150">
        <v>85.66</v>
      </c>
      <c r="B150">
        <v>136.36000000000001</v>
      </c>
      <c r="C150">
        <v>96.17</v>
      </c>
      <c r="D150">
        <f>IF($A150&gt;MAX($A$2:$A149),1,0)</f>
        <v>0</v>
      </c>
      <c r="E150">
        <f>IF($B150&gt;MAX($B$2:$B149),1,0)</f>
        <v>0</v>
      </c>
      <c r="F150">
        <f>IF($C150&gt;MAX($C$2:$C149),1,0)</f>
        <v>0</v>
      </c>
      <c r="G150">
        <f t="shared" si="2"/>
        <v>0</v>
      </c>
    </row>
    <row r="151" spans="1:7" x14ac:dyDescent="0.25">
      <c r="A151">
        <v>85.94</v>
      </c>
      <c r="B151">
        <v>134.97999999999999</v>
      </c>
      <c r="C151">
        <v>97.44</v>
      </c>
      <c r="D151">
        <f>IF($A151&gt;MAX($A$2:$A150),1,0)</f>
        <v>0</v>
      </c>
      <c r="E151">
        <f>IF($B151&gt;MAX($B$2:$B150),1,0)</f>
        <v>0</v>
      </c>
      <c r="F151">
        <f>IF($C151&gt;MAX($C$2:$C150),1,0)</f>
        <v>0</v>
      </c>
      <c r="G151">
        <f t="shared" si="2"/>
        <v>0</v>
      </c>
    </row>
    <row r="152" spans="1:7" x14ac:dyDescent="0.25">
      <c r="A152">
        <v>87.4</v>
      </c>
      <c r="B152">
        <v>133.44</v>
      </c>
      <c r="C152">
        <v>98.68</v>
      </c>
      <c r="D152">
        <f>IF($A152&gt;MAX($A$2:$A151),1,0)</f>
        <v>0</v>
      </c>
      <c r="E152">
        <f>IF($B152&gt;MAX($B$2:$B151),1,0)</f>
        <v>0</v>
      </c>
      <c r="F152">
        <f>IF($C152&gt;MAX($C$2:$C151),1,0)</f>
        <v>0</v>
      </c>
      <c r="G152">
        <f t="shared" si="2"/>
        <v>0</v>
      </c>
    </row>
    <row r="153" spans="1:7" x14ac:dyDescent="0.25">
      <c r="A153">
        <v>86.27</v>
      </c>
      <c r="B153">
        <v>132.32</v>
      </c>
      <c r="C153">
        <v>99.99</v>
      </c>
      <c r="D153">
        <f>IF($A153&gt;MAX($A$2:$A152),1,0)</f>
        <v>0</v>
      </c>
      <c r="E153">
        <f>IF($B153&gt;MAX($B$2:$B152),1,0)</f>
        <v>0</v>
      </c>
      <c r="F153">
        <f>IF($C153&gt;MAX($C$2:$C152),1,0)</f>
        <v>0</v>
      </c>
      <c r="G153">
        <f t="shared" si="2"/>
        <v>0</v>
      </c>
    </row>
    <row r="154" spans="1:7" x14ac:dyDescent="0.25">
      <c r="A154">
        <v>88.03</v>
      </c>
      <c r="B154">
        <v>132.25</v>
      </c>
      <c r="C154">
        <v>100.81</v>
      </c>
      <c r="D154">
        <f>IF($A154&gt;MAX($A$2:$A153),1,0)</f>
        <v>0</v>
      </c>
      <c r="E154">
        <f>IF($B154&gt;MAX($B$2:$B153),1,0)</f>
        <v>0</v>
      </c>
      <c r="F154">
        <f>IF($C154&gt;MAX($C$2:$C153),1,0)</f>
        <v>0</v>
      </c>
      <c r="G154">
        <f t="shared" si="2"/>
        <v>0</v>
      </c>
    </row>
    <row r="155" spans="1:7" x14ac:dyDescent="0.25">
      <c r="A155">
        <v>88.79</v>
      </c>
      <c r="B155">
        <v>134.86000000000001</v>
      </c>
      <c r="C155">
        <v>100.92</v>
      </c>
      <c r="D155">
        <f>IF($A155&gt;MAX($A$2:$A154),1,0)</f>
        <v>0</v>
      </c>
      <c r="E155">
        <f>IF($B155&gt;MAX($B$2:$B154),1,0)</f>
        <v>0</v>
      </c>
      <c r="F155">
        <f>IF($C155&gt;MAX($C$2:$C154),1,0)</f>
        <v>0</v>
      </c>
      <c r="G155">
        <f t="shared" si="2"/>
        <v>0</v>
      </c>
    </row>
    <row r="156" spans="1:7" x14ac:dyDescent="0.25">
      <c r="A156">
        <v>89.7</v>
      </c>
      <c r="B156">
        <v>133.21</v>
      </c>
      <c r="C156">
        <v>102.29</v>
      </c>
      <c r="D156">
        <f>IF($A156&gt;MAX($A$2:$A155),1,0)</f>
        <v>0</v>
      </c>
      <c r="E156">
        <f>IF($B156&gt;MAX($B$2:$B155),1,0)</f>
        <v>0</v>
      </c>
      <c r="F156">
        <f>IF($C156&gt;MAX($C$2:$C155),1,0)</f>
        <v>1</v>
      </c>
      <c r="G156">
        <f t="shared" si="2"/>
        <v>0</v>
      </c>
    </row>
    <row r="157" spans="1:7" x14ac:dyDescent="0.25">
      <c r="A157">
        <v>90.26</v>
      </c>
      <c r="B157">
        <v>131.81</v>
      </c>
      <c r="C157">
        <v>100.76</v>
      </c>
      <c r="D157">
        <f>IF($A157&gt;MAX($A$2:$A156),1,0)</f>
        <v>0</v>
      </c>
      <c r="E157">
        <f>IF($B157&gt;MAX($B$2:$B156),1,0)</f>
        <v>0</v>
      </c>
      <c r="F157">
        <f>IF($C157&gt;MAX($C$2:$C156),1,0)</f>
        <v>0</v>
      </c>
      <c r="G157">
        <f t="shared" si="2"/>
        <v>0</v>
      </c>
    </row>
    <row r="158" spans="1:7" x14ac:dyDescent="0.25">
      <c r="A158">
        <v>88.27</v>
      </c>
      <c r="B158">
        <v>131</v>
      </c>
      <c r="C158">
        <v>102.48</v>
      </c>
      <c r="D158">
        <f>IF($A158&gt;MAX($A$2:$A157),1,0)</f>
        <v>0</v>
      </c>
      <c r="E158">
        <f>IF($B158&gt;MAX($B$2:$B157),1,0)</f>
        <v>0</v>
      </c>
      <c r="F158">
        <f>IF($C158&gt;MAX($C$2:$C157),1,0)</f>
        <v>1</v>
      </c>
      <c r="G158">
        <f t="shared" si="2"/>
        <v>0</v>
      </c>
    </row>
    <row r="159" spans="1:7" x14ac:dyDescent="0.25">
      <c r="A159">
        <v>88.73</v>
      </c>
      <c r="B159">
        <v>130.27000000000001</v>
      </c>
      <c r="C159">
        <v>102.72</v>
      </c>
      <c r="D159">
        <f>IF($A159&gt;MAX($A$2:$A158),1,0)</f>
        <v>0</v>
      </c>
      <c r="E159">
        <f>IF($B159&gt;MAX($B$2:$B158),1,0)</f>
        <v>0</v>
      </c>
      <c r="F159">
        <f>IF($C159&gt;MAX($C$2:$C158),1,0)</f>
        <v>1</v>
      </c>
      <c r="G159">
        <f t="shared" si="2"/>
        <v>0</v>
      </c>
    </row>
    <row r="160" spans="1:7" x14ac:dyDescent="0.25">
      <c r="A160">
        <v>87.13</v>
      </c>
      <c r="B160">
        <v>128.56</v>
      </c>
      <c r="C160">
        <v>104.6</v>
      </c>
      <c r="D160">
        <f>IF($A160&gt;MAX($A$2:$A159),1,0)</f>
        <v>0</v>
      </c>
      <c r="E160">
        <f>IF($B160&gt;MAX($B$2:$B159),1,0)</f>
        <v>0</v>
      </c>
      <c r="F160">
        <f>IF($C160&gt;MAX($C$2:$C159),1,0)</f>
        <v>1</v>
      </c>
      <c r="G160">
        <f t="shared" si="2"/>
        <v>0</v>
      </c>
    </row>
    <row r="161" spans="1:7" x14ac:dyDescent="0.25">
      <c r="A161">
        <v>85.68</v>
      </c>
      <c r="B161">
        <v>127.84</v>
      </c>
      <c r="C161">
        <v>106.69</v>
      </c>
      <c r="D161">
        <f>IF($A161&gt;MAX($A$2:$A160),1,0)</f>
        <v>0</v>
      </c>
      <c r="E161">
        <f>IF($B161&gt;MAX($B$2:$B160),1,0)</f>
        <v>0</v>
      </c>
      <c r="F161">
        <f>IF($C161&gt;MAX($C$2:$C160),1,0)</f>
        <v>1</v>
      </c>
      <c r="G161">
        <f t="shared" si="2"/>
        <v>0</v>
      </c>
    </row>
    <row r="162" spans="1:7" x14ac:dyDescent="0.25">
      <c r="A162">
        <v>84.27</v>
      </c>
      <c r="B162">
        <v>127.42</v>
      </c>
      <c r="C162">
        <v>106.85</v>
      </c>
      <c r="D162">
        <f>IF($A162&gt;MAX($A$2:$A161),1,0)</f>
        <v>0</v>
      </c>
      <c r="E162">
        <f>IF($B162&gt;MAX($B$2:$B161),1,0)</f>
        <v>0</v>
      </c>
      <c r="F162">
        <f>IF($C162&gt;MAX($C$2:$C161),1,0)</f>
        <v>1</v>
      </c>
      <c r="G162">
        <f t="shared" si="2"/>
        <v>0</v>
      </c>
    </row>
    <row r="163" spans="1:7" x14ac:dyDescent="0.25">
      <c r="A163">
        <v>82.68</v>
      </c>
      <c r="B163">
        <v>127.09</v>
      </c>
      <c r="C163">
        <v>107.25</v>
      </c>
      <c r="D163">
        <f>IF($A163&gt;MAX($A$2:$A162),1,0)</f>
        <v>0</v>
      </c>
      <c r="E163">
        <f>IF($B163&gt;MAX($B$2:$B162),1,0)</f>
        <v>0</v>
      </c>
      <c r="F163">
        <f>IF($C163&gt;MAX($C$2:$C162),1,0)</f>
        <v>1</v>
      </c>
      <c r="G163">
        <f t="shared" si="2"/>
        <v>0</v>
      </c>
    </row>
    <row r="164" spans="1:7" x14ac:dyDescent="0.25">
      <c r="A164">
        <v>84.44</v>
      </c>
      <c r="B164">
        <v>126.43</v>
      </c>
      <c r="C164">
        <v>108.44</v>
      </c>
      <c r="D164">
        <f>IF($A164&gt;MAX($A$2:$A163),1,0)</f>
        <v>0</v>
      </c>
      <c r="E164">
        <f>IF($B164&gt;MAX($B$2:$B163),1,0)</f>
        <v>0</v>
      </c>
      <c r="F164">
        <f>IF($C164&gt;MAX($C$2:$C163),1,0)</f>
        <v>1</v>
      </c>
      <c r="G164">
        <f t="shared" si="2"/>
        <v>0</v>
      </c>
    </row>
    <row r="165" spans="1:7" x14ac:dyDescent="0.25">
      <c r="A165">
        <v>85.82</v>
      </c>
      <c r="B165">
        <v>126.31</v>
      </c>
      <c r="C165">
        <v>110.27</v>
      </c>
      <c r="D165">
        <f>IF($A165&gt;MAX($A$2:$A164),1,0)</f>
        <v>0</v>
      </c>
      <c r="E165">
        <f>IF($B165&gt;MAX($B$2:$B164),1,0)</f>
        <v>0</v>
      </c>
      <c r="F165">
        <f>IF($C165&gt;MAX($C$2:$C164),1,0)</f>
        <v>1</v>
      </c>
      <c r="G165">
        <f t="shared" si="2"/>
        <v>0</v>
      </c>
    </row>
    <row r="166" spans="1:7" x14ac:dyDescent="0.25">
      <c r="A166">
        <v>84.73</v>
      </c>
      <c r="B166">
        <v>129.22999999999999</v>
      </c>
      <c r="C166">
        <v>110.94</v>
      </c>
      <c r="D166">
        <f>IF($A166&gt;MAX($A$2:$A165),1,0)</f>
        <v>0</v>
      </c>
      <c r="E166">
        <f>IF($B166&gt;MAX($B$2:$B165),1,0)</f>
        <v>0</v>
      </c>
      <c r="F166">
        <f>IF($C166&gt;MAX($C$2:$C165),1,0)</f>
        <v>1</v>
      </c>
      <c r="G166">
        <f t="shared" si="2"/>
        <v>0</v>
      </c>
    </row>
    <row r="167" spans="1:7" x14ac:dyDescent="0.25">
      <c r="A167">
        <v>86.08</v>
      </c>
      <c r="B167">
        <v>128.37</v>
      </c>
      <c r="C167">
        <v>109.26</v>
      </c>
      <c r="D167">
        <f>IF($A167&gt;MAX($A$2:$A166),1,0)</f>
        <v>0</v>
      </c>
      <c r="E167">
        <f>IF($B167&gt;MAX($B$2:$B166),1,0)</f>
        <v>0</v>
      </c>
      <c r="F167">
        <f>IF($C167&gt;MAX($C$2:$C166),1,0)</f>
        <v>0</v>
      </c>
      <c r="G167">
        <f t="shared" si="2"/>
        <v>0</v>
      </c>
    </row>
    <row r="168" spans="1:7" x14ac:dyDescent="0.25">
      <c r="A168">
        <v>87.8</v>
      </c>
      <c r="B168">
        <v>128.21</v>
      </c>
      <c r="C168">
        <v>110.98</v>
      </c>
      <c r="D168">
        <f>IF($A168&gt;MAX($A$2:$A167),1,0)</f>
        <v>0</v>
      </c>
      <c r="E168">
        <f>IF($B168&gt;MAX($B$2:$B167),1,0)</f>
        <v>0</v>
      </c>
      <c r="F168">
        <f>IF($C168&gt;MAX($C$2:$C167),1,0)</f>
        <v>1</v>
      </c>
      <c r="G168">
        <f t="shared" si="2"/>
        <v>0</v>
      </c>
    </row>
    <row r="169" spans="1:7" x14ac:dyDescent="0.25">
      <c r="A169">
        <v>86.31</v>
      </c>
      <c r="B169">
        <v>130.97999999999999</v>
      </c>
      <c r="C169">
        <v>111.8</v>
      </c>
      <c r="D169">
        <f>IF($A169&gt;MAX($A$2:$A168),1,0)</f>
        <v>0</v>
      </c>
      <c r="E169">
        <f>IF($B169&gt;MAX($B$2:$B168),1,0)</f>
        <v>0</v>
      </c>
      <c r="F169">
        <f>IF($C169&gt;MAX($C$2:$C168),1,0)</f>
        <v>1</v>
      </c>
      <c r="G169">
        <f t="shared" si="2"/>
        <v>0</v>
      </c>
    </row>
    <row r="170" spans="1:7" x14ac:dyDescent="0.25">
      <c r="A170">
        <v>84.68</v>
      </c>
      <c r="B170">
        <v>130.07</v>
      </c>
      <c r="C170">
        <v>110.07</v>
      </c>
      <c r="D170">
        <f>IF($A170&gt;MAX($A$2:$A169),1,0)</f>
        <v>0</v>
      </c>
      <c r="E170">
        <f>IF($B170&gt;MAX($B$2:$B169),1,0)</f>
        <v>0</v>
      </c>
      <c r="F170">
        <f>IF($C170&gt;MAX($C$2:$C169),1,0)</f>
        <v>0</v>
      </c>
      <c r="G170">
        <f t="shared" si="2"/>
        <v>0</v>
      </c>
    </row>
    <row r="171" spans="1:7" x14ac:dyDescent="0.25">
      <c r="A171">
        <v>82.77</v>
      </c>
      <c r="B171">
        <v>129.9</v>
      </c>
      <c r="C171">
        <v>110.79</v>
      </c>
      <c r="D171">
        <f>IF($A171&gt;MAX($A$2:$A170),1,0)</f>
        <v>0</v>
      </c>
      <c r="E171">
        <f>IF($B171&gt;MAX($B$2:$B170),1,0)</f>
        <v>0</v>
      </c>
      <c r="F171">
        <f>IF($C171&gt;MAX($C$2:$C170),1,0)</f>
        <v>0</v>
      </c>
      <c r="G171">
        <f t="shared" si="2"/>
        <v>0</v>
      </c>
    </row>
    <row r="172" spans="1:7" x14ac:dyDescent="0.25">
      <c r="A172">
        <v>80.95</v>
      </c>
      <c r="B172">
        <v>129.86000000000001</v>
      </c>
      <c r="C172">
        <v>109.17</v>
      </c>
      <c r="D172">
        <f>IF($A172&gt;MAX($A$2:$A171),1,0)</f>
        <v>0</v>
      </c>
      <c r="E172">
        <f>IF($B172&gt;MAX($B$2:$B171),1,0)</f>
        <v>0</v>
      </c>
      <c r="F172">
        <f>IF($C172&gt;MAX($C$2:$C171),1,0)</f>
        <v>0</v>
      </c>
      <c r="G172">
        <f t="shared" si="2"/>
        <v>0</v>
      </c>
    </row>
    <row r="173" spans="1:7" x14ac:dyDescent="0.25">
      <c r="A173">
        <v>81.61</v>
      </c>
      <c r="B173">
        <v>128.05000000000001</v>
      </c>
      <c r="C173">
        <v>107.31</v>
      </c>
      <c r="D173">
        <f>IF($A173&gt;MAX($A$2:$A172),1,0)</f>
        <v>0</v>
      </c>
      <c r="E173">
        <f>IF($B173&gt;MAX($B$2:$B172),1,0)</f>
        <v>0</v>
      </c>
      <c r="F173">
        <f>IF($C173&gt;MAX($C$2:$C172),1,0)</f>
        <v>0</v>
      </c>
      <c r="G173">
        <f t="shared" si="2"/>
        <v>0</v>
      </c>
    </row>
    <row r="174" spans="1:7" x14ac:dyDescent="0.25">
      <c r="A174">
        <v>82.19</v>
      </c>
      <c r="B174">
        <v>130.53</v>
      </c>
      <c r="C174">
        <v>107.72</v>
      </c>
      <c r="D174">
        <f>IF($A174&gt;MAX($A$2:$A173),1,0)</f>
        <v>0</v>
      </c>
      <c r="E174">
        <f>IF($B174&gt;MAX($B$2:$B173),1,0)</f>
        <v>0</v>
      </c>
      <c r="F174">
        <f>IF($C174&gt;MAX($C$2:$C173),1,0)</f>
        <v>0</v>
      </c>
      <c r="G174">
        <f t="shared" si="2"/>
        <v>0</v>
      </c>
    </row>
    <row r="175" spans="1:7" x14ac:dyDescent="0.25">
      <c r="A175">
        <v>80.69</v>
      </c>
      <c r="B175">
        <v>130.22</v>
      </c>
      <c r="C175">
        <v>105.87</v>
      </c>
      <c r="D175">
        <f>IF($A175&gt;MAX($A$2:$A174),1,0)</f>
        <v>0</v>
      </c>
      <c r="E175">
        <f>IF($B175&gt;MAX($B$2:$B174),1,0)</f>
        <v>0</v>
      </c>
      <c r="F175">
        <f>IF($C175&gt;MAX($C$2:$C174),1,0)</f>
        <v>0</v>
      </c>
      <c r="G175">
        <f t="shared" si="2"/>
        <v>0</v>
      </c>
    </row>
    <row r="176" spans="1:7" x14ac:dyDescent="0.25">
      <c r="A176">
        <v>81.66</v>
      </c>
      <c r="B176">
        <v>129.61000000000001</v>
      </c>
      <c r="C176">
        <v>106.22</v>
      </c>
      <c r="D176">
        <f>IF($A176&gt;MAX($A$2:$A175),1,0)</f>
        <v>0</v>
      </c>
      <c r="E176">
        <f>IF($B176&gt;MAX($B$2:$B175),1,0)</f>
        <v>0</v>
      </c>
      <c r="F176">
        <f>IF($C176&gt;MAX($C$2:$C175),1,0)</f>
        <v>0</v>
      </c>
      <c r="G176">
        <f t="shared" si="2"/>
        <v>0</v>
      </c>
    </row>
    <row r="177" spans="1:7" x14ac:dyDescent="0.25">
      <c r="A177">
        <v>80.06</v>
      </c>
      <c r="B177">
        <v>128.19</v>
      </c>
      <c r="C177">
        <v>107.4</v>
      </c>
      <c r="D177">
        <f>IF($A177&gt;MAX($A$2:$A176),1,0)</f>
        <v>0</v>
      </c>
      <c r="E177">
        <f>IF($B177&gt;MAX($B$2:$B176),1,0)</f>
        <v>0</v>
      </c>
      <c r="F177">
        <f>IF($C177&gt;MAX($C$2:$C176),1,0)</f>
        <v>0</v>
      </c>
      <c r="G177">
        <f t="shared" si="2"/>
        <v>0</v>
      </c>
    </row>
    <row r="178" spans="1:7" x14ac:dyDescent="0.25">
      <c r="A178">
        <v>78.959999999999994</v>
      </c>
      <c r="B178">
        <v>127.64</v>
      </c>
      <c r="C178">
        <v>108.01</v>
      </c>
      <c r="D178">
        <f>IF($A178&gt;MAX($A$2:$A177),1,0)</f>
        <v>0</v>
      </c>
      <c r="E178">
        <f>IF($B178&gt;MAX($B$2:$B177),1,0)</f>
        <v>0</v>
      </c>
      <c r="F178">
        <f>IF($C178&gt;MAX($C$2:$C177),1,0)</f>
        <v>0</v>
      </c>
      <c r="G178">
        <f t="shared" si="2"/>
        <v>0</v>
      </c>
    </row>
    <row r="179" spans="1:7" x14ac:dyDescent="0.25">
      <c r="A179">
        <v>80.52</v>
      </c>
      <c r="B179">
        <v>126.21</v>
      </c>
      <c r="C179">
        <v>106.27</v>
      </c>
      <c r="D179">
        <f>IF($A179&gt;MAX($A$2:$A178),1,0)</f>
        <v>0</v>
      </c>
      <c r="E179">
        <f>IF($B179&gt;MAX($B$2:$B178),1,0)</f>
        <v>0</v>
      </c>
      <c r="F179">
        <f>IF($C179&gt;MAX($C$2:$C178),1,0)</f>
        <v>0</v>
      </c>
      <c r="G179">
        <f t="shared" si="2"/>
        <v>0</v>
      </c>
    </row>
    <row r="180" spans="1:7" x14ac:dyDescent="0.25">
      <c r="A180">
        <v>81.67</v>
      </c>
      <c r="B180">
        <v>124.23</v>
      </c>
      <c r="C180">
        <v>108.33</v>
      </c>
      <c r="D180">
        <f>IF($A180&gt;MAX($A$2:$A179),1,0)</f>
        <v>0</v>
      </c>
      <c r="E180">
        <f>IF($B180&gt;MAX($B$2:$B179),1,0)</f>
        <v>0</v>
      </c>
      <c r="F180">
        <f>IF($C180&gt;MAX($C$2:$C179),1,0)</f>
        <v>0</v>
      </c>
      <c r="G180">
        <f t="shared" si="2"/>
        <v>0</v>
      </c>
    </row>
    <row r="181" spans="1:7" x14ac:dyDescent="0.25">
      <c r="A181">
        <v>82.11</v>
      </c>
      <c r="B181">
        <v>123.24</v>
      </c>
      <c r="C181">
        <v>109.22</v>
      </c>
      <c r="D181">
        <f>IF($A181&gt;MAX($A$2:$A180),1,0)</f>
        <v>0</v>
      </c>
      <c r="E181">
        <f>IF($B181&gt;MAX($B$2:$B180),1,0)</f>
        <v>0</v>
      </c>
      <c r="F181">
        <f>IF($C181&gt;MAX($C$2:$C180),1,0)</f>
        <v>0</v>
      </c>
      <c r="G181">
        <f t="shared" si="2"/>
        <v>0</v>
      </c>
    </row>
    <row r="182" spans="1:7" x14ac:dyDescent="0.25">
      <c r="A182">
        <v>83.32</v>
      </c>
      <c r="B182">
        <v>126.19</v>
      </c>
      <c r="C182">
        <v>107.37</v>
      </c>
      <c r="D182">
        <f>IF($A182&gt;MAX($A$2:$A181),1,0)</f>
        <v>0</v>
      </c>
      <c r="E182">
        <f>IF($B182&gt;MAX($B$2:$B181),1,0)</f>
        <v>0</v>
      </c>
      <c r="F182">
        <f>IF($C182&gt;MAX($C$2:$C181),1,0)</f>
        <v>0</v>
      </c>
      <c r="G182">
        <f t="shared" si="2"/>
        <v>0</v>
      </c>
    </row>
    <row r="183" spans="1:7" x14ac:dyDescent="0.25">
      <c r="A183">
        <v>84.79</v>
      </c>
      <c r="B183">
        <v>129.05000000000001</v>
      </c>
      <c r="C183">
        <v>107.76</v>
      </c>
      <c r="D183">
        <f>IF($A183&gt;MAX($A$2:$A182),1,0)</f>
        <v>0</v>
      </c>
      <c r="E183">
        <f>IF($B183&gt;MAX($B$2:$B182),1,0)</f>
        <v>0</v>
      </c>
      <c r="F183">
        <f>IF($C183&gt;MAX($C$2:$C182),1,0)</f>
        <v>0</v>
      </c>
      <c r="G183">
        <f t="shared" si="2"/>
        <v>0</v>
      </c>
    </row>
    <row r="184" spans="1:7" x14ac:dyDescent="0.25">
      <c r="A184">
        <v>83.25</v>
      </c>
      <c r="B184">
        <v>128.65</v>
      </c>
      <c r="C184">
        <v>108.37</v>
      </c>
      <c r="D184">
        <f>IF($A184&gt;MAX($A$2:$A183),1,0)</f>
        <v>0</v>
      </c>
      <c r="E184">
        <f>IF($B184&gt;MAX($B$2:$B183),1,0)</f>
        <v>0</v>
      </c>
      <c r="F184">
        <f>IF($C184&gt;MAX($C$2:$C183),1,0)</f>
        <v>0</v>
      </c>
      <c r="G184">
        <f t="shared" si="2"/>
        <v>0</v>
      </c>
    </row>
    <row r="185" spans="1:7" x14ac:dyDescent="0.25">
      <c r="A185">
        <v>81.319999999999993</v>
      </c>
      <c r="B185">
        <v>126.93</v>
      </c>
      <c r="C185">
        <v>109.22</v>
      </c>
      <c r="D185">
        <f>IF($A185&gt;MAX($A$2:$A184),1,0)</f>
        <v>0</v>
      </c>
      <c r="E185">
        <f>IF($B185&gt;MAX($B$2:$B184),1,0)</f>
        <v>0</v>
      </c>
      <c r="F185">
        <f>IF($C185&gt;MAX($C$2:$C184),1,0)</f>
        <v>0</v>
      </c>
      <c r="G185">
        <f t="shared" si="2"/>
        <v>0</v>
      </c>
    </row>
    <row r="186" spans="1:7" x14ac:dyDescent="0.25">
      <c r="A186">
        <v>82.7</v>
      </c>
      <c r="B186">
        <v>129.41</v>
      </c>
      <c r="C186">
        <v>107.78</v>
      </c>
      <c r="D186">
        <f>IF($A186&gt;MAX($A$2:$A185),1,0)</f>
        <v>0</v>
      </c>
      <c r="E186">
        <f>IF($B186&gt;MAX($B$2:$B185),1,0)</f>
        <v>0</v>
      </c>
      <c r="F186">
        <f>IF($C186&gt;MAX($C$2:$C185),1,0)</f>
        <v>0</v>
      </c>
      <c r="G186">
        <f t="shared" si="2"/>
        <v>0</v>
      </c>
    </row>
    <row r="187" spans="1:7" x14ac:dyDescent="0.25">
      <c r="A187">
        <v>84.81</v>
      </c>
      <c r="B187">
        <v>129.25</v>
      </c>
      <c r="C187">
        <v>109.71</v>
      </c>
      <c r="D187">
        <f>IF($A187&gt;MAX($A$2:$A186),1,0)</f>
        <v>0</v>
      </c>
      <c r="E187">
        <f>IF($B187&gt;MAX($B$2:$B186),1,0)</f>
        <v>0</v>
      </c>
      <c r="F187">
        <f>IF($C187&gt;MAX($C$2:$C186),1,0)</f>
        <v>0</v>
      </c>
      <c r="G187">
        <f t="shared" si="2"/>
        <v>0</v>
      </c>
    </row>
    <row r="188" spans="1:7" x14ac:dyDescent="0.25">
      <c r="A188">
        <v>86.6</v>
      </c>
      <c r="B188">
        <v>129.16999999999999</v>
      </c>
      <c r="C188">
        <v>107.74</v>
      </c>
      <c r="D188">
        <f>IF($A188&gt;MAX($A$2:$A187),1,0)</f>
        <v>0</v>
      </c>
      <c r="E188">
        <f>IF($B188&gt;MAX($B$2:$B187),1,0)</f>
        <v>0</v>
      </c>
      <c r="F188">
        <f>IF($C188&gt;MAX($C$2:$C187),1,0)</f>
        <v>0</v>
      </c>
      <c r="G188">
        <f t="shared" si="2"/>
        <v>0</v>
      </c>
    </row>
    <row r="189" spans="1:7" x14ac:dyDescent="0.25">
      <c r="A189">
        <v>87.71</v>
      </c>
      <c r="B189">
        <v>127.81</v>
      </c>
      <c r="C189">
        <v>109.77</v>
      </c>
      <c r="D189">
        <f>IF($A189&gt;MAX($A$2:$A188),1,0)</f>
        <v>0</v>
      </c>
      <c r="E189">
        <f>IF($B189&gt;MAX($B$2:$B188),1,0)</f>
        <v>0</v>
      </c>
      <c r="F189">
        <f>IF($C189&gt;MAX($C$2:$C188),1,0)</f>
        <v>0</v>
      </c>
      <c r="G189">
        <f t="shared" si="2"/>
        <v>0</v>
      </c>
    </row>
    <row r="190" spans="1:7" x14ac:dyDescent="0.25">
      <c r="A190">
        <v>86.58</v>
      </c>
      <c r="B190">
        <v>130.62</v>
      </c>
      <c r="C190">
        <v>111.27</v>
      </c>
      <c r="D190">
        <f>IF($A190&gt;MAX($A$2:$A189),1,0)</f>
        <v>0</v>
      </c>
      <c r="E190">
        <f>IF($B190&gt;MAX($B$2:$B189),1,0)</f>
        <v>0</v>
      </c>
      <c r="F190">
        <f>IF($C190&gt;MAX($C$2:$C189),1,0)</f>
        <v>0</v>
      </c>
      <c r="G190">
        <f t="shared" si="2"/>
        <v>0</v>
      </c>
    </row>
    <row r="191" spans="1:7" x14ac:dyDescent="0.25">
      <c r="A191">
        <v>85.23</v>
      </c>
      <c r="B191">
        <v>129.24</v>
      </c>
      <c r="C191">
        <v>109.41</v>
      </c>
      <c r="D191">
        <f>IF($A191&gt;MAX($A$2:$A190),1,0)</f>
        <v>0</v>
      </c>
      <c r="E191">
        <f>IF($B191&gt;MAX($B$2:$B190),1,0)</f>
        <v>0</v>
      </c>
      <c r="F191">
        <f>IF($C191&gt;MAX($C$2:$C190),1,0)</f>
        <v>0</v>
      </c>
      <c r="G191">
        <f t="shared" si="2"/>
        <v>0</v>
      </c>
    </row>
    <row r="192" spans="1:7" x14ac:dyDescent="0.25">
      <c r="A192">
        <v>87.45</v>
      </c>
      <c r="B192">
        <v>128.72</v>
      </c>
      <c r="C192">
        <v>109.72</v>
      </c>
      <c r="D192">
        <f>IF($A192&gt;MAX($A$2:$A191),1,0)</f>
        <v>0</v>
      </c>
      <c r="E192">
        <f>IF($B192&gt;MAX($B$2:$B191),1,0)</f>
        <v>0</v>
      </c>
      <c r="F192">
        <f>IF($C192&gt;MAX($C$2:$C191),1,0)</f>
        <v>0</v>
      </c>
      <c r="G192">
        <f t="shared" si="2"/>
        <v>0</v>
      </c>
    </row>
    <row r="193" spans="1:7" x14ac:dyDescent="0.25">
      <c r="A193">
        <v>86.12</v>
      </c>
      <c r="B193">
        <v>128.01</v>
      </c>
      <c r="C193">
        <v>108.19</v>
      </c>
      <c r="D193">
        <f>IF($A193&gt;MAX($A$2:$A192),1,0)</f>
        <v>0</v>
      </c>
      <c r="E193">
        <f>IF($B193&gt;MAX($B$2:$B192),1,0)</f>
        <v>0</v>
      </c>
      <c r="F193">
        <f>IF($C193&gt;MAX($C$2:$C192),1,0)</f>
        <v>0</v>
      </c>
      <c r="G193">
        <f t="shared" si="2"/>
        <v>0</v>
      </c>
    </row>
    <row r="194" spans="1:7" x14ac:dyDescent="0.25">
      <c r="A194">
        <v>87.45</v>
      </c>
      <c r="B194">
        <v>127.99</v>
      </c>
      <c r="C194">
        <v>109.68</v>
      </c>
      <c r="D194">
        <f>IF($A194&gt;MAX($A$2:$A193),1,0)</f>
        <v>0</v>
      </c>
      <c r="E194">
        <f>IF($B194&gt;MAX($B$2:$B193),1,0)</f>
        <v>0</v>
      </c>
      <c r="F194">
        <f>IF($C194&gt;MAX($C$2:$C193),1,0)</f>
        <v>0</v>
      </c>
      <c r="G194">
        <f t="shared" si="2"/>
        <v>0</v>
      </c>
    </row>
    <row r="195" spans="1:7" x14ac:dyDescent="0.25">
      <c r="A195">
        <v>89.49</v>
      </c>
      <c r="B195">
        <v>126.59</v>
      </c>
      <c r="C195">
        <v>110.39</v>
      </c>
      <c r="D195">
        <f>IF($A195&gt;MAX($A$2:$A194),1,0)</f>
        <v>0</v>
      </c>
      <c r="E195">
        <f>IF($B195&gt;MAX($B$2:$B194),1,0)</f>
        <v>0</v>
      </c>
      <c r="F195">
        <f>IF($C195&gt;MAX($C$2:$C194),1,0)</f>
        <v>0</v>
      </c>
      <c r="G195">
        <f t="shared" si="2"/>
        <v>0</v>
      </c>
    </row>
    <row r="196" spans="1:7" x14ac:dyDescent="0.25">
      <c r="A196">
        <v>87.85</v>
      </c>
      <c r="B196">
        <v>125.24</v>
      </c>
      <c r="C196">
        <v>111.28</v>
      </c>
      <c r="D196">
        <f>IF($A196&gt;MAX($A$2:$A195),1,0)</f>
        <v>0</v>
      </c>
      <c r="E196">
        <f>IF($B196&gt;MAX($B$2:$B195),1,0)</f>
        <v>0</v>
      </c>
      <c r="F196">
        <f>IF($C196&gt;MAX($C$2:$C195),1,0)</f>
        <v>0</v>
      </c>
      <c r="G196">
        <f t="shared" ref="G196:G259" si="3">IF(SUM(D196:F196)&gt;=2,1,0)</f>
        <v>0</v>
      </c>
    </row>
    <row r="197" spans="1:7" x14ac:dyDescent="0.25">
      <c r="A197">
        <v>89.46</v>
      </c>
      <c r="B197">
        <v>123.39</v>
      </c>
      <c r="C197">
        <v>112.56</v>
      </c>
      <c r="D197">
        <f>IF($A197&gt;MAX($A$2:$A196),1,0)</f>
        <v>0</v>
      </c>
      <c r="E197">
        <f>IF($B197&gt;MAX($B$2:$B196),1,0)</f>
        <v>0</v>
      </c>
      <c r="F197">
        <f>IF($C197&gt;MAX($C$2:$C196),1,0)</f>
        <v>1</v>
      </c>
      <c r="G197">
        <f t="shared" si="3"/>
        <v>0</v>
      </c>
    </row>
    <row r="198" spans="1:7" x14ac:dyDescent="0.25">
      <c r="A198">
        <v>87.6</v>
      </c>
      <c r="B198">
        <v>122.61</v>
      </c>
      <c r="C198">
        <v>113.15</v>
      </c>
      <c r="D198">
        <f>IF($A198&gt;MAX($A$2:$A197),1,0)</f>
        <v>0</v>
      </c>
      <c r="E198">
        <f>IF($B198&gt;MAX($B$2:$B197),1,0)</f>
        <v>0</v>
      </c>
      <c r="F198">
        <f>IF($C198&gt;MAX($C$2:$C197),1,0)</f>
        <v>1</v>
      </c>
      <c r="G198">
        <f t="shared" si="3"/>
        <v>0</v>
      </c>
    </row>
    <row r="199" spans="1:7" x14ac:dyDescent="0.25">
      <c r="A199">
        <v>87.87</v>
      </c>
      <c r="B199">
        <v>122.54</v>
      </c>
      <c r="C199">
        <v>114.21</v>
      </c>
      <c r="D199">
        <f>IF($A199&gt;MAX($A$2:$A198),1,0)</f>
        <v>0</v>
      </c>
      <c r="E199">
        <f>IF($B199&gt;MAX($B$2:$B198),1,0)</f>
        <v>0</v>
      </c>
      <c r="F199">
        <f>IF($C199&gt;MAX($C$2:$C198),1,0)</f>
        <v>1</v>
      </c>
      <c r="G199">
        <f t="shared" si="3"/>
        <v>0</v>
      </c>
    </row>
    <row r="200" spans="1:7" x14ac:dyDescent="0.25">
      <c r="A200">
        <v>88.46</v>
      </c>
      <c r="B200">
        <v>121.81</v>
      </c>
      <c r="C200">
        <v>114.89</v>
      </c>
      <c r="D200">
        <f>IF($A200&gt;MAX($A$2:$A199),1,0)</f>
        <v>0</v>
      </c>
      <c r="E200">
        <f>IF($B200&gt;MAX($B$2:$B199),1,0)</f>
        <v>0</v>
      </c>
      <c r="F200">
        <f>IF($C200&gt;MAX($C$2:$C199),1,0)</f>
        <v>1</v>
      </c>
      <c r="G200">
        <f t="shared" si="3"/>
        <v>0</v>
      </c>
    </row>
    <row r="201" spans="1:7" x14ac:dyDescent="0.25">
      <c r="A201">
        <v>90.4</v>
      </c>
      <c r="B201">
        <v>124.57</v>
      </c>
      <c r="C201">
        <v>114.91</v>
      </c>
      <c r="D201">
        <f>IF($A201&gt;MAX($A$2:$A200),1,0)</f>
        <v>0</v>
      </c>
      <c r="E201">
        <f>IF($B201&gt;MAX($B$2:$B200),1,0)</f>
        <v>0</v>
      </c>
      <c r="F201">
        <f>IF($C201&gt;MAX($C$2:$C200),1,0)</f>
        <v>1</v>
      </c>
      <c r="G201">
        <f t="shared" si="3"/>
        <v>0</v>
      </c>
    </row>
    <row r="202" spans="1:7" x14ac:dyDescent="0.25">
      <c r="A202">
        <v>88.55</v>
      </c>
      <c r="B202">
        <v>123.78</v>
      </c>
      <c r="C202">
        <v>112.97</v>
      </c>
      <c r="D202">
        <f>IF($A202&gt;MAX($A$2:$A201),1,0)</f>
        <v>0</v>
      </c>
      <c r="E202">
        <f>IF($B202&gt;MAX($B$2:$B201),1,0)</f>
        <v>0</v>
      </c>
      <c r="F202">
        <f>IF($C202&gt;MAX($C$2:$C201),1,0)</f>
        <v>0</v>
      </c>
      <c r="G202">
        <f t="shared" si="3"/>
        <v>0</v>
      </c>
    </row>
    <row r="203" spans="1:7" x14ac:dyDescent="0.25">
      <c r="A203">
        <v>86.63</v>
      </c>
      <c r="B203">
        <v>126.62</v>
      </c>
      <c r="C203">
        <v>111.12</v>
      </c>
      <c r="D203">
        <f>IF($A203&gt;MAX($A$2:$A202),1,0)</f>
        <v>0</v>
      </c>
      <c r="E203">
        <f>IF($B203&gt;MAX($B$2:$B202),1,0)</f>
        <v>0</v>
      </c>
      <c r="F203">
        <f>IF($C203&gt;MAX($C$2:$C202),1,0)</f>
        <v>0</v>
      </c>
      <c r="G203">
        <f t="shared" si="3"/>
        <v>0</v>
      </c>
    </row>
    <row r="204" spans="1:7" x14ac:dyDescent="0.25">
      <c r="A204">
        <v>88.98</v>
      </c>
      <c r="B204">
        <v>125.63</v>
      </c>
      <c r="C204">
        <v>111.44</v>
      </c>
      <c r="D204">
        <f>IF($A204&gt;MAX($A$2:$A203),1,0)</f>
        <v>0</v>
      </c>
      <c r="E204">
        <f>IF($B204&gt;MAX($B$2:$B203),1,0)</f>
        <v>0</v>
      </c>
      <c r="F204">
        <f>IF($C204&gt;MAX($C$2:$C203),1,0)</f>
        <v>0</v>
      </c>
      <c r="G204">
        <f t="shared" si="3"/>
        <v>0</v>
      </c>
    </row>
    <row r="205" spans="1:7" x14ac:dyDescent="0.25">
      <c r="A205">
        <v>90.85</v>
      </c>
      <c r="B205">
        <v>124.55</v>
      </c>
      <c r="C205">
        <v>113.24</v>
      </c>
      <c r="D205">
        <f>IF($A205&gt;MAX($A$2:$A204),1,0)</f>
        <v>0</v>
      </c>
      <c r="E205">
        <f>IF($B205&gt;MAX($B$2:$B204),1,0)</f>
        <v>0</v>
      </c>
      <c r="F205">
        <f>IF($C205&gt;MAX($C$2:$C204),1,0)</f>
        <v>0</v>
      </c>
      <c r="G205">
        <f t="shared" si="3"/>
        <v>0</v>
      </c>
    </row>
    <row r="206" spans="1:7" x14ac:dyDescent="0.25">
      <c r="A206">
        <v>89.19</v>
      </c>
      <c r="B206">
        <v>123.8</v>
      </c>
      <c r="C206">
        <v>111.26</v>
      </c>
      <c r="D206">
        <f>IF($A206&gt;MAX($A$2:$A205),1,0)</f>
        <v>0</v>
      </c>
      <c r="E206">
        <f>IF($B206&gt;MAX($B$2:$B205),1,0)</f>
        <v>0</v>
      </c>
      <c r="F206">
        <f>IF($C206&gt;MAX($C$2:$C205),1,0)</f>
        <v>0</v>
      </c>
      <c r="G206">
        <f t="shared" si="3"/>
        <v>0</v>
      </c>
    </row>
    <row r="207" spans="1:7" x14ac:dyDescent="0.25">
      <c r="A207">
        <v>91.15</v>
      </c>
      <c r="B207">
        <v>123.76</v>
      </c>
      <c r="C207">
        <v>109.56</v>
      </c>
      <c r="D207">
        <f>IF($A207&gt;MAX($A$2:$A206),1,0)</f>
        <v>0</v>
      </c>
      <c r="E207">
        <f>IF($B207&gt;MAX($B$2:$B206),1,0)</f>
        <v>0</v>
      </c>
      <c r="F207">
        <f>IF($C207&gt;MAX($C$2:$C206),1,0)</f>
        <v>0</v>
      </c>
      <c r="G207">
        <f t="shared" si="3"/>
        <v>0</v>
      </c>
    </row>
    <row r="208" spans="1:7" x14ac:dyDescent="0.25">
      <c r="A208">
        <v>93.49</v>
      </c>
      <c r="B208">
        <v>122.59</v>
      </c>
      <c r="C208">
        <v>109.82</v>
      </c>
      <c r="D208">
        <f>IF($A208&gt;MAX($A$2:$A207),1,0)</f>
        <v>0</v>
      </c>
      <c r="E208">
        <f>IF($B208&gt;MAX($B$2:$B207),1,0)</f>
        <v>0</v>
      </c>
      <c r="F208">
        <f>IF($C208&gt;MAX($C$2:$C207),1,0)</f>
        <v>0</v>
      </c>
      <c r="G208">
        <f t="shared" si="3"/>
        <v>0</v>
      </c>
    </row>
    <row r="209" spans="1:7" x14ac:dyDescent="0.25">
      <c r="A209">
        <v>92.45</v>
      </c>
      <c r="B209">
        <v>121.07</v>
      </c>
      <c r="C209">
        <v>111.61</v>
      </c>
      <c r="D209">
        <f>IF($A209&gt;MAX($A$2:$A208),1,0)</f>
        <v>0</v>
      </c>
      <c r="E209">
        <f>IF($B209&gt;MAX($B$2:$B208),1,0)</f>
        <v>0</v>
      </c>
      <c r="F209">
        <f>IF($C209&gt;MAX($C$2:$C208),1,0)</f>
        <v>0</v>
      </c>
      <c r="G209">
        <f t="shared" si="3"/>
        <v>0</v>
      </c>
    </row>
    <row r="210" spans="1:7" x14ac:dyDescent="0.25">
      <c r="A210">
        <v>90.51</v>
      </c>
      <c r="B210">
        <v>119.15</v>
      </c>
      <c r="C210">
        <v>110.11</v>
      </c>
      <c r="D210">
        <f>IF($A210&gt;MAX($A$2:$A209),1,0)</f>
        <v>0</v>
      </c>
      <c r="E210">
        <f>IF($B210&gt;MAX($B$2:$B209),1,0)</f>
        <v>0</v>
      </c>
      <c r="F210">
        <f>IF($C210&gt;MAX($C$2:$C209),1,0)</f>
        <v>0</v>
      </c>
      <c r="G210">
        <f t="shared" si="3"/>
        <v>0</v>
      </c>
    </row>
    <row r="211" spans="1:7" x14ac:dyDescent="0.25">
      <c r="A211">
        <v>91.65</v>
      </c>
      <c r="B211">
        <v>122.04</v>
      </c>
      <c r="C211">
        <v>111.72</v>
      </c>
      <c r="D211">
        <f>IF($A211&gt;MAX($A$2:$A210),1,0)</f>
        <v>0</v>
      </c>
      <c r="E211">
        <f>IF($B211&gt;MAX($B$2:$B210),1,0)</f>
        <v>0</v>
      </c>
      <c r="F211">
        <f>IF($C211&gt;MAX($C$2:$C210),1,0)</f>
        <v>0</v>
      </c>
      <c r="G211">
        <f t="shared" si="3"/>
        <v>0</v>
      </c>
    </row>
    <row r="212" spans="1:7" x14ac:dyDescent="0.25">
      <c r="A212">
        <v>92.92</v>
      </c>
      <c r="B212">
        <v>120.35</v>
      </c>
      <c r="C212">
        <v>111.85</v>
      </c>
      <c r="D212">
        <f>IF($A212&gt;MAX($A$2:$A211),1,0)</f>
        <v>0</v>
      </c>
      <c r="E212">
        <f>IF($B212&gt;MAX($B$2:$B211),1,0)</f>
        <v>0</v>
      </c>
      <c r="F212">
        <f>IF($C212&gt;MAX($C$2:$C211),1,0)</f>
        <v>0</v>
      </c>
      <c r="G212">
        <f t="shared" si="3"/>
        <v>0</v>
      </c>
    </row>
    <row r="213" spans="1:7" x14ac:dyDescent="0.25">
      <c r="A213">
        <v>91.21</v>
      </c>
      <c r="B213">
        <v>119.39</v>
      </c>
      <c r="C213">
        <v>113.24</v>
      </c>
      <c r="D213">
        <f>IF($A213&gt;MAX($A$2:$A212),1,0)</f>
        <v>0</v>
      </c>
      <c r="E213">
        <f>IF($B213&gt;MAX($B$2:$B212),1,0)</f>
        <v>0</v>
      </c>
      <c r="F213">
        <f>IF($C213&gt;MAX($C$2:$C212),1,0)</f>
        <v>0</v>
      </c>
      <c r="G213">
        <f t="shared" si="3"/>
        <v>0</v>
      </c>
    </row>
    <row r="214" spans="1:7" x14ac:dyDescent="0.25">
      <c r="A214">
        <v>93.43</v>
      </c>
      <c r="B214">
        <v>118.26</v>
      </c>
      <c r="C214">
        <v>114.79</v>
      </c>
      <c r="D214">
        <f>IF($A214&gt;MAX($A$2:$A213),1,0)</f>
        <v>0</v>
      </c>
      <c r="E214">
        <f>IF($B214&gt;MAX($B$2:$B213),1,0)</f>
        <v>0</v>
      </c>
      <c r="F214">
        <f>IF($C214&gt;MAX($C$2:$C213),1,0)</f>
        <v>0</v>
      </c>
      <c r="G214">
        <f t="shared" si="3"/>
        <v>0</v>
      </c>
    </row>
    <row r="215" spans="1:7" x14ac:dyDescent="0.25">
      <c r="A215">
        <v>91.8</v>
      </c>
      <c r="B215">
        <v>117.65</v>
      </c>
      <c r="C215">
        <v>113.2</v>
      </c>
      <c r="D215">
        <f>IF($A215&gt;MAX($A$2:$A214),1,0)</f>
        <v>0</v>
      </c>
      <c r="E215">
        <f>IF($B215&gt;MAX($B$2:$B214),1,0)</f>
        <v>0</v>
      </c>
      <c r="F215">
        <f>IF($C215&gt;MAX($C$2:$C214),1,0)</f>
        <v>0</v>
      </c>
      <c r="G215">
        <f t="shared" si="3"/>
        <v>0</v>
      </c>
    </row>
    <row r="216" spans="1:7" x14ac:dyDescent="0.25">
      <c r="A216">
        <v>91.8</v>
      </c>
      <c r="B216">
        <v>116.7</v>
      </c>
      <c r="C216">
        <v>113.27</v>
      </c>
      <c r="D216">
        <f>IF($A216&gt;MAX($A$2:$A215),1,0)</f>
        <v>0</v>
      </c>
      <c r="E216">
        <f>IF($B216&gt;MAX($B$2:$B215),1,0)</f>
        <v>0</v>
      </c>
      <c r="F216">
        <f>IF($C216&gt;MAX($C$2:$C215),1,0)</f>
        <v>0</v>
      </c>
      <c r="G216">
        <f t="shared" si="3"/>
        <v>0</v>
      </c>
    </row>
    <row r="217" spans="1:7" x14ac:dyDescent="0.25">
      <c r="A217">
        <v>92</v>
      </c>
      <c r="B217">
        <v>119.54</v>
      </c>
      <c r="C217">
        <v>111.75</v>
      </c>
      <c r="D217">
        <f>IF($A217&gt;MAX($A$2:$A216),1,0)</f>
        <v>0</v>
      </c>
      <c r="E217">
        <f>IF($B217&gt;MAX($B$2:$B216),1,0)</f>
        <v>0</v>
      </c>
      <c r="F217">
        <f>IF($C217&gt;MAX($C$2:$C216),1,0)</f>
        <v>0</v>
      </c>
      <c r="G217">
        <f t="shared" si="3"/>
        <v>0</v>
      </c>
    </row>
    <row r="218" spans="1:7" x14ac:dyDescent="0.25">
      <c r="A218">
        <v>92.36</v>
      </c>
      <c r="B218">
        <v>117.82</v>
      </c>
      <c r="C218">
        <v>112.97</v>
      </c>
      <c r="D218">
        <f>IF($A218&gt;MAX($A$2:$A217),1,0)</f>
        <v>0</v>
      </c>
      <c r="E218">
        <f>IF($B218&gt;MAX($B$2:$B217),1,0)</f>
        <v>0</v>
      </c>
      <c r="F218">
        <f>IF($C218&gt;MAX($C$2:$C217),1,0)</f>
        <v>0</v>
      </c>
      <c r="G218">
        <f t="shared" si="3"/>
        <v>0</v>
      </c>
    </row>
    <row r="219" spans="1:7" x14ac:dyDescent="0.25">
      <c r="A219">
        <v>92.9</v>
      </c>
      <c r="B219">
        <v>116.68</v>
      </c>
      <c r="C219">
        <v>114.74</v>
      </c>
      <c r="D219">
        <f>IF($A219&gt;MAX($A$2:$A218),1,0)</f>
        <v>0</v>
      </c>
      <c r="E219">
        <f>IF($B219&gt;MAX($B$2:$B218),1,0)</f>
        <v>0</v>
      </c>
      <c r="F219">
        <f>IF($C219&gt;MAX($C$2:$C218),1,0)</f>
        <v>0</v>
      </c>
      <c r="G219">
        <f t="shared" si="3"/>
        <v>0</v>
      </c>
    </row>
    <row r="220" spans="1:7" x14ac:dyDescent="0.25">
      <c r="A220">
        <v>93.1</v>
      </c>
      <c r="B220">
        <v>116.12</v>
      </c>
      <c r="C220">
        <v>115.57</v>
      </c>
      <c r="D220">
        <f>IF($A220&gt;MAX($A$2:$A219),1,0)</f>
        <v>0</v>
      </c>
      <c r="E220">
        <f>IF($B220&gt;MAX($B$2:$B219),1,0)</f>
        <v>0</v>
      </c>
      <c r="F220">
        <f>IF($C220&gt;MAX($C$2:$C219),1,0)</f>
        <v>1</v>
      </c>
      <c r="G220">
        <f t="shared" si="3"/>
        <v>0</v>
      </c>
    </row>
    <row r="221" spans="1:7" x14ac:dyDescent="0.25">
      <c r="A221">
        <v>91.21</v>
      </c>
      <c r="B221">
        <v>114.56</v>
      </c>
      <c r="C221">
        <v>116.87</v>
      </c>
      <c r="D221">
        <f>IF($A221&gt;MAX($A$2:$A220),1,0)</f>
        <v>0</v>
      </c>
      <c r="E221">
        <f>IF($B221&gt;MAX($B$2:$B220),1,0)</f>
        <v>0</v>
      </c>
      <c r="F221">
        <f>IF($C221&gt;MAX($C$2:$C220),1,0)</f>
        <v>1</v>
      </c>
      <c r="G221">
        <f t="shared" si="3"/>
        <v>0</v>
      </c>
    </row>
    <row r="222" spans="1:7" x14ac:dyDescent="0.25">
      <c r="A222">
        <v>91.54</v>
      </c>
      <c r="B222">
        <v>114.52</v>
      </c>
      <c r="C222">
        <v>114.98</v>
      </c>
      <c r="D222">
        <f>IF($A222&gt;MAX($A$2:$A221),1,0)</f>
        <v>0</v>
      </c>
      <c r="E222">
        <f>IF($B222&gt;MAX($B$2:$B221),1,0)</f>
        <v>0</v>
      </c>
      <c r="F222">
        <f>IF($C222&gt;MAX($C$2:$C221),1,0)</f>
        <v>0</v>
      </c>
      <c r="G222">
        <f t="shared" si="3"/>
        <v>0</v>
      </c>
    </row>
    <row r="223" spans="1:7" x14ac:dyDescent="0.25">
      <c r="A223">
        <v>90.34</v>
      </c>
      <c r="B223">
        <v>117.21</v>
      </c>
      <c r="C223">
        <v>115.04</v>
      </c>
      <c r="D223">
        <f>IF($A223&gt;MAX($A$2:$A222),1,0)</f>
        <v>0</v>
      </c>
      <c r="E223">
        <f>IF($B223&gt;MAX($B$2:$B222),1,0)</f>
        <v>0</v>
      </c>
      <c r="F223">
        <f>IF($C223&gt;MAX($C$2:$C222),1,0)</f>
        <v>0</v>
      </c>
      <c r="G223">
        <f t="shared" si="3"/>
        <v>0</v>
      </c>
    </row>
    <row r="224" spans="1:7" x14ac:dyDescent="0.25">
      <c r="A224">
        <v>92.62</v>
      </c>
      <c r="B224">
        <v>115.46</v>
      </c>
      <c r="C224">
        <v>113.31</v>
      </c>
      <c r="D224">
        <f>IF($A224&gt;MAX($A$2:$A223),1,0)</f>
        <v>0</v>
      </c>
      <c r="E224">
        <f>IF($B224&gt;MAX($B$2:$B223),1,0)</f>
        <v>0</v>
      </c>
      <c r="F224">
        <f>IF($C224&gt;MAX($C$2:$C223),1,0)</f>
        <v>0</v>
      </c>
      <c r="G224">
        <f t="shared" si="3"/>
        <v>0</v>
      </c>
    </row>
    <row r="225" spans="1:7" x14ac:dyDescent="0.25">
      <c r="A225">
        <v>91.21</v>
      </c>
      <c r="B225">
        <v>118.16</v>
      </c>
      <c r="C225">
        <v>114.96</v>
      </c>
      <c r="D225">
        <f>IF($A225&gt;MAX($A$2:$A224),1,0)</f>
        <v>0</v>
      </c>
      <c r="E225">
        <f>IF($B225&gt;MAX($B$2:$B224),1,0)</f>
        <v>0</v>
      </c>
      <c r="F225">
        <f>IF($C225&gt;MAX($C$2:$C224),1,0)</f>
        <v>0</v>
      </c>
      <c r="G225">
        <f t="shared" si="3"/>
        <v>0</v>
      </c>
    </row>
    <row r="226" spans="1:7" x14ac:dyDescent="0.25">
      <c r="A226">
        <v>89.52</v>
      </c>
      <c r="B226">
        <v>120.88</v>
      </c>
      <c r="C226">
        <v>116.8</v>
      </c>
      <c r="D226">
        <f>IF($A226&gt;MAX($A$2:$A225),1,0)</f>
        <v>0</v>
      </c>
      <c r="E226">
        <f>IF($B226&gt;MAX($B$2:$B225),1,0)</f>
        <v>0</v>
      </c>
      <c r="F226">
        <f>IF($C226&gt;MAX($C$2:$C225),1,0)</f>
        <v>0</v>
      </c>
      <c r="G226">
        <f t="shared" si="3"/>
        <v>0</v>
      </c>
    </row>
    <row r="227" spans="1:7" x14ac:dyDescent="0.25">
      <c r="A227">
        <v>90.34</v>
      </c>
      <c r="B227">
        <v>119.2</v>
      </c>
      <c r="C227">
        <v>115.36</v>
      </c>
      <c r="D227">
        <f>IF($A227&gt;MAX($A$2:$A226),1,0)</f>
        <v>0</v>
      </c>
      <c r="E227">
        <f>IF($B227&gt;MAX($B$2:$B226),1,0)</f>
        <v>0</v>
      </c>
      <c r="F227">
        <f>IF($C227&gt;MAX($C$2:$C226),1,0)</f>
        <v>0</v>
      </c>
      <c r="G227">
        <f t="shared" si="3"/>
        <v>0</v>
      </c>
    </row>
    <row r="228" spans="1:7" x14ac:dyDescent="0.25">
      <c r="A228">
        <v>91.91</v>
      </c>
      <c r="B228">
        <v>121.71</v>
      </c>
      <c r="C228">
        <v>116.53</v>
      </c>
      <c r="D228">
        <f>IF($A228&gt;MAX($A$2:$A227),1,0)</f>
        <v>0</v>
      </c>
      <c r="E228">
        <f>IF($B228&gt;MAX($B$2:$B227),1,0)</f>
        <v>0</v>
      </c>
      <c r="F228">
        <f>IF($C228&gt;MAX($C$2:$C227),1,0)</f>
        <v>0</v>
      </c>
      <c r="G228">
        <f t="shared" si="3"/>
        <v>0</v>
      </c>
    </row>
    <row r="229" spans="1:7" x14ac:dyDescent="0.25">
      <c r="A229">
        <v>90.8</v>
      </c>
      <c r="B229">
        <v>121</v>
      </c>
      <c r="C229">
        <v>117.96</v>
      </c>
      <c r="D229">
        <f>IF($A229&gt;MAX($A$2:$A228),1,0)</f>
        <v>0</v>
      </c>
      <c r="E229">
        <f>IF($B229&gt;MAX($B$2:$B228),1,0)</f>
        <v>0</v>
      </c>
      <c r="F229">
        <f>IF($C229&gt;MAX($C$2:$C228),1,0)</f>
        <v>1</v>
      </c>
      <c r="G229">
        <f t="shared" si="3"/>
        <v>0</v>
      </c>
    </row>
    <row r="230" spans="1:7" x14ac:dyDescent="0.25">
      <c r="A230">
        <v>88.98</v>
      </c>
      <c r="B230">
        <v>119.69</v>
      </c>
      <c r="C230">
        <v>118.03</v>
      </c>
      <c r="D230">
        <f>IF($A230&gt;MAX($A$2:$A229),1,0)</f>
        <v>0</v>
      </c>
      <c r="E230">
        <f>IF($B230&gt;MAX($B$2:$B229),1,0)</f>
        <v>0</v>
      </c>
      <c r="F230">
        <f>IF($C230&gt;MAX($C$2:$C229),1,0)</f>
        <v>1</v>
      </c>
      <c r="G230">
        <f t="shared" si="3"/>
        <v>0</v>
      </c>
    </row>
    <row r="231" spans="1:7" x14ac:dyDescent="0.25">
      <c r="A231">
        <v>89.86</v>
      </c>
      <c r="B231">
        <v>117.74</v>
      </c>
      <c r="C231">
        <v>119.61</v>
      </c>
      <c r="D231">
        <f>IF($A231&gt;MAX($A$2:$A230),1,0)</f>
        <v>0</v>
      </c>
      <c r="E231">
        <f>IF($B231&gt;MAX($B$2:$B230),1,0)</f>
        <v>0</v>
      </c>
      <c r="F231">
        <f>IF($C231&gt;MAX($C$2:$C230),1,0)</f>
        <v>1</v>
      </c>
      <c r="G231">
        <f t="shared" si="3"/>
        <v>0</v>
      </c>
    </row>
    <row r="232" spans="1:7" x14ac:dyDescent="0.25">
      <c r="A232">
        <v>88.45</v>
      </c>
      <c r="B232">
        <v>115.81</v>
      </c>
      <c r="C232">
        <v>120.03</v>
      </c>
      <c r="D232">
        <f>IF($A232&gt;MAX($A$2:$A231),1,0)</f>
        <v>0</v>
      </c>
      <c r="E232">
        <f>IF($B232&gt;MAX($B$2:$B231),1,0)</f>
        <v>0</v>
      </c>
      <c r="F232">
        <f>IF($C232&gt;MAX($C$2:$C231),1,0)</f>
        <v>1</v>
      </c>
      <c r="G232">
        <f t="shared" si="3"/>
        <v>0</v>
      </c>
    </row>
    <row r="233" spans="1:7" x14ac:dyDescent="0.25">
      <c r="A233">
        <v>86.77</v>
      </c>
      <c r="B233">
        <v>115.06</v>
      </c>
      <c r="C233">
        <v>121.42</v>
      </c>
      <c r="D233">
        <f>IF($A233&gt;MAX($A$2:$A232),1,0)</f>
        <v>0</v>
      </c>
      <c r="E233">
        <f>IF($B233&gt;MAX($B$2:$B232),1,0)</f>
        <v>0</v>
      </c>
      <c r="F233">
        <f>IF($C233&gt;MAX($C$2:$C232),1,0)</f>
        <v>1</v>
      </c>
      <c r="G233">
        <f t="shared" si="3"/>
        <v>0</v>
      </c>
    </row>
    <row r="234" spans="1:7" x14ac:dyDescent="0.25">
      <c r="A234">
        <v>85.63</v>
      </c>
      <c r="B234">
        <v>117.64</v>
      </c>
      <c r="C234">
        <v>119.78</v>
      </c>
      <c r="D234">
        <f>IF($A234&gt;MAX($A$2:$A233),1,0)</f>
        <v>0</v>
      </c>
      <c r="E234">
        <f>IF($B234&gt;MAX($B$2:$B233),1,0)</f>
        <v>0</v>
      </c>
      <c r="F234">
        <f>IF($C234&gt;MAX($C$2:$C233),1,0)</f>
        <v>0</v>
      </c>
      <c r="G234">
        <f t="shared" si="3"/>
        <v>0</v>
      </c>
    </row>
    <row r="235" spans="1:7" x14ac:dyDescent="0.25">
      <c r="A235">
        <v>87.73</v>
      </c>
      <c r="B235">
        <v>116.28</v>
      </c>
      <c r="C235">
        <v>117.8</v>
      </c>
      <c r="D235">
        <f>IF($A235&gt;MAX($A$2:$A234),1,0)</f>
        <v>0</v>
      </c>
      <c r="E235">
        <f>IF($B235&gt;MAX($B$2:$B234),1,0)</f>
        <v>0</v>
      </c>
      <c r="F235">
        <f>IF($C235&gt;MAX($C$2:$C234),1,0)</f>
        <v>0</v>
      </c>
      <c r="G235">
        <f t="shared" si="3"/>
        <v>0</v>
      </c>
    </row>
    <row r="236" spans="1:7" x14ac:dyDescent="0.25">
      <c r="A236">
        <v>89.17</v>
      </c>
      <c r="B236">
        <v>116.04</v>
      </c>
      <c r="C236">
        <v>118.56</v>
      </c>
      <c r="D236">
        <f>IF($A236&gt;MAX($A$2:$A235),1,0)</f>
        <v>0</v>
      </c>
      <c r="E236">
        <f>IF($B236&gt;MAX($B$2:$B235),1,0)</f>
        <v>0</v>
      </c>
      <c r="F236">
        <f>IF($C236&gt;MAX($C$2:$C235),1,0)</f>
        <v>0</v>
      </c>
      <c r="G236">
        <f t="shared" si="3"/>
        <v>0</v>
      </c>
    </row>
    <row r="237" spans="1:7" x14ac:dyDescent="0.25">
      <c r="A237">
        <v>88.01</v>
      </c>
      <c r="B237">
        <v>115.24</v>
      </c>
      <c r="C237">
        <v>119.36</v>
      </c>
      <c r="D237">
        <f>IF($A237&gt;MAX($A$2:$A236),1,0)</f>
        <v>0</v>
      </c>
      <c r="E237">
        <f>IF($B237&gt;MAX($B$2:$B236),1,0)</f>
        <v>0</v>
      </c>
      <c r="F237">
        <f>IF($C237&gt;MAX($C$2:$C236),1,0)</f>
        <v>0</v>
      </c>
      <c r="G237">
        <f t="shared" si="3"/>
        <v>0</v>
      </c>
    </row>
    <row r="238" spans="1:7" x14ac:dyDescent="0.25">
      <c r="A238">
        <v>88.31</v>
      </c>
      <c r="B238">
        <v>114.55</v>
      </c>
      <c r="C238">
        <v>121.42</v>
      </c>
      <c r="D238">
        <f>IF($A238&gt;MAX($A$2:$A237),1,0)</f>
        <v>0</v>
      </c>
      <c r="E238">
        <f>IF($B238&gt;MAX($B$2:$B237),1,0)</f>
        <v>0</v>
      </c>
      <c r="F238">
        <f>IF($C238&gt;MAX($C$2:$C237),1,0)</f>
        <v>0</v>
      </c>
      <c r="G238">
        <f t="shared" si="3"/>
        <v>0</v>
      </c>
    </row>
    <row r="239" spans="1:7" x14ac:dyDescent="0.25">
      <c r="A239">
        <v>86.56</v>
      </c>
      <c r="B239">
        <v>114.27</v>
      </c>
      <c r="C239">
        <v>122.84</v>
      </c>
      <c r="D239">
        <f>IF($A239&gt;MAX($A$2:$A238),1,0)</f>
        <v>0</v>
      </c>
      <c r="E239">
        <f>IF($B239&gt;MAX($B$2:$B238),1,0)</f>
        <v>0</v>
      </c>
      <c r="F239">
        <f>IF($C239&gt;MAX($C$2:$C238),1,0)</f>
        <v>1</v>
      </c>
      <c r="G239">
        <f t="shared" si="3"/>
        <v>0</v>
      </c>
    </row>
    <row r="240" spans="1:7" x14ac:dyDescent="0.25">
      <c r="A240">
        <v>87.67</v>
      </c>
      <c r="B240">
        <v>113.44</v>
      </c>
      <c r="C240">
        <v>123.27</v>
      </c>
      <c r="D240">
        <f>IF($A240&gt;MAX($A$2:$A239),1,0)</f>
        <v>0</v>
      </c>
      <c r="E240">
        <f>IF($B240&gt;MAX($B$2:$B239),1,0)</f>
        <v>0</v>
      </c>
      <c r="F240">
        <f>IF($C240&gt;MAX($C$2:$C239),1,0)</f>
        <v>1</v>
      </c>
      <c r="G240">
        <f t="shared" si="3"/>
        <v>0</v>
      </c>
    </row>
    <row r="241" spans="1:7" x14ac:dyDescent="0.25">
      <c r="A241">
        <v>88.52</v>
      </c>
      <c r="B241">
        <v>112.32</v>
      </c>
      <c r="C241">
        <v>124.11</v>
      </c>
      <c r="D241">
        <f>IF($A241&gt;MAX($A$2:$A240),1,0)</f>
        <v>0</v>
      </c>
      <c r="E241">
        <f>IF($B241&gt;MAX($B$2:$B240),1,0)</f>
        <v>0</v>
      </c>
      <c r="F241">
        <f>IF($C241&gt;MAX($C$2:$C240),1,0)</f>
        <v>1</v>
      </c>
      <c r="G241">
        <f t="shared" si="3"/>
        <v>0</v>
      </c>
    </row>
    <row r="242" spans="1:7" x14ac:dyDescent="0.25">
      <c r="A242">
        <v>87.25</v>
      </c>
      <c r="B242">
        <v>111.2</v>
      </c>
      <c r="C242">
        <v>122.69</v>
      </c>
      <c r="D242">
        <f>IF($A242&gt;MAX($A$2:$A241),1,0)</f>
        <v>0</v>
      </c>
      <c r="E242">
        <f>IF($B242&gt;MAX($B$2:$B241),1,0)</f>
        <v>0</v>
      </c>
      <c r="F242">
        <f>IF($C242&gt;MAX($C$2:$C241),1,0)</f>
        <v>0</v>
      </c>
      <c r="G242">
        <f t="shared" si="3"/>
        <v>0</v>
      </c>
    </row>
    <row r="243" spans="1:7" x14ac:dyDescent="0.25">
      <c r="A243">
        <v>85.42</v>
      </c>
      <c r="B243">
        <v>113.85</v>
      </c>
      <c r="C243">
        <v>123.41</v>
      </c>
      <c r="D243">
        <f>IF($A243&gt;MAX($A$2:$A242),1,0)</f>
        <v>0</v>
      </c>
      <c r="E243">
        <f>IF($B243&gt;MAX($B$2:$B242),1,0)</f>
        <v>0</v>
      </c>
      <c r="F243">
        <f>IF($C243&gt;MAX($C$2:$C242),1,0)</f>
        <v>0</v>
      </c>
      <c r="G243">
        <f t="shared" si="3"/>
        <v>0</v>
      </c>
    </row>
    <row r="244" spans="1:7" x14ac:dyDescent="0.25">
      <c r="A244">
        <v>86.62</v>
      </c>
      <c r="B244">
        <v>112.4</v>
      </c>
      <c r="C244">
        <v>124.95</v>
      </c>
      <c r="D244">
        <f>IF($A244&gt;MAX($A$2:$A243),1,0)</f>
        <v>0</v>
      </c>
      <c r="E244">
        <f>IF($B244&gt;MAX($B$2:$B243),1,0)</f>
        <v>0</v>
      </c>
      <c r="F244">
        <f>IF($C244&gt;MAX($C$2:$C243),1,0)</f>
        <v>1</v>
      </c>
      <c r="G244">
        <f t="shared" si="3"/>
        <v>0</v>
      </c>
    </row>
    <row r="245" spans="1:7" x14ac:dyDescent="0.25">
      <c r="A245">
        <v>88.88</v>
      </c>
      <c r="B245">
        <v>110.75</v>
      </c>
      <c r="C245">
        <v>123.43</v>
      </c>
      <c r="D245">
        <f>IF($A245&gt;MAX($A$2:$A244),1,0)</f>
        <v>0</v>
      </c>
      <c r="E245">
        <f>IF($B245&gt;MAX($B$2:$B244),1,0)</f>
        <v>0</v>
      </c>
      <c r="F245">
        <f>IF($C245&gt;MAX($C$2:$C244),1,0)</f>
        <v>0</v>
      </c>
      <c r="G245">
        <f t="shared" si="3"/>
        <v>0</v>
      </c>
    </row>
    <row r="246" spans="1:7" x14ac:dyDescent="0.25">
      <c r="A246">
        <v>91.29</v>
      </c>
      <c r="B246">
        <v>113.66</v>
      </c>
      <c r="C246">
        <v>124.69</v>
      </c>
      <c r="D246">
        <f>IF($A246&gt;MAX($A$2:$A245),1,0)</f>
        <v>0</v>
      </c>
      <c r="E246">
        <f>IF($B246&gt;MAX($B$2:$B245),1,0)</f>
        <v>0</v>
      </c>
      <c r="F246">
        <f>IF($C246&gt;MAX($C$2:$C245),1,0)</f>
        <v>0</v>
      </c>
      <c r="G246">
        <f t="shared" si="3"/>
        <v>0</v>
      </c>
    </row>
    <row r="247" spans="1:7" x14ac:dyDescent="0.25">
      <c r="A247">
        <v>93.1</v>
      </c>
      <c r="B247">
        <v>116.29</v>
      </c>
      <c r="C247">
        <v>126.35</v>
      </c>
      <c r="D247">
        <f>IF($A247&gt;MAX($A$2:$A246),1,0)</f>
        <v>0</v>
      </c>
      <c r="E247">
        <f>IF($B247&gt;MAX($B$2:$B246),1,0)</f>
        <v>0</v>
      </c>
      <c r="F247">
        <f>IF($C247&gt;MAX($C$2:$C246),1,0)</f>
        <v>1</v>
      </c>
      <c r="G247">
        <f t="shared" si="3"/>
        <v>0</v>
      </c>
    </row>
    <row r="248" spans="1:7" x14ac:dyDescent="0.25">
      <c r="A248">
        <v>93.12</v>
      </c>
      <c r="B248">
        <v>115.9</v>
      </c>
      <c r="C248">
        <v>128.30000000000001</v>
      </c>
      <c r="D248">
        <f>IF($A248&gt;MAX($A$2:$A247),1,0)</f>
        <v>0</v>
      </c>
      <c r="E248">
        <f>IF($B248&gt;MAX($B$2:$B247),1,0)</f>
        <v>0</v>
      </c>
      <c r="F248">
        <f>IF($C248&gt;MAX($C$2:$C247),1,0)</f>
        <v>1</v>
      </c>
      <c r="G248">
        <f t="shared" si="3"/>
        <v>0</v>
      </c>
    </row>
    <row r="249" spans="1:7" x14ac:dyDescent="0.25">
      <c r="A249">
        <v>91.63</v>
      </c>
      <c r="B249">
        <v>115.81</v>
      </c>
      <c r="C249">
        <v>130.11000000000001</v>
      </c>
      <c r="D249">
        <f>IF($A249&gt;MAX($A$2:$A248),1,0)</f>
        <v>0</v>
      </c>
      <c r="E249">
        <f>IF($B249&gt;MAX($B$2:$B248),1,0)</f>
        <v>0</v>
      </c>
      <c r="F249">
        <f>IF($C249&gt;MAX($C$2:$C248),1,0)</f>
        <v>1</v>
      </c>
      <c r="G249">
        <f t="shared" si="3"/>
        <v>0</v>
      </c>
    </row>
    <row r="250" spans="1:7" x14ac:dyDescent="0.25">
      <c r="A250">
        <v>92.81</v>
      </c>
      <c r="B250">
        <v>118.4</v>
      </c>
      <c r="C250">
        <v>131.28</v>
      </c>
      <c r="D250">
        <f>IF($A250&gt;MAX($A$2:$A249),1,0)</f>
        <v>0</v>
      </c>
      <c r="E250">
        <f>IF($B250&gt;MAX($B$2:$B249),1,0)</f>
        <v>0</v>
      </c>
      <c r="F250">
        <f>IF($C250&gt;MAX($C$2:$C249),1,0)</f>
        <v>1</v>
      </c>
      <c r="G250">
        <f t="shared" si="3"/>
        <v>0</v>
      </c>
    </row>
    <row r="251" spans="1:7" x14ac:dyDescent="0.25">
      <c r="A251">
        <v>91.5</v>
      </c>
      <c r="B251">
        <v>117.81</v>
      </c>
      <c r="C251">
        <v>129.41</v>
      </c>
      <c r="D251">
        <f>IF($A251&gt;MAX($A$2:$A250),1,0)</f>
        <v>0</v>
      </c>
      <c r="E251">
        <f>IF($B251&gt;MAX($B$2:$B250),1,0)</f>
        <v>0</v>
      </c>
      <c r="F251">
        <f>IF($C251&gt;MAX($C$2:$C250),1,0)</f>
        <v>0</v>
      </c>
      <c r="G251">
        <f t="shared" si="3"/>
        <v>0</v>
      </c>
    </row>
    <row r="252" spans="1:7" x14ac:dyDescent="0.25">
      <c r="A252">
        <v>89.95</v>
      </c>
      <c r="B252">
        <v>116.4</v>
      </c>
      <c r="C252">
        <v>130.46</v>
      </c>
      <c r="D252">
        <f>IF($A252&gt;MAX($A$2:$A251),1,0)</f>
        <v>0</v>
      </c>
      <c r="E252">
        <f>IF($B252&gt;MAX($B$2:$B251),1,0)</f>
        <v>0</v>
      </c>
      <c r="F252">
        <f>IF($C252&gt;MAX($C$2:$C251),1,0)</f>
        <v>0</v>
      </c>
      <c r="G252">
        <f t="shared" si="3"/>
        <v>0</v>
      </c>
    </row>
    <row r="253" spans="1:7" x14ac:dyDescent="0.25">
      <c r="A253">
        <v>88.12</v>
      </c>
      <c r="B253">
        <v>115.83</v>
      </c>
      <c r="C253">
        <v>128.5</v>
      </c>
      <c r="D253">
        <f>IF($A253&gt;MAX($A$2:$A252),1,0)</f>
        <v>0</v>
      </c>
      <c r="E253">
        <f>IF($B253&gt;MAX($B$2:$B252),1,0)</f>
        <v>0</v>
      </c>
      <c r="F253">
        <f>IF($C253&gt;MAX($C$2:$C252),1,0)</f>
        <v>0</v>
      </c>
      <c r="G253">
        <f t="shared" si="3"/>
        <v>0</v>
      </c>
    </row>
    <row r="254" spans="1:7" x14ac:dyDescent="0.25">
      <c r="A254">
        <v>89.9</v>
      </c>
      <c r="B254">
        <v>115.44</v>
      </c>
      <c r="C254">
        <v>130.22</v>
      </c>
      <c r="D254">
        <f>IF($A254&gt;MAX($A$2:$A253),1,0)</f>
        <v>0</v>
      </c>
      <c r="E254">
        <f>IF($B254&gt;MAX($B$2:$B253),1,0)</f>
        <v>0</v>
      </c>
      <c r="F254">
        <f>IF($C254&gt;MAX($C$2:$C253),1,0)</f>
        <v>0</v>
      </c>
      <c r="G254">
        <f t="shared" si="3"/>
        <v>0</v>
      </c>
    </row>
    <row r="255" spans="1:7" x14ac:dyDescent="0.25">
      <c r="A255">
        <v>88.53</v>
      </c>
      <c r="B255">
        <v>114.28</v>
      </c>
      <c r="C255">
        <v>128.71</v>
      </c>
      <c r="D255">
        <f>IF($A255&gt;MAX($A$2:$A254),1,0)</f>
        <v>0</v>
      </c>
      <c r="E255">
        <f>IF($B255&gt;MAX($B$2:$B254),1,0)</f>
        <v>0</v>
      </c>
      <c r="F255">
        <f>IF($C255&gt;MAX($C$2:$C254),1,0)</f>
        <v>0</v>
      </c>
      <c r="G255">
        <f t="shared" si="3"/>
        <v>0</v>
      </c>
    </row>
    <row r="256" spans="1:7" x14ac:dyDescent="0.25">
      <c r="A256">
        <v>89.84</v>
      </c>
      <c r="B256">
        <v>112.41</v>
      </c>
      <c r="C256">
        <v>129.19999999999999</v>
      </c>
      <c r="D256">
        <f>IF($A256&gt;MAX($A$2:$A255),1,0)</f>
        <v>0</v>
      </c>
      <c r="E256">
        <f>IF($B256&gt;MAX($B$2:$B255),1,0)</f>
        <v>0</v>
      </c>
      <c r="F256">
        <f>IF($C256&gt;MAX($C$2:$C255),1,0)</f>
        <v>0</v>
      </c>
      <c r="G256">
        <f t="shared" si="3"/>
        <v>0</v>
      </c>
    </row>
    <row r="257" spans="1:7" x14ac:dyDescent="0.25">
      <c r="A257">
        <v>88.49</v>
      </c>
      <c r="B257">
        <v>111.14</v>
      </c>
      <c r="C257">
        <v>127.53</v>
      </c>
      <c r="D257">
        <f>IF($A257&gt;MAX($A$2:$A256),1,0)</f>
        <v>0</v>
      </c>
      <c r="E257">
        <f>IF($B257&gt;MAX($B$2:$B256),1,0)</f>
        <v>0</v>
      </c>
      <c r="F257">
        <f>IF($C257&gt;MAX($C$2:$C256),1,0)</f>
        <v>0</v>
      </c>
      <c r="G257">
        <f t="shared" si="3"/>
        <v>0</v>
      </c>
    </row>
    <row r="258" spans="1:7" x14ac:dyDescent="0.25">
      <c r="A258">
        <v>89.57</v>
      </c>
      <c r="B258">
        <v>110.14</v>
      </c>
      <c r="C258">
        <v>127.7</v>
      </c>
      <c r="D258">
        <f>IF($A258&gt;MAX($A$2:$A257),1,0)</f>
        <v>0</v>
      </c>
      <c r="E258">
        <f>IF($B258&gt;MAX($B$2:$B257),1,0)</f>
        <v>0</v>
      </c>
      <c r="F258">
        <f>IF($C258&gt;MAX($C$2:$C257),1,0)</f>
        <v>0</v>
      </c>
      <c r="G258">
        <f t="shared" si="3"/>
        <v>0</v>
      </c>
    </row>
    <row r="259" spans="1:7" x14ac:dyDescent="0.25">
      <c r="A259">
        <v>88.41</v>
      </c>
      <c r="B259">
        <v>109.88</v>
      </c>
      <c r="C259">
        <v>126.09</v>
      </c>
      <c r="D259">
        <f>IF($A259&gt;MAX($A$2:$A258),1,0)</f>
        <v>0</v>
      </c>
      <c r="E259">
        <f>IF($B259&gt;MAX($B$2:$B258),1,0)</f>
        <v>0</v>
      </c>
      <c r="F259">
        <f>IF($C259&gt;MAX($C$2:$C258),1,0)</f>
        <v>0</v>
      </c>
      <c r="G259">
        <f t="shared" si="3"/>
        <v>0</v>
      </c>
    </row>
    <row r="260" spans="1:7" x14ac:dyDescent="0.25">
      <c r="A260">
        <v>86.51</v>
      </c>
      <c r="B260">
        <v>109.46</v>
      </c>
      <c r="C260">
        <v>126.84</v>
      </c>
      <c r="D260">
        <f>IF($A260&gt;MAX($A$2:$A259),1,0)</f>
        <v>0</v>
      </c>
      <c r="E260">
        <f>IF($B260&gt;MAX($B$2:$B259),1,0)</f>
        <v>0</v>
      </c>
      <c r="F260">
        <f>IF($C260&gt;MAX($C$2:$C259),1,0)</f>
        <v>0</v>
      </c>
      <c r="G260">
        <f t="shared" ref="G260:G323" si="4">IF(SUM(D260:F260)&gt;=2,1,0)</f>
        <v>0</v>
      </c>
    </row>
    <row r="261" spans="1:7" x14ac:dyDescent="0.25">
      <c r="A261">
        <v>85.32</v>
      </c>
      <c r="B261">
        <v>109.05</v>
      </c>
      <c r="C261">
        <v>127.17</v>
      </c>
      <c r="D261">
        <f>IF($A261&gt;MAX($A$2:$A260),1,0)</f>
        <v>0</v>
      </c>
      <c r="E261">
        <f>IF($B261&gt;MAX($B$2:$B260),1,0)</f>
        <v>0</v>
      </c>
      <c r="F261">
        <f>IF($C261&gt;MAX($C$2:$C260),1,0)</f>
        <v>0</v>
      </c>
      <c r="G261">
        <f t="shared" si="4"/>
        <v>0</v>
      </c>
    </row>
    <row r="262" spans="1:7" x14ac:dyDescent="0.25">
      <c r="A262">
        <v>84.06</v>
      </c>
      <c r="B262">
        <v>108.22</v>
      </c>
      <c r="C262">
        <v>127.26</v>
      </c>
      <c r="D262">
        <f>IF($A262&gt;MAX($A$2:$A261),1,0)</f>
        <v>0</v>
      </c>
      <c r="E262">
        <f>IF($B262&gt;MAX($B$2:$B261),1,0)</f>
        <v>0</v>
      </c>
      <c r="F262">
        <f>IF($C262&gt;MAX($C$2:$C261),1,0)</f>
        <v>0</v>
      </c>
      <c r="G262">
        <f t="shared" si="4"/>
        <v>0</v>
      </c>
    </row>
    <row r="263" spans="1:7" x14ac:dyDescent="0.25">
      <c r="A263">
        <v>82.3</v>
      </c>
      <c r="B263">
        <v>108.01</v>
      </c>
      <c r="C263">
        <v>127.33</v>
      </c>
      <c r="D263">
        <f>IF($A263&gt;MAX($A$2:$A262),1,0)</f>
        <v>0</v>
      </c>
      <c r="E263">
        <f>IF($B263&gt;MAX($B$2:$B262),1,0)</f>
        <v>0</v>
      </c>
      <c r="F263">
        <f>IF($C263&gt;MAX($C$2:$C262),1,0)</f>
        <v>0</v>
      </c>
      <c r="G263">
        <f t="shared" si="4"/>
        <v>0</v>
      </c>
    </row>
    <row r="264" spans="1:7" x14ac:dyDescent="0.25">
      <c r="A264">
        <v>80.760000000000005</v>
      </c>
      <c r="B264">
        <v>106.11</v>
      </c>
      <c r="C264">
        <v>128.84</v>
      </c>
      <c r="D264">
        <f>IF($A264&gt;MAX($A$2:$A263),1,0)</f>
        <v>0</v>
      </c>
      <c r="E264">
        <f>IF($B264&gt;MAX($B$2:$B263),1,0)</f>
        <v>0</v>
      </c>
      <c r="F264">
        <f>IF($C264&gt;MAX($C$2:$C263),1,0)</f>
        <v>0</v>
      </c>
      <c r="G264">
        <f t="shared" si="4"/>
        <v>0</v>
      </c>
    </row>
    <row r="265" spans="1:7" x14ac:dyDescent="0.25">
      <c r="A265">
        <v>79.739999999999995</v>
      </c>
      <c r="B265">
        <v>109.11</v>
      </c>
      <c r="C265">
        <v>130.11000000000001</v>
      </c>
      <c r="D265">
        <f>IF($A265&gt;MAX($A$2:$A264),1,0)</f>
        <v>0</v>
      </c>
      <c r="E265">
        <f>IF($B265&gt;MAX($B$2:$B264),1,0)</f>
        <v>0</v>
      </c>
      <c r="F265">
        <f>IF($C265&gt;MAX($C$2:$C264),1,0)</f>
        <v>0</v>
      </c>
      <c r="G265">
        <f t="shared" si="4"/>
        <v>0</v>
      </c>
    </row>
    <row r="266" spans="1:7" x14ac:dyDescent="0.25">
      <c r="A266">
        <v>77.97</v>
      </c>
      <c r="B266">
        <v>107.8</v>
      </c>
      <c r="C266">
        <v>130.80000000000001</v>
      </c>
      <c r="D266">
        <f>IF($A266&gt;MAX($A$2:$A265),1,0)</f>
        <v>0</v>
      </c>
      <c r="E266">
        <f>IF($B266&gt;MAX($B$2:$B265),1,0)</f>
        <v>0</v>
      </c>
      <c r="F266">
        <f>IF($C266&gt;MAX($C$2:$C265),1,0)</f>
        <v>0</v>
      </c>
      <c r="G266">
        <f t="shared" si="4"/>
        <v>0</v>
      </c>
    </row>
    <row r="267" spans="1:7" x14ac:dyDescent="0.25">
      <c r="A267">
        <v>76.87</v>
      </c>
      <c r="B267">
        <v>107.08</v>
      </c>
      <c r="C267">
        <v>131.66</v>
      </c>
      <c r="D267">
        <f>IF($A267&gt;MAX($A$2:$A266),1,0)</f>
        <v>0</v>
      </c>
      <c r="E267">
        <f>IF($B267&gt;MAX($B$2:$B266),1,0)</f>
        <v>0</v>
      </c>
      <c r="F267">
        <f>IF($C267&gt;MAX($C$2:$C266),1,0)</f>
        <v>1</v>
      </c>
      <c r="G267">
        <f t="shared" si="4"/>
        <v>0</v>
      </c>
    </row>
    <row r="268" spans="1:7" x14ac:dyDescent="0.25">
      <c r="A268">
        <v>75.680000000000007</v>
      </c>
      <c r="B268">
        <v>106.03</v>
      </c>
      <c r="C268">
        <v>133.33000000000001</v>
      </c>
      <c r="D268">
        <f>IF($A268&gt;MAX($A$2:$A267),1,0)</f>
        <v>0</v>
      </c>
      <c r="E268">
        <f>IF($B268&gt;MAX($B$2:$B267),1,0)</f>
        <v>0</v>
      </c>
      <c r="F268">
        <f>IF($C268&gt;MAX($C$2:$C267),1,0)</f>
        <v>1</v>
      </c>
      <c r="G268">
        <f t="shared" si="4"/>
        <v>0</v>
      </c>
    </row>
    <row r="269" spans="1:7" x14ac:dyDescent="0.25">
      <c r="A269">
        <v>74</v>
      </c>
      <c r="B269">
        <v>108.96</v>
      </c>
      <c r="C269">
        <v>135</v>
      </c>
      <c r="D269">
        <f>IF($A269&gt;MAX($A$2:$A268),1,0)</f>
        <v>0</v>
      </c>
      <c r="E269">
        <f>IF($B269&gt;MAX($B$2:$B268),1,0)</f>
        <v>0</v>
      </c>
      <c r="F269">
        <f>IF($C269&gt;MAX($C$2:$C268),1,0)</f>
        <v>1</v>
      </c>
      <c r="G269">
        <f t="shared" si="4"/>
        <v>0</v>
      </c>
    </row>
    <row r="270" spans="1:7" x14ac:dyDescent="0.25">
      <c r="A270">
        <v>72.63</v>
      </c>
      <c r="B270">
        <v>111.91</v>
      </c>
      <c r="C270">
        <v>133.07</v>
      </c>
      <c r="D270">
        <f>IF($A270&gt;MAX($A$2:$A269),1,0)</f>
        <v>0</v>
      </c>
      <c r="E270">
        <f>IF($B270&gt;MAX($B$2:$B269),1,0)</f>
        <v>0</v>
      </c>
      <c r="F270">
        <f>IF($C270&gt;MAX($C$2:$C269),1,0)</f>
        <v>0</v>
      </c>
      <c r="G270">
        <f t="shared" si="4"/>
        <v>0</v>
      </c>
    </row>
    <row r="271" spans="1:7" x14ac:dyDescent="0.25">
      <c r="A271">
        <v>74.45</v>
      </c>
      <c r="B271">
        <v>110.17</v>
      </c>
      <c r="C271">
        <v>133.78</v>
      </c>
      <c r="D271">
        <f>IF($A271&gt;MAX($A$2:$A270),1,0)</f>
        <v>0</v>
      </c>
      <c r="E271">
        <f>IF($B271&gt;MAX($B$2:$B270),1,0)</f>
        <v>0</v>
      </c>
      <c r="F271">
        <f>IF($C271&gt;MAX($C$2:$C270),1,0)</f>
        <v>0</v>
      </c>
      <c r="G271">
        <f t="shared" si="4"/>
        <v>0</v>
      </c>
    </row>
    <row r="272" spans="1:7" x14ac:dyDescent="0.25">
      <c r="A272">
        <v>76.709999999999994</v>
      </c>
      <c r="B272">
        <v>112.84</v>
      </c>
      <c r="C272">
        <v>132.02000000000001</v>
      </c>
      <c r="D272">
        <f>IF($A272&gt;MAX($A$2:$A271),1,0)</f>
        <v>0</v>
      </c>
      <c r="E272">
        <f>IF($B272&gt;MAX($B$2:$B271),1,0)</f>
        <v>0</v>
      </c>
      <c r="F272">
        <f>IF($C272&gt;MAX($C$2:$C271),1,0)</f>
        <v>0</v>
      </c>
      <c r="G272">
        <f t="shared" si="4"/>
        <v>0</v>
      </c>
    </row>
    <row r="273" spans="1:7" x14ac:dyDescent="0.25">
      <c r="A273">
        <v>75</v>
      </c>
      <c r="B273">
        <v>111.15</v>
      </c>
      <c r="C273">
        <v>130.4</v>
      </c>
      <c r="D273">
        <f>IF($A273&gt;MAX($A$2:$A272),1,0)</f>
        <v>0</v>
      </c>
      <c r="E273">
        <f>IF($B273&gt;MAX($B$2:$B272),1,0)</f>
        <v>0</v>
      </c>
      <c r="F273">
        <f>IF($C273&gt;MAX($C$2:$C272),1,0)</f>
        <v>0</v>
      </c>
      <c r="G273">
        <f t="shared" si="4"/>
        <v>0</v>
      </c>
    </row>
    <row r="274" spans="1:7" x14ac:dyDescent="0.25">
      <c r="A274">
        <v>73.349999999999994</v>
      </c>
      <c r="B274">
        <v>109.91</v>
      </c>
      <c r="C274">
        <v>132.28</v>
      </c>
      <c r="D274">
        <f>IF($A274&gt;MAX($A$2:$A273),1,0)</f>
        <v>0</v>
      </c>
      <c r="E274">
        <f>IF($B274&gt;MAX($B$2:$B273),1,0)</f>
        <v>0</v>
      </c>
      <c r="F274">
        <f>IF($C274&gt;MAX($C$2:$C273),1,0)</f>
        <v>0</v>
      </c>
      <c r="G274">
        <f t="shared" si="4"/>
        <v>0</v>
      </c>
    </row>
    <row r="275" spans="1:7" x14ac:dyDescent="0.25">
      <c r="A275">
        <v>71.900000000000006</v>
      </c>
      <c r="B275">
        <v>109.19</v>
      </c>
      <c r="C275">
        <v>132.38999999999999</v>
      </c>
      <c r="D275">
        <f>IF($A275&gt;MAX($A$2:$A274),1,0)</f>
        <v>0</v>
      </c>
      <c r="E275">
        <f>IF($B275&gt;MAX($B$2:$B274),1,0)</f>
        <v>0</v>
      </c>
      <c r="F275">
        <f>IF($C275&gt;MAX($C$2:$C274),1,0)</f>
        <v>0</v>
      </c>
      <c r="G275">
        <f t="shared" si="4"/>
        <v>0</v>
      </c>
    </row>
    <row r="276" spans="1:7" x14ac:dyDescent="0.25">
      <c r="A276">
        <v>70.31</v>
      </c>
      <c r="B276">
        <v>108.35</v>
      </c>
      <c r="C276">
        <v>130.94</v>
      </c>
      <c r="D276">
        <f>IF($A276&gt;MAX($A$2:$A275),1,0)</f>
        <v>0</v>
      </c>
      <c r="E276">
        <f>IF($B276&gt;MAX($B$2:$B275),1,0)</f>
        <v>0</v>
      </c>
      <c r="F276">
        <f>IF($C276&gt;MAX($C$2:$C275),1,0)</f>
        <v>0</v>
      </c>
      <c r="G276">
        <f t="shared" si="4"/>
        <v>0</v>
      </c>
    </row>
    <row r="277" spans="1:7" x14ac:dyDescent="0.25">
      <c r="A277">
        <v>68.63</v>
      </c>
      <c r="B277">
        <v>107.99</v>
      </c>
      <c r="C277">
        <v>129.53</v>
      </c>
      <c r="D277">
        <f>IF($A277&gt;MAX($A$2:$A276),1,0)</f>
        <v>0</v>
      </c>
      <c r="E277">
        <f>IF($B277&gt;MAX($B$2:$B276),1,0)</f>
        <v>0</v>
      </c>
      <c r="F277">
        <f>IF($C277&gt;MAX($C$2:$C276),1,0)</f>
        <v>0</v>
      </c>
      <c r="G277">
        <f t="shared" si="4"/>
        <v>0</v>
      </c>
    </row>
    <row r="278" spans="1:7" x14ac:dyDescent="0.25">
      <c r="A278">
        <v>71.069999999999993</v>
      </c>
      <c r="B278">
        <v>110.4</v>
      </c>
      <c r="C278">
        <v>129.55000000000001</v>
      </c>
      <c r="D278">
        <f>IF($A278&gt;MAX($A$2:$A277),1,0)</f>
        <v>0</v>
      </c>
      <c r="E278">
        <f>IF($B278&gt;MAX($B$2:$B277),1,0)</f>
        <v>0</v>
      </c>
      <c r="F278">
        <f>IF($C278&gt;MAX($C$2:$C277),1,0)</f>
        <v>0</v>
      </c>
      <c r="G278">
        <f t="shared" si="4"/>
        <v>0</v>
      </c>
    </row>
    <row r="279" spans="1:7" x14ac:dyDescent="0.25">
      <c r="A279">
        <v>72.34</v>
      </c>
      <c r="B279">
        <v>108.92</v>
      </c>
      <c r="C279">
        <v>130.43</v>
      </c>
      <c r="D279">
        <f>IF($A279&gt;MAX($A$2:$A278),1,0)</f>
        <v>0</v>
      </c>
      <c r="E279">
        <f>IF($B279&gt;MAX($B$2:$B278),1,0)</f>
        <v>0</v>
      </c>
      <c r="F279">
        <f>IF($C279&gt;MAX($C$2:$C278),1,0)</f>
        <v>0</v>
      </c>
      <c r="G279">
        <f t="shared" si="4"/>
        <v>0</v>
      </c>
    </row>
    <row r="280" spans="1:7" x14ac:dyDescent="0.25">
      <c r="A280">
        <v>71.27</v>
      </c>
      <c r="B280">
        <v>111.43</v>
      </c>
      <c r="C280">
        <v>130.88999999999999</v>
      </c>
      <c r="D280">
        <f>IF($A280&gt;MAX($A$2:$A279),1,0)</f>
        <v>0</v>
      </c>
      <c r="E280">
        <f>IF($B280&gt;MAX($B$2:$B279),1,0)</f>
        <v>0</v>
      </c>
      <c r="F280">
        <f>IF($C280&gt;MAX($C$2:$C279),1,0)</f>
        <v>0</v>
      </c>
      <c r="G280">
        <f t="shared" si="4"/>
        <v>0</v>
      </c>
    </row>
    <row r="281" spans="1:7" x14ac:dyDescent="0.25">
      <c r="A281">
        <v>71.540000000000006</v>
      </c>
      <c r="B281">
        <v>109.43</v>
      </c>
      <c r="C281">
        <v>129.18</v>
      </c>
      <c r="D281">
        <f>IF($A281&gt;MAX($A$2:$A280),1,0)</f>
        <v>0</v>
      </c>
      <c r="E281">
        <f>IF($B281&gt;MAX($B$2:$B280),1,0)</f>
        <v>0</v>
      </c>
      <c r="F281">
        <f>IF($C281&gt;MAX($C$2:$C280),1,0)</f>
        <v>0</v>
      </c>
      <c r="G281">
        <f t="shared" si="4"/>
        <v>0</v>
      </c>
    </row>
    <row r="282" spans="1:7" x14ac:dyDescent="0.25">
      <c r="A282">
        <v>72.11</v>
      </c>
      <c r="B282">
        <v>108.76</v>
      </c>
      <c r="C282">
        <v>129.96</v>
      </c>
      <c r="D282">
        <f>IF($A282&gt;MAX($A$2:$A281),1,0)</f>
        <v>0</v>
      </c>
      <c r="E282">
        <f>IF($B282&gt;MAX($B$2:$B281),1,0)</f>
        <v>0</v>
      </c>
      <c r="F282">
        <f>IF($C282&gt;MAX($C$2:$C281),1,0)</f>
        <v>0</v>
      </c>
      <c r="G282">
        <f t="shared" si="4"/>
        <v>0</v>
      </c>
    </row>
    <row r="283" spans="1:7" x14ac:dyDescent="0.25">
      <c r="A283">
        <v>73.61</v>
      </c>
      <c r="B283">
        <v>107.21</v>
      </c>
      <c r="C283">
        <v>130.33000000000001</v>
      </c>
      <c r="D283">
        <f>IF($A283&gt;MAX($A$2:$A282),1,0)</f>
        <v>0</v>
      </c>
      <c r="E283">
        <f>IF($B283&gt;MAX($B$2:$B282),1,0)</f>
        <v>0</v>
      </c>
      <c r="F283">
        <f>IF($C283&gt;MAX($C$2:$C282),1,0)</f>
        <v>0</v>
      </c>
      <c r="G283">
        <f t="shared" si="4"/>
        <v>0</v>
      </c>
    </row>
    <row r="284" spans="1:7" x14ac:dyDescent="0.25">
      <c r="A284">
        <v>74.5</v>
      </c>
      <c r="B284">
        <v>107.13</v>
      </c>
      <c r="C284">
        <v>130.63999999999999</v>
      </c>
      <c r="D284">
        <f>IF($A284&gt;MAX($A$2:$A283),1,0)</f>
        <v>0</v>
      </c>
      <c r="E284">
        <f>IF($B284&gt;MAX($B$2:$B283),1,0)</f>
        <v>0</v>
      </c>
      <c r="F284">
        <f>IF($C284&gt;MAX($C$2:$C283),1,0)</f>
        <v>0</v>
      </c>
      <c r="G284">
        <f t="shared" si="4"/>
        <v>0</v>
      </c>
    </row>
    <row r="285" spans="1:7" x14ac:dyDescent="0.25">
      <c r="A285">
        <v>76.239999999999995</v>
      </c>
      <c r="B285">
        <v>109.71</v>
      </c>
      <c r="C285">
        <v>130.78</v>
      </c>
      <c r="D285">
        <f>IF($A285&gt;MAX($A$2:$A284),1,0)</f>
        <v>0</v>
      </c>
      <c r="E285">
        <f>IF($B285&gt;MAX($B$2:$B284),1,0)</f>
        <v>0</v>
      </c>
      <c r="F285">
        <f>IF($C285&gt;MAX($C$2:$C284),1,0)</f>
        <v>0</v>
      </c>
      <c r="G285">
        <f t="shared" si="4"/>
        <v>0</v>
      </c>
    </row>
    <row r="286" spans="1:7" x14ac:dyDescent="0.25">
      <c r="A286">
        <v>76.92</v>
      </c>
      <c r="B286">
        <v>109.26</v>
      </c>
      <c r="C286">
        <v>129.13999999999999</v>
      </c>
      <c r="D286">
        <f>IF($A286&gt;MAX($A$2:$A285),1,0)</f>
        <v>0</v>
      </c>
      <c r="E286">
        <f>IF($B286&gt;MAX($B$2:$B285),1,0)</f>
        <v>0</v>
      </c>
      <c r="F286">
        <f>IF($C286&gt;MAX($C$2:$C285),1,0)</f>
        <v>0</v>
      </c>
      <c r="G286">
        <f t="shared" si="4"/>
        <v>0</v>
      </c>
    </row>
    <row r="287" spans="1:7" x14ac:dyDescent="0.25">
      <c r="A287">
        <v>78.94</v>
      </c>
      <c r="B287">
        <v>108.08</v>
      </c>
      <c r="C287">
        <v>130.85</v>
      </c>
      <c r="D287">
        <f>IF($A287&gt;MAX($A$2:$A286),1,0)</f>
        <v>0</v>
      </c>
      <c r="E287">
        <f>IF($B287&gt;MAX($B$2:$B286),1,0)</f>
        <v>0</v>
      </c>
      <c r="F287">
        <f>IF($C287&gt;MAX($C$2:$C286),1,0)</f>
        <v>0</v>
      </c>
      <c r="G287">
        <f t="shared" si="4"/>
        <v>0</v>
      </c>
    </row>
    <row r="288" spans="1:7" x14ac:dyDescent="0.25">
      <c r="A288">
        <v>77.64</v>
      </c>
      <c r="B288">
        <v>107.52</v>
      </c>
      <c r="C288">
        <v>131.24</v>
      </c>
      <c r="D288">
        <f>IF($A288&gt;MAX($A$2:$A287),1,0)</f>
        <v>0</v>
      </c>
      <c r="E288">
        <f>IF($B288&gt;MAX($B$2:$B287),1,0)</f>
        <v>0</v>
      </c>
      <c r="F288">
        <f>IF($C288&gt;MAX($C$2:$C287),1,0)</f>
        <v>0</v>
      </c>
      <c r="G288">
        <f t="shared" si="4"/>
        <v>0</v>
      </c>
    </row>
    <row r="289" spans="1:7" x14ac:dyDescent="0.25">
      <c r="A289">
        <v>76.14</v>
      </c>
      <c r="B289">
        <v>107.35</v>
      </c>
      <c r="C289">
        <v>131.37</v>
      </c>
      <c r="D289">
        <f>IF($A289&gt;MAX($A$2:$A288),1,0)</f>
        <v>0</v>
      </c>
      <c r="E289">
        <f>IF($B289&gt;MAX($B$2:$B288),1,0)</f>
        <v>0</v>
      </c>
      <c r="F289">
        <f>IF($C289&gt;MAX($C$2:$C288),1,0)</f>
        <v>0</v>
      </c>
      <c r="G289">
        <f t="shared" si="4"/>
        <v>0</v>
      </c>
    </row>
    <row r="290" spans="1:7" x14ac:dyDescent="0.25">
      <c r="A290">
        <v>74.72</v>
      </c>
      <c r="B290">
        <v>105.74</v>
      </c>
      <c r="C290">
        <v>129.88</v>
      </c>
      <c r="D290">
        <f>IF($A290&gt;MAX($A$2:$A289),1,0)</f>
        <v>0</v>
      </c>
      <c r="E290">
        <f>IF($B290&gt;MAX($B$2:$B289),1,0)</f>
        <v>0</v>
      </c>
      <c r="F290">
        <f>IF($C290&gt;MAX($C$2:$C289),1,0)</f>
        <v>0</v>
      </c>
      <c r="G290">
        <f t="shared" si="4"/>
        <v>0</v>
      </c>
    </row>
    <row r="291" spans="1:7" x14ac:dyDescent="0.25">
      <c r="A291">
        <v>73.02</v>
      </c>
      <c r="B291">
        <v>105.32</v>
      </c>
      <c r="C291">
        <v>131.79</v>
      </c>
      <c r="D291">
        <f>IF($A291&gt;MAX($A$2:$A290),1,0)</f>
        <v>0</v>
      </c>
      <c r="E291">
        <f>IF($B291&gt;MAX($B$2:$B290),1,0)</f>
        <v>0</v>
      </c>
      <c r="F291">
        <f>IF($C291&gt;MAX($C$2:$C290),1,0)</f>
        <v>0</v>
      </c>
      <c r="G291">
        <f t="shared" si="4"/>
        <v>0</v>
      </c>
    </row>
    <row r="292" spans="1:7" x14ac:dyDescent="0.25">
      <c r="A292">
        <v>73.42</v>
      </c>
      <c r="B292">
        <v>103.92</v>
      </c>
      <c r="C292">
        <v>129.97999999999999</v>
      </c>
      <c r="D292">
        <f>IF($A292&gt;MAX($A$2:$A291),1,0)</f>
        <v>0</v>
      </c>
      <c r="E292">
        <f>IF($B292&gt;MAX($B$2:$B291),1,0)</f>
        <v>0</v>
      </c>
      <c r="F292">
        <f>IF($C292&gt;MAX($C$2:$C291),1,0)</f>
        <v>0</v>
      </c>
      <c r="G292">
        <f t="shared" si="4"/>
        <v>0</v>
      </c>
    </row>
    <row r="293" spans="1:7" x14ac:dyDescent="0.25">
      <c r="A293">
        <v>71.849999999999994</v>
      </c>
      <c r="B293">
        <v>103.17</v>
      </c>
      <c r="C293">
        <v>130.77000000000001</v>
      </c>
      <c r="D293">
        <f>IF($A293&gt;MAX($A$2:$A292),1,0)</f>
        <v>0</v>
      </c>
      <c r="E293">
        <f>IF($B293&gt;MAX($B$2:$B292),1,0)</f>
        <v>0</v>
      </c>
      <c r="F293">
        <f>IF($C293&gt;MAX($C$2:$C292),1,0)</f>
        <v>0</v>
      </c>
      <c r="G293">
        <f t="shared" si="4"/>
        <v>0</v>
      </c>
    </row>
    <row r="294" spans="1:7" x14ac:dyDescent="0.25">
      <c r="A294">
        <v>70.02</v>
      </c>
      <c r="B294">
        <v>102.14</v>
      </c>
      <c r="C294">
        <v>129.31</v>
      </c>
      <c r="D294">
        <f>IF($A294&gt;MAX($A$2:$A293),1,0)</f>
        <v>0</v>
      </c>
      <c r="E294">
        <f>IF($B294&gt;MAX($B$2:$B293),1,0)</f>
        <v>0</v>
      </c>
      <c r="F294">
        <f>IF($C294&gt;MAX($C$2:$C293),1,0)</f>
        <v>0</v>
      </c>
      <c r="G294">
        <f t="shared" si="4"/>
        <v>0</v>
      </c>
    </row>
    <row r="295" spans="1:7" x14ac:dyDescent="0.25">
      <c r="A295">
        <v>68.36</v>
      </c>
      <c r="B295">
        <v>101.73</v>
      </c>
      <c r="C295">
        <v>130.66999999999999</v>
      </c>
      <c r="D295">
        <f>IF($A295&gt;MAX($A$2:$A294),1,0)</f>
        <v>0</v>
      </c>
      <c r="E295">
        <f>IF($B295&gt;MAX($B$2:$B294),1,0)</f>
        <v>0</v>
      </c>
      <c r="F295">
        <f>IF($C295&gt;MAX($C$2:$C294),1,0)</f>
        <v>0</v>
      </c>
      <c r="G295">
        <f t="shared" si="4"/>
        <v>0</v>
      </c>
    </row>
    <row r="296" spans="1:7" x14ac:dyDescent="0.25">
      <c r="A296">
        <v>66.989999999999995</v>
      </c>
      <c r="B296">
        <v>100.39</v>
      </c>
      <c r="C296">
        <v>128.88</v>
      </c>
      <c r="D296">
        <f>IF($A296&gt;MAX($A$2:$A295),1,0)</f>
        <v>0</v>
      </c>
      <c r="E296">
        <f>IF($B296&gt;MAX($B$2:$B295),1,0)</f>
        <v>0</v>
      </c>
      <c r="F296">
        <f>IF($C296&gt;MAX($C$2:$C295),1,0)</f>
        <v>0</v>
      </c>
      <c r="G296">
        <f t="shared" si="4"/>
        <v>0</v>
      </c>
    </row>
    <row r="297" spans="1:7" x14ac:dyDescent="0.25">
      <c r="A297">
        <v>65.94</v>
      </c>
      <c r="B297">
        <v>98.52</v>
      </c>
      <c r="C297">
        <v>127.1</v>
      </c>
      <c r="D297">
        <f>IF($A297&gt;MAX($A$2:$A296),1,0)</f>
        <v>0</v>
      </c>
      <c r="E297">
        <f>IF($B297&gt;MAX($B$2:$B296),1,0)</f>
        <v>0</v>
      </c>
      <c r="F297">
        <f>IF($C297&gt;MAX($C$2:$C296),1,0)</f>
        <v>0</v>
      </c>
      <c r="G297">
        <f t="shared" si="4"/>
        <v>0</v>
      </c>
    </row>
    <row r="298" spans="1:7" x14ac:dyDescent="0.25">
      <c r="A298">
        <v>64.150000000000006</v>
      </c>
      <c r="B298">
        <v>101.27</v>
      </c>
      <c r="C298">
        <v>128.56</v>
      </c>
      <c r="D298">
        <f>IF($A298&gt;MAX($A$2:$A297),1,0)</f>
        <v>0</v>
      </c>
      <c r="E298">
        <f>IF($B298&gt;MAX($B$2:$B297),1,0)</f>
        <v>0</v>
      </c>
      <c r="F298">
        <f>IF($C298&gt;MAX($C$2:$C297),1,0)</f>
        <v>0</v>
      </c>
      <c r="G298">
        <f t="shared" si="4"/>
        <v>0</v>
      </c>
    </row>
    <row r="299" spans="1:7" x14ac:dyDescent="0.25">
      <c r="A299">
        <v>65.95</v>
      </c>
      <c r="B299">
        <v>101.23</v>
      </c>
      <c r="C299">
        <v>126.64</v>
      </c>
      <c r="D299">
        <f>IF($A299&gt;MAX($A$2:$A298),1,0)</f>
        <v>0</v>
      </c>
      <c r="E299">
        <f>IF($B299&gt;MAX($B$2:$B298),1,0)</f>
        <v>0</v>
      </c>
      <c r="F299">
        <f>IF($C299&gt;MAX($C$2:$C298),1,0)</f>
        <v>0</v>
      </c>
      <c r="G299">
        <f t="shared" si="4"/>
        <v>0</v>
      </c>
    </row>
    <row r="300" spans="1:7" x14ac:dyDescent="0.25">
      <c r="A300">
        <v>67.45</v>
      </c>
      <c r="B300">
        <v>100.8</v>
      </c>
      <c r="C300">
        <v>127.5</v>
      </c>
      <c r="D300">
        <f>IF($A300&gt;MAX($A$2:$A299),1,0)</f>
        <v>0</v>
      </c>
      <c r="E300">
        <f>IF($B300&gt;MAX($B$2:$B299),1,0)</f>
        <v>0</v>
      </c>
      <c r="F300">
        <f>IF($C300&gt;MAX($C$2:$C299),1,0)</f>
        <v>0</v>
      </c>
      <c r="G300">
        <f t="shared" si="4"/>
        <v>0</v>
      </c>
    </row>
    <row r="301" spans="1:7" x14ac:dyDescent="0.25">
      <c r="A301">
        <v>65.540000000000006</v>
      </c>
      <c r="B301">
        <v>103.36</v>
      </c>
      <c r="C301">
        <v>127.51</v>
      </c>
      <c r="D301">
        <f>IF($A301&gt;MAX($A$2:$A300),1,0)</f>
        <v>0</v>
      </c>
      <c r="E301">
        <f>IF($B301&gt;MAX($B$2:$B300),1,0)</f>
        <v>0</v>
      </c>
      <c r="F301">
        <f>IF($C301&gt;MAX($C$2:$C300),1,0)</f>
        <v>0</v>
      </c>
      <c r="G301">
        <f t="shared" si="4"/>
        <v>0</v>
      </c>
    </row>
    <row r="302" spans="1:7" x14ac:dyDescent="0.25">
      <c r="A302">
        <v>67.31</v>
      </c>
      <c r="B302">
        <v>103.09</v>
      </c>
      <c r="C302">
        <v>128.83000000000001</v>
      </c>
      <c r="D302">
        <f>IF($A302&gt;MAX($A$2:$A301),1,0)</f>
        <v>0</v>
      </c>
      <c r="E302">
        <f>IF($B302&gt;MAX($B$2:$B301),1,0)</f>
        <v>0</v>
      </c>
      <c r="F302">
        <f>IF($C302&gt;MAX($C$2:$C301),1,0)</f>
        <v>0</v>
      </c>
      <c r="G302">
        <f t="shared" si="4"/>
        <v>0</v>
      </c>
    </row>
    <row r="303" spans="1:7" x14ac:dyDescent="0.25">
      <c r="A303">
        <v>68.48</v>
      </c>
      <c r="B303">
        <v>101.33</v>
      </c>
      <c r="C303">
        <v>126.93</v>
      </c>
      <c r="D303">
        <f>IF($A303&gt;MAX($A$2:$A302),1,0)</f>
        <v>0</v>
      </c>
      <c r="E303">
        <f>IF($B303&gt;MAX($B$2:$B302),1,0)</f>
        <v>0</v>
      </c>
      <c r="F303">
        <f>IF($C303&gt;MAX($C$2:$C302),1,0)</f>
        <v>0</v>
      </c>
      <c r="G303">
        <f t="shared" si="4"/>
        <v>0</v>
      </c>
    </row>
    <row r="304" spans="1:7" x14ac:dyDescent="0.25">
      <c r="A304">
        <v>70.61</v>
      </c>
      <c r="B304">
        <v>101.33</v>
      </c>
      <c r="C304">
        <v>128.9</v>
      </c>
      <c r="D304">
        <f>IF($A304&gt;MAX($A$2:$A303),1,0)</f>
        <v>0</v>
      </c>
      <c r="E304">
        <f>IF($B304&gt;MAX($B$2:$B303),1,0)</f>
        <v>0</v>
      </c>
      <c r="F304">
        <f>IF($C304&gt;MAX($C$2:$C303),1,0)</f>
        <v>0</v>
      </c>
      <c r="G304">
        <f t="shared" si="4"/>
        <v>0</v>
      </c>
    </row>
    <row r="305" spans="1:7" x14ac:dyDescent="0.25">
      <c r="A305">
        <v>68.95</v>
      </c>
      <c r="B305">
        <v>100.05</v>
      </c>
      <c r="C305">
        <v>129.55000000000001</v>
      </c>
      <c r="D305">
        <f>IF($A305&gt;MAX($A$2:$A304),1,0)</f>
        <v>0</v>
      </c>
      <c r="E305">
        <f>IF($B305&gt;MAX($B$2:$B304),1,0)</f>
        <v>0</v>
      </c>
      <c r="F305">
        <f>IF($C305&gt;MAX($C$2:$C304),1,0)</f>
        <v>0</v>
      </c>
      <c r="G305">
        <f t="shared" si="4"/>
        <v>0</v>
      </c>
    </row>
    <row r="306" spans="1:7" x14ac:dyDescent="0.25">
      <c r="A306">
        <v>70.34</v>
      </c>
      <c r="B306">
        <v>99.1</v>
      </c>
      <c r="C306">
        <v>130</v>
      </c>
      <c r="D306">
        <f>IF($A306&gt;MAX($A$2:$A305),1,0)</f>
        <v>0</v>
      </c>
      <c r="E306">
        <f>IF($B306&gt;MAX($B$2:$B305),1,0)</f>
        <v>0</v>
      </c>
      <c r="F306">
        <f>IF($C306&gt;MAX($C$2:$C305),1,0)</f>
        <v>0</v>
      </c>
      <c r="G306">
        <f t="shared" si="4"/>
        <v>0</v>
      </c>
    </row>
    <row r="307" spans="1:7" x14ac:dyDescent="0.25">
      <c r="A307">
        <v>72.260000000000005</v>
      </c>
      <c r="B307">
        <v>102.08</v>
      </c>
      <c r="C307">
        <v>129.80000000000001</v>
      </c>
      <c r="D307">
        <f>IF($A307&gt;MAX($A$2:$A306),1,0)</f>
        <v>0</v>
      </c>
      <c r="E307">
        <f>IF($B307&gt;MAX($B$2:$B306),1,0)</f>
        <v>0</v>
      </c>
      <c r="F307">
        <f>IF($C307&gt;MAX($C$2:$C306),1,0)</f>
        <v>0</v>
      </c>
      <c r="G307">
        <f t="shared" si="4"/>
        <v>0</v>
      </c>
    </row>
    <row r="308" spans="1:7" x14ac:dyDescent="0.25">
      <c r="A308">
        <v>70.56</v>
      </c>
      <c r="B308">
        <v>101.44</v>
      </c>
      <c r="C308">
        <v>131.47</v>
      </c>
      <c r="D308">
        <f>IF($A308&gt;MAX($A$2:$A307),1,0)</f>
        <v>0</v>
      </c>
      <c r="E308">
        <f>IF($B308&gt;MAX($B$2:$B307),1,0)</f>
        <v>0</v>
      </c>
      <c r="F308">
        <f>IF($C308&gt;MAX($C$2:$C307),1,0)</f>
        <v>0</v>
      </c>
      <c r="G308">
        <f t="shared" si="4"/>
        <v>0</v>
      </c>
    </row>
    <row r="309" spans="1:7" x14ac:dyDescent="0.25">
      <c r="A309">
        <v>72.2</v>
      </c>
      <c r="B309">
        <v>100.09</v>
      </c>
      <c r="C309">
        <v>131.77000000000001</v>
      </c>
      <c r="D309">
        <f>IF($A309&gt;MAX($A$2:$A308),1,0)</f>
        <v>0</v>
      </c>
      <c r="E309">
        <f>IF($B309&gt;MAX($B$2:$B308),1,0)</f>
        <v>0</v>
      </c>
      <c r="F309">
        <f>IF($C309&gt;MAX($C$2:$C308),1,0)</f>
        <v>0</v>
      </c>
      <c r="G309">
        <f t="shared" si="4"/>
        <v>0</v>
      </c>
    </row>
    <row r="310" spans="1:7" x14ac:dyDescent="0.25">
      <c r="A310">
        <v>70.36</v>
      </c>
      <c r="B310">
        <v>98.49</v>
      </c>
      <c r="C310">
        <v>132.02000000000001</v>
      </c>
      <c r="D310">
        <f>IF($A310&gt;MAX($A$2:$A309),1,0)</f>
        <v>0</v>
      </c>
      <c r="E310">
        <f>IF($B310&gt;MAX($B$2:$B309),1,0)</f>
        <v>0</v>
      </c>
      <c r="F310">
        <f>IF($C310&gt;MAX($C$2:$C309),1,0)</f>
        <v>0</v>
      </c>
      <c r="G310">
        <f t="shared" si="4"/>
        <v>0</v>
      </c>
    </row>
    <row r="311" spans="1:7" x14ac:dyDescent="0.25">
      <c r="A311">
        <v>71.61</v>
      </c>
      <c r="B311">
        <v>96.78</v>
      </c>
      <c r="C311">
        <v>133.83000000000001</v>
      </c>
      <c r="D311">
        <f>IF($A311&gt;MAX($A$2:$A310),1,0)</f>
        <v>0</v>
      </c>
      <c r="E311">
        <f>IF($B311&gt;MAX($B$2:$B310),1,0)</f>
        <v>0</v>
      </c>
      <c r="F311">
        <f>IF($C311&gt;MAX($C$2:$C310),1,0)</f>
        <v>0</v>
      </c>
      <c r="G311">
        <f t="shared" si="4"/>
        <v>0</v>
      </c>
    </row>
    <row r="312" spans="1:7" x14ac:dyDescent="0.25">
      <c r="A312">
        <v>70.290000000000006</v>
      </c>
      <c r="B312">
        <v>95.63</v>
      </c>
      <c r="C312">
        <v>135.18</v>
      </c>
      <c r="D312">
        <f>IF($A312&gt;MAX($A$2:$A311),1,0)</f>
        <v>0</v>
      </c>
      <c r="E312">
        <f>IF($B312&gt;MAX($B$2:$B311),1,0)</f>
        <v>0</v>
      </c>
      <c r="F312">
        <f>IF($C312&gt;MAX($C$2:$C311),1,0)</f>
        <v>1</v>
      </c>
      <c r="G312">
        <f t="shared" si="4"/>
        <v>0</v>
      </c>
    </row>
    <row r="313" spans="1:7" x14ac:dyDescent="0.25">
      <c r="A313">
        <v>69.23</v>
      </c>
      <c r="B313">
        <v>93.96</v>
      </c>
      <c r="C313">
        <v>137.03</v>
      </c>
      <c r="D313">
        <f>IF($A313&gt;MAX($A$2:$A312),1,0)</f>
        <v>0</v>
      </c>
      <c r="E313">
        <f>IF($B313&gt;MAX($B$2:$B312),1,0)</f>
        <v>0</v>
      </c>
      <c r="F313">
        <f>IF($C313&gt;MAX($C$2:$C312),1,0)</f>
        <v>1</v>
      </c>
      <c r="G313">
        <f t="shared" si="4"/>
        <v>0</v>
      </c>
    </row>
    <row r="314" spans="1:7" x14ac:dyDescent="0.25">
      <c r="A314">
        <v>67.989999999999995</v>
      </c>
      <c r="B314">
        <v>92.27</v>
      </c>
      <c r="C314">
        <v>138.52000000000001</v>
      </c>
      <c r="D314">
        <f>IF($A314&gt;MAX($A$2:$A313),1,0)</f>
        <v>0</v>
      </c>
      <c r="E314">
        <f>IF($B314&gt;MAX($B$2:$B313),1,0)</f>
        <v>0</v>
      </c>
      <c r="F314">
        <f>IF($C314&gt;MAX($C$2:$C313),1,0)</f>
        <v>1</v>
      </c>
      <c r="G314">
        <f t="shared" si="4"/>
        <v>0</v>
      </c>
    </row>
    <row r="315" spans="1:7" x14ac:dyDescent="0.25">
      <c r="A315">
        <v>69.44</v>
      </c>
      <c r="B315">
        <v>90.35</v>
      </c>
      <c r="C315">
        <v>137.19</v>
      </c>
      <c r="D315">
        <f>IF($A315&gt;MAX($A$2:$A314),1,0)</f>
        <v>0</v>
      </c>
      <c r="E315">
        <f>IF($B315&gt;MAX($B$2:$B314),1,0)</f>
        <v>0</v>
      </c>
      <c r="F315">
        <f>IF($C315&gt;MAX($C$2:$C314),1,0)</f>
        <v>0</v>
      </c>
      <c r="G315">
        <f t="shared" si="4"/>
        <v>0</v>
      </c>
    </row>
    <row r="316" spans="1:7" x14ac:dyDescent="0.25">
      <c r="A316">
        <v>70.47</v>
      </c>
      <c r="B316">
        <v>92.91</v>
      </c>
      <c r="C316">
        <v>135.94999999999999</v>
      </c>
      <c r="D316">
        <f>IF($A316&gt;MAX($A$2:$A315),1,0)</f>
        <v>0</v>
      </c>
      <c r="E316">
        <f>IF($B316&gt;MAX($B$2:$B315),1,0)</f>
        <v>0</v>
      </c>
      <c r="F316">
        <f>IF($C316&gt;MAX($C$2:$C315),1,0)</f>
        <v>0</v>
      </c>
      <c r="G316">
        <f t="shared" si="4"/>
        <v>0</v>
      </c>
    </row>
    <row r="317" spans="1:7" x14ac:dyDescent="0.25">
      <c r="A317">
        <v>71.23</v>
      </c>
      <c r="B317">
        <v>91.71</v>
      </c>
      <c r="C317">
        <v>137</v>
      </c>
      <c r="D317">
        <f>IF($A317&gt;MAX($A$2:$A316),1,0)</f>
        <v>0</v>
      </c>
      <c r="E317">
        <f>IF($B317&gt;MAX($B$2:$B316),1,0)</f>
        <v>0</v>
      </c>
      <c r="F317">
        <f>IF($C317&gt;MAX($C$2:$C316),1,0)</f>
        <v>0</v>
      </c>
      <c r="G317">
        <f t="shared" si="4"/>
        <v>0</v>
      </c>
    </row>
    <row r="318" spans="1:7" x14ac:dyDescent="0.25">
      <c r="A318">
        <v>70.17</v>
      </c>
      <c r="B318">
        <v>91.34</v>
      </c>
      <c r="C318">
        <v>137.66999999999999</v>
      </c>
      <c r="D318">
        <f>IF($A318&gt;MAX($A$2:$A317),1,0)</f>
        <v>0</v>
      </c>
      <c r="E318">
        <f>IF($B318&gt;MAX($B$2:$B317),1,0)</f>
        <v>0</v>
      </c>
      <c r="F318">
        <f>IF($C318&gt;MAX($C$2:$C317),1,0)</f>
        <v>0</v>
      </c>
      <c r="G318">
        <f t="shared" si="4"/>
        <v>0</v>
      </c>
    </row>
    <row r="319" spans="1:7" x14ac:dyDescent="0.25">
      <c r="A319">
        <v>71.95</v>
      </c>
      <c r="B319">
        <v>90.05</v>
      </c>
      <c r="C319">
        <v>136.63</v>
      </c>
      <c r="D319">
        <f>IF($A319&gt;MAX($A$2:$A318),1,0)</f>
        <v>0</v>
      </c>
      <c r="E319">
        <f>IF($B319&gt;MAX($B$2:$B318),1,0)</f>
        <v>0</v>
      </c>
      <c r="F319">
        <f>IF($C319&gt;MAX($C$2:$C318),1,0)</f>
        <v>0</v>
      </c>
      <c r="G319">
        <f t="shared" si="4"/>
        <v>0</v>
      </c>
    </row>
    <row r="320" spans="1:7" x14ac:dyDescent="0.25">
      <c r="A320">
        <v>73.099999999999994</v>
      </c>
      <c r="B320">
        <v>89.87</v>
      </c>
      <c r="C320">
        <v>137.87</v>
      </c>
      <c r="D320">
        <f>IF($A320&gt;MAX($A$2:$A319),1,0)</f>
        <v>0</v>
      </c>
      <c r="E320">
        <f>IF($B320&gt;MAX($B$2:$B319),1,0)</f>
        <v>0</v>
      </c>
      <c r="F320">
        <f>IF($C320&gt;MAX($C$2:$C319),1,0)</f>
        <v>0</v>
      </c>
      <c r="G320">
        <f t="shared" si="4"/>
        <v>0</v>
      </c>
    </row>
    <row r="321" spans="1:7" x14ac:dyDescent="0.25">
      <c r="A321">
        <v>74.34</v>
      </c>
      <c r="B321">
        <v>92.63</v>
      </c>
      <c r="C321">
        <v>139.09</v>
      </c>
      <c r="D321">
        <f>IF($A321&gt;MAX($A$2:$A320),1,0)</f>
        <v>0</v>
      </c>
      <c r="E321">
        <f>IF($B321&gt;MAX($B$2:$B320),1,0)</f>
        <v>0</v>
      </c>
      <c r="F321">
        <f>IF($C321&gt;MAX($C$2:$C320),1,0)</f>
        <v>1</v>
      </c>
      <c r="G321">
        <f t="shared" si="4"/>
        <v>0</v>
      </c>
    </row>
    <row r="322" spans="1:7" x14ac:dyDescent="0.25">
      <c r="A322">
        <v>75.400000000000006</v>
      </c>
      <c r="B322">
        <v>91.36</v>
      </c>
      <c r="C322">
        <v>140.12</v>
      </c>
      <c r="D322">
        <f>IF($A322&gt;MAX($A$2:$A321),1,0)</f>
        <v>0</v>
      </c>
      <c r="E322">
        <f>IF($B322&gt;MAX($B$2:$B321),1,0)</f>
        <v>0</v>
      </c>
      <c r="F322">
        <f>IF($C322&gt;MAX($C$2:$C321),1,0)</f>
        <v>1</v>
      </c>
      <c r="G322">
        <f t="shared" si="4"/>
        <v>0</v>
      </c>
    </row>
    <row r="323" spans="1:7" x14ac:dyDescent="0.25">
      <c r="A323">
        <v>75.91</v>
      </c>
      <c r="B323">
        <v>91.04</v>
      </c>
      <c r="C323">
        <v>138.57</v>
      </c>
      <c r="D323">
        <f>IF($A323&gt;MAX($A$2:$A322),1,0)</f>
        <v>0</v>
      </c>
      <c r="E323">
        <f>IF($B323&gt;MAX($B$2:$B322),1,0)</f>
        <v>0</v>
      </c>
      <c r="F323">
        <f>IF($C323&gt;MAX($C$2:$C322),1,0)</f>
        <v>0</v>
      </c>
      <c r="G323">
        <f t="shared" si="4"/>
        <v>0</v>
      </c>
    </row>
    <row r="324" spans="1:7" x14ac:dyDescent="0.25">
      <c r="A324">
        <v>74.760000000000005</v>
      </c>
      <c r="B324">
        <v>90.45</v>
      </c>
      <c r="C324">
        <v>138.84</v>
      </c>
      <c r="D324">
        <f>IF($A324&gt;MAX($A$2:$A323),1,0)</f>
        <v>0</v>
      </c>
      <c r="E324">
        <f>IF($B324&gt;MAX($B$2:$B323),1,0)</f>
        <v>0</v>
      </c>
      <c r="F324">
        <f>IF($C324&gt;MAX($C$2:$C323),1,0)</f>
        <v>0</v>
      </c>
      <c r="G324">
        <f t="shared" ref="G324:G387" si="5">IF(SUM(D324:F324)&gt;=2,1,0)</f>
        <v>0</v>
      </c>
    </row>
    <row r="325" spans="1:7" x14ac:dyDescent="0.25">
      <c r="A325">
        <v>75.89</v>
      </c>
      <c r="B325">
        <v>89.75</v>
      </c>
      <c r="C325">
        <v>140.71</v>
      </c>
      <c r="D325">
        <f>IF($A325&gt;MAX($A$2:$A324),1,0)</f>
        <v>0</v>
      </c>
      <c r="E325">
        <f>IF($B325&gt;MAX($B$2:$B324),1,0)</f>
        <v>0</v>
      </c>
      <c r="F325">
        <f>IF($C325&gt;MAX($C$2:$C324),1,0)</f>
        <v>1</v>
      </c>
      <c r="G325">
        <f t="shared" si="5"/>
        <v>0</v>
      </c>
    </row>
    <row r="326" spans="1:7" x14ac:dyDescent="0.25">
      <c r="A326">
        <v>77.86</v>
      </c>
      <c r="B326">
        <v>89.51</v>
      </c>
      <c r="C326">
        <v>140.85</v>
      </c>
      <c r="D326">
        <f>IF($A326&gt;MAX($A$2:$A325),1,0)</f>
        <v>0</v>
      </c>
      <c r="E326">
        <f>IF($B326&gt;MAX($B$2:$B325),1,0)</f>
        <v>0</v>
      </c>
      <c r="F326">
        <f>IF($C326&gt;MAX($C$2:$C325),1,0)</f>
        <v>1</v>
      </c>
      <c r="G326">
        <f t="shared" si="5"/>
        <v>0</v>
      </c>
    </row>
    <row r="327" spans="1:7" x14ac:dyDescent="0.25">
      <c r="A327">
        <v>79.27</v>
      </c>
      <c r="B327">
        <v>88.66</v>
      </c>
      <c r="C327">
        <v>138.94999999999999</v>
      </c>
      <c r="D327">
        <f>IF($A327&gt;MAX($A$2:$A326),1,0)</f>
        <v>0</v>
      </c>
      <c r="E327">
        <f>IF($B327&gt;MAX($B$2:$B326),1,0)</f>
        <v>0</v>
      </c>
      <c r="F327">
        <f>IF($C327&gt;MAX($C$2:$C326),1,0)</f>
        <v>0</v>
      </c>
      <c r="G327">
        <f t="shared" si="5"/>
        <v>0</v>
      </c>
    </row>
    <row r="328" spans="1:7" x14ac:dyDescent="0.25">
      <c r="A328">
        <v>80.73</v>
      </c>
      <c r="B328">
        <v>88.17</v>
      </c>
      <c r="C328">
        <v>140.37</v>
      </c>
      <c r="D328">
        <f>IF($A328&gt;MAX($A$2:$A327),1,0)</f>
        <v>0</v>
      </c>
      <c r="E328">
        <f>IF($B328&gt;MAX($B$2:$B327),1,0)</f>
        <v>0</v>
      </c>
      <c r="F328">
        <f>IF($C328&gt;MAX($C$2:$C327),1,0)</f>
        <v>0</v>
      </c>
      <c r="G328">
        <f t="shared" si="5"/>
        <v>0</v>
      </c>
    </row>
    <row r="329" spans="1:7" x14ac:dyDescent="0.25">
      <c r="A329">
        <v>81.010000000000005</v>
      </c>
      <c r="B329">
        <v>87.02</v>
      </c>
      <c r="C329">
        <v>139.33000000000001</v>
      </c>
      <c r="D329">
        <f>IF($A329&gt;MAX($A$2:$A328),1,0)</f>
        <v>0</v>
      </c>
      <c r="E329">
        <f>IF($B329&gt;MAX($B$2:$B328),1,0)</f>
        <v>0</v>
      </c>
      <c r="F329">
        <f>IF($C329&gt;MAX($C$2:$C328),1,0)</f>
        <v>0</v>
      </c>
      <c r="G329">
        <f t="shared" si="5"/>
        <v>0</v>
      </c>
    </row>
    <row r="330" spans="1:7" x14ac:dyDescent="0.25">
      <c r="A330">
        <v>79.97</v>
      </c>
      <c r="B330">
        <v>86.95</v>
      </c>
      <c r="C330">
        <v>141.26</v>
      </c>
      <c r="D330">
        <f>IF($A330&gt;MAX($A$2:$A329),1,0)</f>
        <v>0</v>
      </c>
      <c r="E330">
        <f>IF($B330&gt;MAX($B$2:$B329),1,0)</f>
        <v>0</v>
      </c>
      <c r="F330">
        <f>IF($C330&gt;MAX($C$2:$C329),1,0)</f>
        <v>1</v>
      </c>
      <c r="G330">
        <f t="shared" si="5"/>
        <v>0</v>
      </c>
    </row>
    <row r="331" spans="1:7" x14ac:dyDescent="0.25">
      <c r="A331">
        <v>77.98</v>
      </c>
      <c r="B331">
        <v>85.86</v>
      </c>
      <c r="C331">
        <v>142.91999999999999</v>
      </c>
      <c r="D331">
        <f>IF($A331&gt;MAX($A$2:$A330),1,0)</f>
        <v>0</v>
      </c>
      <c r="E331">
        <f>IF($B331&gt;MAX($B$2:$B330),1,0)</f>
        <v>0</v>
      </c>
      <c r="F331">
        <f>IF($C331&gt;MAX($C$2:$C330),1,0)</f>
        <v>1</v>
      </c>
      <c r="G331">
        <f t="shared" si="5"/>
        <v>0</v>
      </c>
    </row>
    <row r="332" spans="1:7" x14ac:dyDescent="0.25">
      <c r="A332">
        <v>79.209999999999994</v>
      </c>
      <c r="B332">
        <v>88.48</v>
      </c>
      <c r="C332">
        <v>145.30000000000001</v>
      </c>
      <c r="D332">
        <f>IF($A332&gt;MAX($A$2:$A331),1,0)</f>
        <v>0</v>
      </c>
      <c r="E332">
        <f>IF($B332&gt;MAX($B$2:$B331),1,0)</f>
        <v>0</v>
      </c>
      <c r="F332">
        <f>IF($C332&gt;MAX($C$2:$C331),1,0)</f>
        <v>1</v>
      </c>
      <c r="G332">
        <f t="shared" si="5"/>
        <v>0</v>
      </c>
    </row>
    <row r="333" spans="1:7" x14ac:dyDescent="0.25">
      <c r="A333">
        <v>80.59</v>
      </c>
      <c r="B333">
        <v>86.96</v>
      </c>
      <c r="C333">
        <v>143.49</v>
      </c>
      <c r="D333">
        <f>IF($A333&gt;MAX($A$2:$A332),1,0)</f>
        <v>0</v>
      </c>
      <c r="E333">
        <f>IF($B333&gt;MAX($B$2:$B332),1,0)</f>
        <v>0</v>
      </c>
      <c r="F333">
        <f>IF($C333&gt;MAX($C$2:$C332),1,0)</f>
        <v>0</v>
      </c>
      <c r="G333">
        <f t="shared" si="5"/>
        <v>0</v>
      </c>
    </row>
    <row r="334" spans="1:7" x14ac:dyDescent="0.25">
      <c r="A334">
        <v>83.04</v>
      </c>
      <c r="B334">
        <v>86.49</v>
      </c>
      <c r="C334">
        <v>145.41</v>
      </c>
      <c r="D334">
        <f>IF($A334&gt;MAX($A$2:$A333),1,0)</f>
        <v>0</v>
      </c>
      <c r="E334">
        <f>IF($B334&gt;MAX($B$2:$B333),1,0)</f>
        <v>0</v>
      </c>
      <c r="F334">
        <f>IF($C334&gt;MAX($C$2:$C333),1,0)</f>
        <v>1</v>
      </c>
      <c r="G334">
        <f t="shared" si="5"/>
        <v>0</v>
      </c>
    </row>
    <row r="335" spans="1:7" x14ac:dyDescent="0.25">
      <c r="A335">
        <v>84.26</v>
      </c>
      <c r="B335">
        <v>86.09</v>
      </c>
      <c r="C335">
        <v>147.4</v>
      </c>
      <c r="D335">
        <f>IF($A335&gt;MAX($A$2:$A334),1,0)</f>
        <v>0</v>
      </c>
      <c r="E335">
        <f>IF($B335&gt;MAX($B$2:$B334),1,0)</f>
        <v>0</v>
      </c>
      <c r="F335">
        <f>IF($C335&gt;MAX($C$2:$C334),1,0)</f>
        <v>1</v>
      </c>
      <c r="G335">
        <f t="shared" si="5"/>
        <v>0</v>
      </c>
    </row>
    <row r="336" spans="1:7" x14ac:dyDescent="0.25">
      <c r="A336">
        <v>85.28</v>
      </c>
      <c r="B336">
        <v>84.37</v>
      </c>
      <c r="C336">
        <v>146.27000000000001</v>
      </c>
      <c r="D336">
        <f>IF($A336&gt;MAX($A$2:$A335),1,0)</f>
        <v>0</v>
      </c>
      <c r="E336">
        <f>IF($B336&gt;MAX($B$2:$B335),1,0)</f>
        <v>0</v>
      </c>
      <c r="F336">
        <f>IF($C336&gt;MAX($C$2:$C335),1,0)</f>
        <v>0</v>
      </c>
      <c r="G336">
        <f t="shared" si="5"/>
        <v>0</v>
      </c>
    </row>
    <row r="337" spans="1:7" x14ac:dyDescent="0.25">
      <c r="A337">
        <v>85.74</v>
      </c>
      <c r="B337">
        <v>83.22</v>
      </c>
      <c r="C337">
        <v>148.38</v>
      </c>
      <c r="D337">
        <f>IF($A337&gt;MAX($A$2:$A336),1,0)</f>
        <v>0</v>
      </c>
      <c r="E337">
        <f>IF($B337&gt;MAX($B$2:$B336),1,0)</f>
        <v>0</v>
      </c>
      <c r="F337">
        <f>IF($C337&gt;MAX($C$2:$C336),1,0)</f>
        <v>1</v>
      </c>
      <c r="G337">
        <f t="shared" si="5"/>
        <v>0</v>
      </c>
    </row>
    <row r="338" spans="1:7" x14ac:dyDescent="0.25">
      <c r="A338">
        <v>84.14</v>
      </c>
      <c r="B338">
        <v>85.72</v>
      </c>
      <c r="C338">
        <v>150.66999999999999</v>
      </c>
      <c r="D338">
        <f>IF($A338&gt;MAX($A$2:$A337),1,0)</f>
        <v>0</v>
      </c>
      <c r="E338">
        <f>IF($B338&gt;MAX($B$2:$B337),1,0)</f>
        <v>0</v>
      </c>
      <c r="F338">
        <f>IF($C338&gt;MAX($C$2:$C337),1,0)</f>
        <v>1</v>
      </c>
      <c r="G338">
        <f t="shared" si="5"/>
        <v>0</v>
      </c>
    </row>
    <row r="339" spans="1:7" x14ac:dyDescent="0.25">
      <c r="A339">
        <v>86.12</v>
      </c>
      <c r="B339">
        <v>84.73</v>
      </c>
      <c r="C339">
        <v>150.84</v>
      </c>
      <c r="D339">
        <f>IF($A339&gt;MAX($A$2:$A338),1,0)</f>
        <v>0</v>
      </c>
      <c r="E339">
        <f>IF($B339&gt;MAX($B$2:$B338),1,0)</f>
        <v>0</v>
      </c>
      <c r="F339">
        <f>IF($C339&gt;MAX($C$2:$C338),1,0)</f>
        <v>1</v>
      </c>
      <c r="G339">
        <f t="shared" si="5"/>
        <v>0</v>
      </c>
    </row>
    <row r="340" spans="1:7" x14ac:dyDescent="0.25">
      <c r="A340">
        <v>86.23</v>
      </c>
      <c r="B340">
        <v>84.15</v>
      </c>
      <c r="C340">
        <v>149.72999999999999</v>
      </c>
      <c r="D340">
        <f>IF($A340&gt;MAX($A$2:$A339),1,0)</f>
        <v>0</v>
      </c>
      <c r="E340">
        <f>IF($B340&gt;MAX($B$2:$B339),1,0)</f>
        <v>0</v>
      </c>
      <c r="F340">
        <f>IF($C340&gt;MAX($C$2:$C339),1,0)</f>
        <v>0</v>
      </c>
      <c r="G340">
        <f t="shared" si="5"/>
        <v>0</v>
      </c>
    </row>
    <row r="341" spans="1:7" x14ac:dyDescent="0.25">
      <c r="A341">
        <v>84.78</v>
      </c>
      <c r="B341">
        <v>83.26</v>
      </c>
      <c r="C341">
        <v>148.35</v>
      </c>
      <c r="D341">
        <f>IF($A341&gt;MAX($A$2:$A340),1,0)</f>
        <v>0</v>
      </c>
      <c r="E341">
        <f>IF($B341&gt;MAX($B$2:$B340),1,0)</f>
        <v>0</v>
      </c>
      <c r="F341">
        <f>IF($C341&gt;MAX($C$2:$C340),1,0)</f>
        <v>0</v>
      </c>
      <c r="G341">
        <f t="shared" si="5"/>
        <v>0</v>
      </c>
    </row>
    <row r="342" spans="1:7" x14ac:dyDescent="0.25">
      <c r="A342">
        <v>86.91</v>
      </c>
      <c r="B342">
        <v>82.5</v>
      </c>
      <c r="C342">
        <v>150.61000000000001</v>
      </c>
      <c r="D342">
        <f>IF($A342&gt;MAX($A$2:$A341),1,0)</f>
        <v>0</v>
      </c>
      <c r="E342">
        <f>IF($B342&gt;MAX($B$2:$B341),1,0)</f>
        <v>0</v>
      </c>
      <c r="F342">
        <f>IF($C342&gt;MAX($C$2:$C341),1,0)</f>
        <v>0</v>
      </c>
      <c r="G342">
        <f t="shared" si="5"/>
        <v>0</v>
      </c>
    </row>
    <row r="343" spans="1:7" x14ac:dyDescent="0.25">
      <c r="A343">
        <v>85.3</v>
      </c>
      <c r="B343">
        <v>81.739999999999995</v>
      </c>
      <c r="C343">
        <v>148.94999999999999</v>
      </c>
      <c r="D343">
        <f>IF($A343&gt;MAX($A$2:$A342),1,0)</f>
        <v>0</v>
      </c>
      <c r="E343">
        <f>IF($B343&gt;MAX($B$2:$B342),1,0)</f>
        <v>0</v>
      </c>
      <c r="F343">
        <f>IF($C343&gt;MAX($C$2:$C342),1,0)</f>
        <v>0</v>
      </c>
      <c r="G343">
        <f t="shared" si="5"/>
        <v>0</v>
      </c>
    </row>
    <row r="344" spans="1:7" x14ac:dyDescent="0.25">
      <c r="A344">
        <v>83.64</v>
      </c>
      <c r="B344">
        <v>84.27</v>
      </c>
      <c r="C344">
        <v>147.16999999999999</v>
      </c>
      <c r="D344">
        <f>IF($A344&gt;MAX($A$2:$A343),1,0)</f>
        <v>0</v>
      </c>
      <c r="E344">
        <f>IF($B344&gt;MAX($B$2:$B343),1,0)</f>
        <v>0</v>
      </c>
      <c r="F344">
        <f>IF($C344&gt;MAX($C$2:$C343),1,0)</f>
        <v>0</v>
      </c>
      <c r="G344">
        <f t="shared" si="5"/>
        <v>0</v>
      </c>
    </row>
    <row r="345" spans="1:7" x14ac:dyDescent="0.25">
      <c r="A345">
        <v>82.5</v>
      </c>
      <c r="B345">
        <v>83</v>
      </c>
      <c r="C345">
        <v>147.86000000000001</v>
      </c>
      <c r="D345">
        <f>IF($A345&gt;MAX($A$2:$A344),1,0)</f>
        <v>0</v>
      </c>
      <c r="E345">
        <f>IF($B345&gt;MAX($B$2:$B344),1,0)</f>
        <v>0</v>
      </c>
      <c r="F345">
        <f>IF($C345&gt;MAX($C$2:$C344),1,0)</f>
        <v>0</v>
      </c>
      <c r="G345">
        <f t="shared" si="5"/>
        <v>0</v>
      </c>
    </row>
    <row r="346" spans="1:7" x14ac:dyDescent="0.25">
      <c r="A346">
        <v>83.5</v>
      </c>
      <c r="B346">
        <v>85.99</v>
      </c>
      <c r="C346">
        <v>149.49</v>
      </c>
      <c r="D346">
        <f>IF($A346&gt;MAX($A$2:$A345),1,0)</f>
        <v>0</v>
      </c>
      <c r="E346">
        <f>IF($B346&gt;MAX($B$2:$B345),1,0)</f>
        <v>0</v>
      </c>
      <c r="F346">
        <f>IF($C346&gt;MAX($C$2:$C345),1,0)</f>
        <v>0</v>
      </c>
      <c r="G346">
        <f t="shared" si="5"/>
        <v>0</v>
      </c>
    </row>
    <row r="347" spans="1:7" x14ac:dyDescent="0.25">
      <c r="A347">
        <v>85.49</v>
      </c>
      <c r="B347">
        <v>84.29</v>
      </c>
      <c r="C347">
        <v>147.9</v>
      </c>
      <c r="D347">
        <f>IF($A347&gt;MAX($A$2:$A346),1,0)</f>
        <v>0</v>
      </c>
      <c r="E347">
        <f>IF($B347&gt;MAX($B$2:$B346),1,0)</f>
        <v>0</v>
      </c>
      <c r="F347">
        <f>IF($C347&gt;MAX($C$2:$C346),1,0)</f>
        <v>0</v>
      </c>
      <c r="G347">
        <f t="shared" si="5"/>
        <v>0</v>
      </c>
    </row>
    <row r="348" spans="1:7" x14ac:dyDescent="0.25">
      <c r="A348">
        <v>87.71</v>
      </c>
      <c r="B348">
        <v>83.35</v>
      </c>
      <c r="C348">
        <v>146.46</v>
      </c>
      <c r="D348">
        <f>IF($A348&gt;MAX($A$2:$A347),1,0)</f>
        <v>0</v>
      </c>
      <c r="E348">
        <f>IF($B348&gt;MAX($B$2:$B347),1,0)</f>
        <v>0</v>
      </c>
      <c r="F348">
        <f>IF($C348&gt;MAX($C$2:$C347),1,0)</f>
        <v>0</v>
      </c>
      <c r="G348">
        <f t="shared" si="5"/>
        <v>0</v>
      </c>
    </row>
    <row r="349" spans="1:7" x14ac:dyDescent="0.25">
      <c r="A349">
        <v>85.99</v>
      </c>
      <c r="B349">
        <v>86.22</v>
      </c>
      <c r="C349">
        <v>144.76</v>
      </c>
      <c r="D349">
        <f>IF($A349&gt;MAX($A$2:$A348),1,0)</f>
        <v>0</v>
      </c>
      <c r="E349">
        <f>IF($B349&gt;MAX($B$2:$B348),1,0)</f>
        <v>0</v>
      </c>
      <c r="F349">
        <f>IF($C349&gt;MAX($C$2:$C348),1,0)</f>
        <v>0</v>
      </c>
      <c r="G349">
        <f t="shared" si="5"/>
        <v>0</v>
      </c>
    </row>
    <row r="350" spans="1:7" x14ac:dyDescent="0.25">
      <c r="A350">
        <v>88.15</v>
      </c>
      <c r="B350">
        <v>85.51</v>
      </c>
      <c r="C350">
        <v>146.63999999999999</v>
      </c>
      <c r="D350">
        <f>IF($A350&gt;MAX($A$2:$A349),1,0)</f>
        <v>0</v>
      </c>
      <c r="E350">
        <f>IF($B350&gt;MAX($B$2:$B349),1,0)</f>
        <v>0</v>
      </c>
      <c r="F350">
        <f>IF($C350&gt;MAX($C$2:$C349),1,0)</f>
        <v>0</v>
      </c>
      <c r="G350">
        <f t="shared" si="5"/>
        <v>0</v>
      </c>
    </row>
    <row r="351" spans="1:7" x14ac:dyDescent="0.25">
      <c r="A351">
        <v>88.57</v>
      </c>
      <c r="B351">
        <v>84.25</v>
      </c>
      <c r="C351">
        <v>146.84</v>
      </c>
      <c r="D351">
        <f>IF($A351&gt;MAX($A$2:$A350),1,0)</f>
        <v>0</v>
      </c>
      <c r="E351">
        <f>IF($B351&gt;MAX($B$2:$B350),1,0)</f>
        <v>0</v>
      </c>
      <c r="F351">
        <f>IF($C351&gt;MAX($C$2:$C350),1,0)</f>
        <v>0</v>
      </c>
      <c r="G351">
        <f t="shared" si="5"/>
        <v>0</v>
      </c>
    </row>
    <row r="352" spans="1:7" x14ac:dyDescent="0.25">
      <c r="A352">
        <v>88.75</v>
      </c>
      <c r="B352">
        <v>84.11</v>
      </c>
      <c r="C352">
        <v>145.82</v>
      </c>
      <c r="D352">
        <f>IF($A352&gt;MAX($A$2:$A351),1,0)</f>
        <v>0</v>
      </c>
      <c r="E352">
        <f>IF($B352&gt;MAX($B$2:$B351),1,0)</f>
        <v>0</v>
      </c>
      <c r="F352">
        <f>IF($C352&gt;MAX($C$2:$C351),1,0)</f>
        <v>0</v>
      </c>
      <c r="G352">
        <f t="shared" si="5"/>
        <v>0</v>
      </c>
    </row>
    <row r="353" spans="1:7" x14ac:dyDescent="0.25">
      <c r="A353">
        <v>89.45</v>
      </c>
      <c r="B353">
        <v>86.81</v>
      </c>
      <c r="C353">
        <v>147.19999999999999</v>
      </c>
      <c r="D353">
        <f>IF($A353&gt;MAX($A$2:$A352),1,0)</f>
        <v>0</v>
      </c>
      <c r="E353">
        <f>IF($B353&gt;MAX($B$2:$B352),1,0)</f>
        <v>0</v>
      </c>
      <c r="F353">
        <f>IF($C353&gt;MAX($C$2:$C352),1,0)</f>
        <v>0</v>
      </c>
      <c r="G353">
        <f t="shared" si="5"/>
        <v>0</v>
      </c>
    </row>
    <row r="354" spans="1:7" x14ac:dyDescent="0.25">
      <c r="A354">
        <v>87.7</v>
      </c>
      <c r="B354">
        <v>85.18</v>
      </c>
      <c r="C354">
        <v>149.22999999999999</v>
      </c>
      <c r="D354">
        <f>IF($A354&gt;MAX($A$2:$A353),1,0)</f>
        <v>0</v>
      </c>
      <c r="E354">
        <f>IF($B354&gt;MAX($B$2:$B353),1,0)</f>
        <v>0</v>
      </c>
      <c r="F354">
        <f>IF($C354&gt;MAX($C$2:$C353),1,0)</f>
        <v>0</v>
      </c>
      <c r="G354">
        <f t="shared" si="5"/>
        <v>0</v>
      </c>
    </row>
    <row r="355" spans="1:7" x14ac:dyDescent="0.25">
      <c r="A355">
        <v>85.97</v>
      </c>
      <c r="B355">
        <v>85.17</v>
      </c>
      <c r="C355">
        <v>150.75</v>
      </c>
      <c r="D355">
        <f>IF($A355&gt;MAX($A$2:$A354),1,0)</f>
        <v>0</v>
      </c>
      <c r="E355">
        <f>IF($B355&gt;MAX($B$2:$B354),1,0)</f>
        <v>0</v>
      </c>
      <c r="F355">
        <f>IF($C355&gt;MAX($C$2:$C354),1,0)</f>
        <v>0</v>
      </c>
      <c r="G355">
        <f t="shared" si="5"/>
        <v>0</v>
      </c>
    </row>
    <row r="356" spans="1:7" x14ac:dyDescent="0.25">
      <c r="A356">
        <v>86.77</v>
      </c>
      <c r="B356">
        <v>83.74</v>
      </c>
      <c r="C356">
        <v>151.94999999999999</v>
      </c>
      <c r="D356">
        <f>IF($A356&gt;MAX($A$2:$A355),1,0)</f>
        <v>0</v>
      </c>
      <c r="E356">
        <f>IF($B356&gt;MAX($B$2:$B355),1,0)</f>
        <v>0</v>
      </c>
      <c r="F356">
        <f>IF($C356&gt;MAX($C$2:$C355),1,0)</f>
        <v>1</v>
      </c>
      <c r="G356">
        <f t="shared" si="5"/>
        <v>0</v>
      </c>
    </row>
    <row r="357" spans="1:7" x14ac:dyDescent="0.25">
      <c r="A357">
        <v>85.03</v>
      </c>
      <c r="B357">
        <v>83.16</v>
      </c>
      <c r="C357">
        <v>154.04</v>
      </c>
      <c r="D357">
        <f>IF($A357&gt;MAX($A$2:$A356),1,0)</f>
        <v>0</v>
      </c>
      <c r="E357">
        <f>IF($B357&gt;MAX($B$2:$B356),1,0)</f>
        <v>0</v>
      </c>
      <c r="F357">
        <f>IF($C357&gt;MAX($C$2:$C356),1,0)</f>
        <v>1</v>
      </c>
      <c r="G357">
        <f t="shared" si="5"/>
        <v>0</v>
      </c>
    </row>
    <row r="358" spans="1:7" x14ac:dyDescent="0.25">
      <c r="A358">
        <v>83.62</v>
      </c>
      <c r="B358">
        <v>82.19</v>
      </c>
      <c r="C358">
        <v>155.46</v>
      </c>
      <c r="D358">
        <f>IF($A358&gt;MAX($A$2:$A357),1,0)</f>
        <v>0</v>
      </c>
      <c r="E358">
        <f>IF($B358&gt;MAX($B$2:$B357),1,0)</f>
        <v>0</v>
      </c>
      <c r="F358">
        <f>IF($C358&gt;MAX($C$2:$C357),1,0)</f>
        <v>1</v>
      </c>
      <c r="G358">
        <f t="shared" si="5"/>
        <v>0</v>
      </c>
    </row>
    <row r="359" spans="1:7" x14ac:dyDescent="0.25">
      <c r="A359">
        <v>85.87</v>
      </c>
      <c r="B359">
        <v>80.930000000000007</v>
      </c>
      <c r="C359">
        <v>157.47</v>
      </c>
      <c r="D359">
        <f>IF($A359&gt;MAX($A$2:$A358),1,0)</f>
        <v>0</v>
      </c>
      <c r="E359">
        <f>IF($B359&gt;MAX($B$2:$B358),1,0)</f>
        <v>0</v>
      </c>
      <c r="F359">
        <f>IF($C359&gt;MAX($C$2:$C358),1,0)</f>
        <v>1</v>
      </c>
      <c r="G359">
        <f t="shared" si="5"/>
        <v>0</v>
      </c>
    </row>
    <row r="360" spans="1:7" x14ac:dyDescent="0.25">
      <c r="A360">
        <v>86.95</v>
      </c>
      <c r="B360">
        <v>83.66</v>
      </c>
      <c r="C360">
        <v>155.78</v>
      </c>
      <c r="D360">
        <f>IF($A360&gt;MAX($A$2:$A359),1,0)</f>
        <v>0</v>
      </c>
      <c r="E360">
        <f>IF($B360&gt;MAX($B$2:$B359),1,0)</f>
        <v>0</v>
      </c>
      <c r="F360">
        <f>IF($C360&gt;MAX($C$2:$C359),1,0)</f>
        <v>0</v>
      </c>
      <c r="G360">
        <f t="shared" si="5"/>
        <v>0</v>
      </c>
    </row>
    <row r="361" spans="1:7" x14ac:dyDescent="0.25">
      <c r="A361">
        <v>88.95</v>
      </c>
      <c r="B361">
        <v>82.17</v>
      </c>
      <c r="C361">
        <v>154.38999999999999</v>
      </c>
      <c r="D361">
        <f>IF($A361&gt;MAX($A$2:$A360),1,0)</f>
        <v>0</v>
      </c>
      <c r="E361">
        <f>IF($B361&gt;MAX($B$2:$B360),1,0)</f>
        <v>0</v>
      </c>
      <c r="F361">
        <f>IF($C361&gt;MAX($C$2:$C360),1,0)</f>
        <v>0</v>
      </c>
      <c r="G361">
        <f t="shared" si="5"/>
        <v>0</v>
      </c>
    </row>
    <row r="362" spans="1:7" x14ac:dyDescent="0.25">
      <c r="A362">
        <v>87.68</v>
      </c>
      <c r="B362">
        <v>81.81</v>
      </c>
      <c r="C362">
        <v>155.91999999999999</v>
      </c>
      <c r="D362">
        <f>IF($A362&gt;MAX($A$2:$A361),1,0)</f>
        <v>0</v>
      </c>
      <c r="E362">
        <f>IF($B362&gt;MAX($B$2:$B361),1,0)</f>
        <v>0</v>
      </c>
      <c r="F362">
        <f>IF($C362&gt;MAX($C$2:$C361),1,0)</f>
        <v>0</v>
      </c>
      <c r="G362">
        <f t="shared" si="5"/>
        <v>0</v>
      </c>
    </row>
    <row r="363" spans="1:7" x14ac:dyDescent="0.25">
      <c r="A363">
        <v>86.52</v>
      </c>
      <c r="B363">
        <v>80.97</v>
      </c>
      <c r="C363">
        <v>154.41999999999999</v>
      </c>
      <c r="D363">
        <f>IF($A363&gt;MAX($A$2:$A362),1,0)</f>
        <v>0</v>
      </c>
      <c r="E363">
        <f>IF($B363&gt;MAX($B$2:$B362),1,0)</f>
        <v>0</v>
      </c>
      <c r="F363">
        <f>IF($C363&gt;MAX($C$2:$C362),1,0)</f>
        <v>0</v>
      </c>
      <c r="G363">
        <f t="shared" si="5"/>
        <v>0</v>
      </c>
    </row>
    <row r="364" spans="1:7" x14ac:dyDescent="0.25">
      <c r="A364">
        <v>87.64</v>
      </c>
      <c r="B364">
        <v>80.41</v>
      </c>
      <c r="C364">
        <v>153.37</v>
      </c>
      <c r="D364">
        <f>IF($A364&gt;MAX($A$2:$A363),1,0)</f>
        <v>0</v>
      </c>
      <c r="E364">
        <f>IF($B364&gt;MAX($B$2:$B363),1,0)</f>
        <v>0</v>
      </c>
      <c r="F364">
        <f>IF($C364&gt;MAX($C$2:$C363),1,0)</f>
        <v>0</v>
      </c>
      <c r="G364">
        <f t="shared" si="5"/>
        <v>0</v>
      </c>
    </row>
    <row r="365" spans="1:7" x14ac:dyDescent="0.25">
      <c r="A365">
        <v>86.51</v>
      </c>
      <c r="B365">
        <v>79.86</v>
      </c>
      <c r="C365">
        <v>154.38</v>
      </c>
      <c r="D365">
        <f>IF($A365&gt;MAX($A$2:$A364),1,0)</f>
        <v>0</v>
      </c>
      <c r="E365">
        <f>IF($B365&gt;MAX($B$2:$B364),1,0)</f>
        <v>0</v>
      </c>
      <c r="F365">
        <f>IF($C365&gt;MAX($C$2:$C364),1,0)</f>
        <v>0</v>
      </c>
      <c r="G365">
        <f t="shared" si="5"/>
        <v>0</v>
      </c>
    </row>
    <row r="366" spans="1:7" x14ac:dyDescent="0.25">
      <c r="A366">
        <v>85.1</v>
      </c>
      <c r="B366">
        <v>79.52</v>
      </c>
      <c r="C366">
        <v>152.55000000000001</v>
      </c>
      <c r="D366">
        <f>IF($A366&gt;MAX($A$2:$A365),1,0)</f>
        <v>0</v>
      </c>
      <c r="E366">
        <f>IF($B366&gt;MAX($B$2:$B365),1,0)</f>
        <v>0</v>
      </c>
      <c r="F366">
        <f>IF($C366&gt;MAX($C$2:$C365),1,0)</f>
        <v>0</v>
      </c>
      <c r="G366">
        <f t="shared" si="5"/>
        <v>0</v>
      </c>
    </row>
    <row r="367" spans="1:7" x14ac:dyDescent="0.25">
      <c r="A367">
        <v>86.09</v>
      </c>
      <c r="B367">
        <v>78.86</v>
      </c>
      <c r="C367">
        <v>150.97999999999999</v>
      </c>
      <c r="D367">
        <f>IF($A367&gt;MAX($A$2:$A366),1,0)</f>
        <v>0</v>
      </c>
      <c r="E367">
        <f>IF($B367&gt;MAX($B$2:$B366),1,0)</f>
        <v>0</v>
      </c>
      <c r="F367">
        <f>IF($C367&gt;MAX($C$2:$C366),1,0)</f>
        <v>0</v>
      </c>
      <c r="G367">
        <f t="shared" si="5"/>
        <v>0</v>
      </c>
    </row>
    <row r="368" spans="1:7" x14ac:dyDescent="0.25">
      <c r="A368">
        <v>84.89</v>
      </c>
      <c r="B368">
        <v>77.11</v>
      </c>
      <c r="C368">
        <v>151.24</v>
      </c>
      <c r="D368">
        <f>IF($A368&gt;MAX($A$2:$A367),1,0)</f>
        <v>0</v>
      </c>
      <c r="E368">
        <f>IF($B368&gt;MAX($B$2:$B367),1,0)</f>
        <v>0</v>
      </c>
      <c r="F368">
        <f>IF($C368&gt;MAX($C$2:$C367),1,0)</f>
        <v>0</v>
      </c>
      <c r="G368">
        <f t="shared" si="5"/>
        <v>0</v>
      </c>
    </row>
    <row r="369" spans="1:7" x14ac:dyDescent="0.25">
      <c r="A369">
        <v>83.75</v>
      </c>
      <c r="B369">
        <v>75.290000000000006</v>
      </c>
      <c r="C369">
        <v>153.69</v>
      </c>
      <c r="D369">
        <f>IF($A369&gt;MAX($A$2:$A368),1,0)</f>
        <v>0</v>
      </c>
      <c r="E369">
        <f>IF($B369&gt;MAX($B$2:$B368),1,0)</f>
        <v>0</v>
      </c>
      <c r="F369">
        <f>IF($C369&gt;MAX($C$2:$C368),1,0)</f>
        <v>0</v>
      </c>
      <c r="G369">
        <f t="shared" si="5"/>
        <v>0</v>
      </c>
    </row>
    <row r="370" spans="1:7" x14ac:dyDescent="0.25">
      <c r="A370">
        <v>85.37</v>
      </c>
      <c r="B370">
        <v>78.260000000000005</v>
      </c>
      <c r="C370">
        <v>155.26</v>
      </c>
      <c r="D370">
        <f>IF($A370&gt;MAX($A$2:$A369),1,0)</f>
        <v>0</v>
      </c>
      <c r="E370">
        <f>IF($B370&gt;MAX($B$2:$B369),1,0)</f>
        <v>0</v>
      </c>
      <c r="F370">
        <f>IF($C370&gt;MAX($C$2:$C369),1,0)</f>
        <v>0</v>
      </c>
      <c r="G370">
        <f t="shared" si="5"/>
        <v>0</v>
      </c>
    </row>
    <row r="371" spans="1:7" x14ac:dyDescent="0.25">
      <c r="A371">
        <v>85.9</v>
      </c>
      <c r="B371">
        <v>77.23</v>
      </c>
      <c r="C371">
        <v>153.86000000000001</v>
      </c>
      <c r="D371">
        <f>IF($A371&gt;MAX($A$2:$A370),1,0)</f>
        <v>0</v>
      </c>
      <c r="E371">
        <f>IF($B371&gt;MAX($B$2:$B370),1,0)</f>
        <v>0</v>
      </c>
      <c r="F371">
        <f>IF($C371&gt;MAX($C$2:$C370),1,0)</f>
        <v>0</v>
      </c>
      <c r="G371">
        <f t="shared" si="5"/>
        <v>0</v>
      </c>
    </row>
    <row r="372" spans="1:7" x14ac:dyDescent="0.25">
      <c r="A372">
        <v>84.34</v>
      </c>
      <c r="B372">
        <v>79.95</v>
      </c>
      <c r="C372">
        <v>152.09</v>
      </c>
      <c r="D372">
        <f>IF($A372&gt;MAX($A$2:$A371),1,0)</f>
        <v>0</v>
      </c>
      <c r="E372">
        <f>IF($B372&gt;MAX($B$2:$B371),1,0)</f>
        <v>0</v>
      </c>
      <c r="F372">
        <f>IF($C372&gt;MAX($C$2:$C371),1,0)</f>
        <v>0</v>
      </c>
      <c r="G372">
        <f t="shared" si="5"/>
        <v>0</v>
      </c>
    </row>
    <row r="373" spans="1:7" x14ac:dyDescent="0.25">
      <c r="A373">
        <v>83.32</v>
      </c>
      <c r="B373">
        <v>79.03</v>
      </c>
      <c r="C373">
        <v>150.44</v>
      </c>
      <c r="D373">
        <f>IF($A373&gt;MAX($A$2:$A372),1,0)</f>
        <v>0</v>
      </c>
      <c r="E373">
        <f>IF($B373&gt;MAX($B$2:$B372),1,0)</f>
        <v>0</v>
      </c>
      <c r="F373">
        <f>IF($C373&gt;MAX($C$2:$C372),1,0)</f>
        <v>0</v>
      </c>
      <c r="G373">
        <f t="shared" si="5"/>
        <v>0</v>
      </c>
    </row>
    <row r="374" spans="1:7" x14ac:dyDescent="0.25">
      <c r="A374">
        <v>83.78</v>
      </c>
      <c r="B374">
        <v>78.569999999999993</v>
      </c>
      <c r="C374">
        <v>152.88</v>
      </c>
      <c r="D374">
        <f>IF($A374&gt;MAX($A$2:$A373),1,0)</f>
        <v>0</v>
      </c>
      <c r="E374">
        <f>IF($B374&gt;MAX($B$2:$B373),1,0)</f>
        <v>0</v>
      </c>
      <c r="F374">
        <f>IF($C374&gt;MAX($C$2:$C373),1,0)</f>
        <v>0</v>
      </c>
      <c r="G374">
        <f t="shared" si="5"/>
        <v>0</v>
      </c>
    </row>
    <row r="375" spans="1:7" x14ac:dyDescent="0.25">
      <c r="A375">
        <v>81.97</v>
      </c>
      <c r="B375">
        <v>76.849999999999994</v>
      </c>
      <c r="C375">
        <v>153.57</v>
      </c>
      <c r="D375">
        <f>IF($A375&gt;MAX($A$2:$A374),1,0)</f>
        <v>0</v>
      </c>
      <c r="E375">
        <f>IF($B375&gt;MAX($B$2:$B374),1,0)</f>
        <v>0</v>
      </c>
      <c r="F375">
        <f>IF($C375&gt;MAX($C$2:$C374),1,0)</f>
        <v>0</v>
      </c>
      <c r="G375">
        <f t="shared" si="5"/>
        <v>0</v>
      </c>
    </row>
    <row r="376" spans="1:7" x14ac:dyDescent="0.25">
      <c r="A376">
        <v>83.69</v>
      </c>
      <c r="B376">
        <v>79.53</v>
      </c>
      <c r="C376">
        <v>151.80000000000001</v>
      </c>
      <c r="D376">
        <f>IF($A376&gt;MAX($A$2:$A375),1,0)</f>
        <v>0</v>
      </c>
      <c r="E376">
        <f>IF($B376&gt;MAX($B$2:$B375),1,0)</f>
        <v>0</v>
      </c>
      <c r="F376">
        <f>IF($C376&gt;MAX($C$2:$C375),1,0)</f>
        <v>0</v>
      </c>
      <c r="G376">
        <f t="shared" si="5"/>
        <v>0</v>
      </c>
    </row>
    <row r="377" spans="1:7" x14ac:dyDescent="0.25">
      <c r="A377">
        <v>82.46</v>
      </c>
      <c r="B377">
        <v>82.14</v>
      </c>
      <c r="C377">
        <v>153.21</v>
      </c>
      <c r="D377">
        <f>IF($A377&gt;MAX($A$2:$A376),1,0)</f>
        <v>0</v>
      </c>
      <c r="E377">
        <f>IF($B377&gt;MAX($B$2:$B376),1,0)</f>
        <v>0</v>
      </c>
      <c r="F377">
        <f>IF($C377&gt;MAX($C$2:$C376),1,0)</f>
        <v>0</v>
      </c>
      <c r="G377">
        <f t="shared" si="5"/>
        <v>0</v>
      </c>
    </row>
    <row r="378" spans="1:7" x14ac:dyDescent="0.25">
      <c r="A378">
        <v>84.11</v>
      </c>
      <c r="B378">
        <v>81.95</v>
      </c>
      <c r="C378">
        <v>154.75</v>
      </c>
      <c r="D378">
        <f>IF($A378&gt;MAX($A$2:$A377),1,0)</f>
        <v>0</v>
      </c>
      <c r="E378">
        <f>IF($B378&gt;MAX($B$2:$B377),1,0)</f>
        <v>0</v>
      </c>
      <c r="F378">
        <f>IF($C378&gt;MAX($C$2:$C377),1,0)</f>
        <v>0</v>
      </c>
      <c r="G378">
        <f t="shared" si="5"/>
        <v>0</v>
      </c>
    </row>
    <row r="379" spans="1:7" x14ac:dyDescent="0.25">
      <c r="A379">
        <v>85.63</v>
      </c>
      <c r="B379">
        <v>81.260000000000005</v>
      </c>
      <c r="C379">
        <v>153.43</v>
      </c>
      <c r="D379">
        <f>IF($A379&gt;MAX($A$2:$A378),1,0)</f>
        <v>0</v>
      </c>
      <c r="E379">
        <f>IF($B379&gt;MAX($B$2:$B378),1,0)</f>
        <v>0</v>
      </c>
      <c r="F379">
        <f>IF($C379&gt;MAX($C$2:$C378),1,0)</f>
        <v>0</v>
      </c>
      <c r="G379">
        <f t="shared" si="5"/>
        <v>0</v>
      </c>
    </row>
    <row r="380" spans="1:7" x14ac:dyDescent="0.25">
      <c r="A380">
        <v>85.83</v>
      </c>
      <c r="B380">
        <v>79.760000000000005</v>
      </c>
      <c r="C380">
        <v>152.27000000000001</v>
      </c>
      <c r="D380">
        <f>IF($A380&gt;MAX($A$2:$A379),1,0)</f>
        <v>0</v>
      </c>
      <c r="E380">
        <f>IF($B380&gt;MAX($B$2:$B379),1,0)</f>
        <v>0</v>
      </c>
      <c r="F380">
        <f>IF($C380&gt;MAX($C$2:$C379),1,0)</f>
        <v>0</v>
      </c>
      <c r="G380">
        <f t="shared" si="5"/>
        <v>0</v>
      </c>
    </row>
    <row r="381" spans="1:7" x14ac:dyDescent="0.25">
      <c r="A381">
        <v>86.66</v>
      </c>
      <c r="B381">
        <v>82.5</v>
      </c>
      <c r="C381">
        <v>151</v>
      </c>
      <c r="D381">
        <f>IF($A381&gt;MAX($A$2:$A380),1,0)</f>
        <v>0</v>
      </c>
      <c r="E381">
        <f>IF($B381&gt;MAX($B$2:$B380),1,0)</f>
        <v>0</v>
      </c>
      <c r="F381">
        <f>IF($C381&gt;MAX($C$2:$C380),1,0)</f>
        <v>0</v>
      </c>
      <c r="G381">
        <f t="shared" si="5"/>
        <v>0</v>
      </c>
    </row>
    <row r="382" spans="1:7" x14ac:dyDescent="0.25">
      <c r="A382">
        <v>87.96</v>
      </c>
      <c r="B382">
        <v>80.88</v>
      </c>
      <c r="C382">
        <v>152.36000000000001</v>
      </c>
      <c r="D382">
        <f>IF($A382&gt;MAX($A$2:$A381),1,0)</f>
        <v>0</v>
      </c>
      <c r="E382">
        <f>IF($B382&gt;MAX($B$2:$B381),1,0)</f>
        <v>0</v>
      </c>
      <c r="F382">
        <f>IF($C382&gt;MAX($C$2:$C381),1,0)</f>
        <v>0</v>
      </c>
      <c r="G382">
        <f t="shared" si="5"/>
        <v>0</v>
      </c>
    </row>
    <row r="383" spans="1:7" x14ac:dyDescent="0.25">
      <c r="A383">
        <v>89.71</v>
      </c>
      <c r="B383">
        <v>80.27</v>
      </c>
      <c r="C383">
        <v>150.47999999999999</v>
      </c>
      <c r="D383">
        <f>IF($A383&gt;MAX($A$2:$A382),1,0)</f>
        <v>0</v>
      </c>
      <c r="E383">
        <f>IF($B383&gt;MAX($B$2:$B382),1,0)</f>
        <v>0</v>
      </c>
      <c r="F383">
        <f>IF($C383&gt;MAX($C$2:$C382),1,0)</f>
        <v>0</v>
      </c>
      <c r="G383">
        <f t="shared" si="5"/>
        <v>0</v>
      </c>
    </row>
    <row r="384" spans="1:7" x14ac:dyDescent="0.25">
      <c r="A384">
        <v>91.38</v>
      </c>
      <c r="B384">
        <v>80.06</v>
      </c>
      <c r="C384">
        <v>151.6</v>
      </c>
      <c r="D384">
        <f>IF($A384&gt;MAX($A$2:$A383),1,0)</f>
        <v>0</v>
      </c>
      <c r="E384">
        <f>IF($B384&gt;MAX($B$2:$B383),1,0)</f>
        <v>0</v>
      </c>
      <c r="F384">
        <f>IF($C384&gt;MAX($C$2:$C383),1,0)</f>
        <v>0</v>
      </c>
      <c r="G384">
        <f t="shared" si="5"/>
        <v>0</v>
      </c>
    </row>
    <row r="385" spans="1:7" x14ac:dyDescent="0.25">
      <c r="A385">
        <v>90.08</v>
      </c>
      <c r="B385">
        <v>78.17</v>
      </c>
      <c r="C385">
        <v>149.69999999999999</v>
      </c>
      <c r="D385">
        <f>IF($A385&gt;MAX($A$2:$A384),1,0)</f>
        <v>0</v>
      </c>
      <c r="E385">
        <f>IF($B385&gt;MAX($B$2:$B384),1,0)</f>
        <v>0</v>
      </c>
      <c r="F385">
        <f>IF($C385&gt;MAX($C$2:$C384),1,0)</f>
        <v>0</v>
      </c>
      <c r="G385">
        <f t="shared" si="5"/>
        <v>0</v>
      </c>
    </row>
    <row r="386" spans="1:7" x14ac:dyDescent="0.25">
      <c r="A386">
        <v>88.79</v>
      </c>
      <c r="B386">
        <v>77.03</v>
      </c>
      <c r="C386">
        <v>150.75</v>
      </c>
      <c r="D386">
        <f>IF($A386&gt;MAX($A$2:$A385),1,0)</f>
        <v>0</v>
      </c>
      <c r="E386">
        <f>IF($B386&gt;MAX($B$2:$B385),1,0)</f>
        <v>0</v>
      </c>
      <c r="F386">
        <f>IF($C386&gt;MAX($C$2:$C385),1,0)</f>
        <v>0</v>
      </c>
      <c r="G386">
        <f t="shared" si="5"/>
        <v>0</v>
      </c>
    </row>
    <row r="387" spans="1:7" x14ac:dyDescent="0.25">
      <c r="A387">
        <v>86.79</v>
      </c>
      <c r="B387">
        <v>76.48</v>
      </c>
      <c r="C387">
        <v>149.30000000000001</v>
      </c>
      <c r="D387">
        <f>IF($A387&gt;MAX($A$2:$A386),1,0)</f>
        <v>0</v>
      </c>
      <c r="E387">
        <f>IF($B387&gt;MAX($B$2:$B386),1,0)</f>
        <v>0</v>
      </c>
      <c r="F387">
        <f>IF($C387&gt;MAX($C$2:$C386),1,0)</f>
        <v>0</v>
      </c>
      <c r="G387">
        <f t="shared" si="5"/>
        <v>0</v>
      </c>
    </row>
    <row r="388" spans="1:7" x14ac:dyDescent="0.25">
      <c r="A388">
        <v>84.93</v>
      </c>
      <c r="B388">
        <v>76.209999999999994</v>
      </c>
      <c r="C388">
        <v>149.41999999999999</v>
      </c>
      <c r="D388">
        <f>IF($A388&gt;MAX($A$2:$A387),1,0)</f>
        <v>0</v>
      </c>
      <c r="E388">
        <f>IF($B388&gt;MAX($B$2:$B387),1,0)</f>
        <v>0</v>
      </c>
      <c r="F388">
        <f>IF($C388&gt;MAX($C$2:$C387),1,0)</f>
        <v>0</v>
      </c>
      <c r="G388">
        <f t="shared" ref="G388:G451" si="6">IF(SUM(D388:F388)&gt;=2,1,0)</f>
        <v>0</v>
      </c>
    </row>
    <row r="389" spans="1:7" x14ac:dyDescent="0.25">
      <c r="A389">
        <v>83.65</v>
      </c>
      <c r="B389">
        <v>76.09</v>
      </c>
      <c r="C389">
        <v>147.55000000000001</v>
      </c>
      <c r="D389">
        <f>IF($A389&gt;MAX($A$2:$A388),1,0)</f>
        <v>0</v>
      </c>
      <c r="E389">
        <f>IF($B389&gt;MAX($B$2:$B388),1,0)</f>
        <v>0</v>
      </c>
      <c r="F389">
        <f>IF($C389&gt;MAX($C$2:$C388),1,0)</f>
        <v>0</v>
      </c>
      <c r="G389">
        <f t="shared" si="6"/>
        <v>0</v>
      </c>
    </row>
    <row r="390" spans="1:7" x14ac:dyDescent="0.25">
      <c r="A390">
        <v>84.46</v>
      </c>
      <c r="B390">
        <v>75.75</v>
      </c>
      <c r="C390">
        <v>148.07</v>
      </c>
      <c r="D390">
        <f>IF($A390&gt;MAX($A$2:$A389),1,0)</f>
        <v>0</v>
      </c>
      <c r="E390">
        <f>IF($B390&gt;MAX($B$2:$B389),1,0)</f>
        <v>0</v>
      </c>
      <c r="F390">
        <f>IF($C390&gt;MAX($C$2:$C389),1,0)</f>
        <v>0</v>
      </c>
      <c r="G390">
        <f t="shared" si="6"/>
        <v>0</v>
      </c>
    </row>
    <row r="391" spans="1:7" x14ac:dyDescent="0.25">
      <c r="A391">
        <v>82.96</v>
      </c>
      <c r="B391">
        <v>74.55</v>
      </c>
      <c r="C391">
        <v>149.9</v>
      </c>
      <c r="D391">
        <f>IF($A391&gt;MAX($A$2:$A390),1,0)</f>
        <v>0</v>
      </c>
      <c r="E391">
        <f>IF($B391&gt;MAX($B$2:$B390),1,0)</f>
        <v>0</v>
      </c>
      <c r="F391">
        <f>IF($C391&gt;MAX($C$2:$C390),1,0)</f>
        <v>0</v>
      </c>
      <c r="G391">
        <f t="shared" si="6"/>
        <v>0</v>
      </c>
    </row>
    <row r="392" spans="1:7" x14ac:dyDescent="0.25">
      <c r="A392">
        <v>81.92</v>
      </c>
      <c r="B392">
        <v>74.290000000000006</v>
      </c>
      <c r="C392">
        <v>151.68</v>
      </c>
      <c r="D392">
        <f>IF($A392&gt;MAX($A$2:$A391),1,0)</f>
        <v>0</v>
      </c>
      <c r="E392">
        <f>IF($B392&gt;MAX($B$2:$B391),1,0)</f>
        <v>0</v>
      </c>
      <c r="F392">
        <f>IF($C392&gt;MAX($C$2:$C391),1,0)</f>
        <v>0</v>
      </c>
      <c r="G392">
        <f t="shared" si="6"/>
        <v>0</v>
      </c>
    </row>
    <row r="393" spans="1:7" x14ac:dyDescent="0.25">
      <c r="A393">
        <v>80.319999999999993</v>
      </c>
      <c r="B393">
        <v>73.209999999999994</v>
      </c>
      <c r="C393">
        <v>153.25</v>
      </c>
      <c r="D393">
        <f>IF($A393&gt;MAX($A$2:$A392),1,0)</f>
        <v>0</v>
      </c>
      <c r="E393">
        <f>IF($B393&gt;MAX($B$2:$B392),1,0)</f>
        <v>0</v>
      </c>
      <c r="F393">
        <f>IF($C393&gt;MAX($C$2:$C392),1,0)</f>
        <v>0</v>
      </c>
      <c r="G393">
        <f t="shared" si="6"/>
        <v>0</v>
      </c>
    </row>
    <row r="394" spans="1:7" x14ac:dyDescent="0.25">
      <c r="A394">
        <v>80.37</v>
      </c>
      <c r="B394">
        <v>72.27</v>
      </c>
      <c r="C394">
        <v>152.22999999999999</v>
      </c>
      <c r="D394">
        <f>IF($A394&gt;MAX($A$2:$A393),1,0)</f>
        <v>0</v>
      </c>
      <c r="E394">
        <f>IF($B394&gt;MAX($B$2:$B393),1,0)</f>
        <v>0</v>
      </c>
      <c r="F394">
        <f>IF($C394&gt;MAX($C$2:$C393),1,0)</f>
        <v>0</v>
      </c>
      <c r="G394">
        <f t="shared" si="6"/>
        <v>0</v>
      </c>
    </row>
    <row r="395" spans="1:7" x14ac:dyDescent="0.25">
      <c r="A395">
        <v>81.260000000000005</v>
      </c>
      <c r="B395">
        <v>70.48</v>
      </c>
      <c r="C395">
        <v>150.25</v>
      </c>
      <c r="D395">
        <f>IF($A395&gt;MAX($A$2:$A394),1,0)</f>
        <v>0</v>
      </c>
      <c r="E395">
        <f>IF($B395&gt;MAX($B$2:$B394),1,0)</f>
        <v>0</v>
      </c>
      <c r="F395">
        <f>IF($C395&gt;MAX($C$2:$C394),1,0)</f>
        <v>0</v>
      </c>
      <c r="G395">
        <f t="shared" si="6"/>
        <v>0</v>
      </c>
    </row>
    <row r="396" spans="1:7" x14ac:dyDescent="0.25">
      <c r="A396">
        <v>83.72</v>
      </c>
      <c r="B396">
        <v>70.05</v>
      </c>
      <c r="C396">
        <v>148.80000000000001</v>
      </c>
      <c r="D396">
        <f>IF($A396&gt;MAX($A$2:$A395),1,0)</f>
        <v>0</v>
      </c>
      <c r="E396">
        <f>IF($B396&gt;MAX($B$2:$B395),1,0)</f>
        <v>0</v>
      </c>
      <c r="F396">
        <f>IF($C396&gt;MAX($C$2:$C395),1,0)</f>
        <v>0</v>
      </c>
      <c r="G396">
        <f t="shared" si="6"/>
        <v>0</v>
      </c>
    </row>
    <row r="397" spans="1:7" x14ac:dyDescent="0.25">
      <c r="A397">
        <v>84.27</v>
      </c>
      <c r="B397">
        <v>68.349999999999994</v>
      </c>
      <c r="C397">
        <v>146.96</v>
      </c>
      <c r="D397">
        <f>IF($A397&gt;MAX($A$2:$A396),1,0)</f>
        <v>0</v>
      </c>
      <c r="E397">
        <f>IF($B397&gt;MAX($B$2:$B396),1,0)</f>
        <v>0</v>
      </c>
      <c r="F397">
        <f>IF($C397&gt;MAX($C$2:$C396),1,0)</f>
        <v>0</v>
      </c>
      <c r="G397">
        <f t="shared" si="6"/>
        <v>0</v>
      </c>
    </row>
    <row r="398" spans="1:7" x14ac:dyDescent="0.25">
      <c r="A398">
        <v>82.97</v>
      </c>
      <c r="B398">
        <v>67.58</v>
      </c>
      <c r="C398">
        <v>145.47999999999999</v>
      </c>
      <c r="D398">
        <f>IF($A398&gt;MAX($A$2:$A397),1,0)</f>
        <v>0</v>
      </c>
      <c r="E398">
        <f>IF($B398&gt;MAX($B$2:$B397),1,0)</f>
        <v>0</v>
      </c>
      <c r="F398">
        <f>IF($C398&gt;MAX($C$2:$C397),1,0)</f>
        <v>0</v>
      </c>
      <c r="G398">
        <f t="shared" si="6"/>
        <v>0</v>
      </c>
    </row>
    <row r="399" spans="1:7" x14ac:dyDescent="0.25">
      <c r="A399">
        <v>83.17</v>
      </c>
      <c r="B399">
        <v>66.3</v>
      </c>
      <c r="C399">
        <v>147.35</v>
      </c>
      <c r="D399">
        <f>IF($A399&gt;MAX($A$2:$A398),1,0)</f>
        <v>0</v>
      </c>
      <c r="E399">
        <f>IF($B399&gt;MAX($B$2:$B398),1,0)</f>
        <v>0</v>
      </c>
      <c r="F399">
        <f>IF($C399&gt;MAX($C$2:$C398),1,0)</f>
        <v>0</v>
      </c>
      <c r="G399">
        <f t="shared" si="6"/>
        <v>0</v>
      </c>
    </row>
    <row r="400" spans="1:7" x14ac:dyDescent="0.25">
      <c r="A400">
        <v>81.819999999999993</v>
      </c>
      <c r="B400">
        <v>65.040000000000006</v>
      </c>
      <c r="C400">
        <v>145.4</v>
      </c>
      <c r="D400">
        <f>IF($A400&gt;MAX($A$2:$A399),1,0)</f>
        <v>0</v>
      </c>
      <c r="E400">
        <f>IF($B400&gt;MAX($B$2:$B399),1,0)</f>
        <v>0</v>
      </c>
      <c r="F400">
        <f>IF($C400&gt;MAX($C$2:$C399),1,0)</f>
        <v>0</v>
      </c>
      <c r="G400">
        <f t="shared" si="6"/>
        <v>0</v>
      </c>
    </row>
    <row r="401" spans="1:7" x14ac:dyDescent="0.25">
      <c r="A401">
        <v>84.04</v>
      </c>
      <c r="B401">
        <v>63.88</v>
      </c>
      <c r="C401">
        <v>145.47</v>
      </c>
      <c r="D401">
        <f>IF($A401&gt;MAX($A$2:$A400),1,0)</f>
        <v>0</v>
      </c>
      <c r="E401">
        <f>IF($B401&gt;MAX($B$2:$B400),1,0)</f>
        <v>0</v>
      </c>
      <c r="F401">
        <f>IF($C401&gt;MAX($C$2:$C400),1,0)</f>
        <v>0</v>
      </c>
      <c r="G401">
        <f t="shared" si="6"/>
        <v>0</v>
      </c>
    </row>
    <row r="402" spans="1:7" x14ac:dyDescent="0.25">
      <c r="A402">
        <v>82.65</v>
      </c>
      <c r="B402">
        <v>63.09</v>
      </c>
      <c r="C402">
        <v>146.12</v>
      </c>
      <c r="D402">
        <f>IF($A402&gt;MAX($A$2:$A401),1,0)</f>
        <v>0</v>
      </c>
      <c r="E402">
        <f>IF($B402&gt;MAX($B$2:$B401),1,0)</f>
        <v>0</v>
      </c>
      <c r="F402">
        <f>IF($C402&gt;MAX($C$2:$C401),1,0)</f>
        <v>0</v>
      </c>
      <c r="G402">
        <f t="shared" si="6"/>
        <v>0</v>
      </c>
    </row>
    <row r="403" spans="1:7" x14ac:dyDescent="0.25">
      <c r="A403">
        <v>83.94</v>
      </c>
      <c r="B403">
        <v>61.68</v>
      </c>
      <c r="C403">
        <v>147.22</v>
      </c>
      <c r="D403">
        <f>IF($A403&gt;MAX($A$2:$A402),1,0)</f>
        <v>0</v>
      </c>
      <c r="E403">
        <f>IF($B403&gt;MAX($B$2:$B402),1,0)</f>
        <v>0</v>
      </c>
      <c r="F403">
        <f>IF($C403&gt;MAX($C$2:$C402),1,0)</f>
        <v>0</v>
      </c>
      <c r="G403">
        <f t="shared" si="6"/>
        <v>0</v>
      </c>
    </row>
    <row r="404" spans="1:7" x14ac:dyDescent="0.25">
      <c r="A404">
        <v>82.19</v>
      </c>
      <c r="B404">
        <v>60.11</v>
      </c>
      <c r="C404">
        <v>148.13</v>
      </c>
      <c r="D404">
        <f>IF($A404&gt;MAX($A$2:$A403),1,0)</f>
        <v>0</v>
      </c>
      <c r="E404">
        <f>IF($B404&gt;MAX($B$2:$B403),1,0)</f>
        <v>0</v>
      </c>
      <c r="F404">
        <f>IF($C404&gt;MAX($C$2:$C403),1,0)</f>
        <v>0</v>
      </c>
      <c r="G404">
        <f t="shared" si="6"/>
        <v>0</v>
      </c>
    </row>
    <row r="405" spans="1:7" x14ac:dyDescent="0.25">
      <c r="A405">
        <v>84.44</v>
      </c>
      <c r="B405">
        <v>63.04</v>
      </c>
      <c r="C405">
        <v>149.9</v>
      </c>
      <c r="D405">
        <f>IF($A405&gt;MAX($A$2:$A404),1,0)</f>
        <v>0</v>
      </c>
      <c r="E405">
        <f>IF($B405&gt;MAX($B$2:$B404),1,0)</f>
        <v>0</v>
      </c>
      <c r="F405">
        <f>IF($C405&gt;MAX($C$2:$C404),1,0)</f>
        <v>0</v>
      </c>
      <c r="G405">
        <f t="shared" si="6"/>
        <v>0</v>
      </c>
    </row>
    <row r="406" spans="1:7" x14ac:dyDescent="0.25">
      <c r="A406">
        <v>82.85</v>
      </c>
      <c r="B406">
        <v>65.81</v>
      </c>
      <c r="C406">
        <v>147.96</v>
      </c>
      <c r="D406">
        <f>IF($A406&gt;MAX($A$2:$A405),1,0)</f>
        <v>0</v>
      </c>
      <c r="E406">
        <f>IF($B406&gt;MAX($B$2:$B405),1,0)</f>
        <v>0</v>
      </c>
      <c r="F406">
        <f>IF($C406&gt;MAX($C$2:$C405),1,0)</f>
        <v>0</v>
      </c>
      <c r="G406">
        <f t="shared" si="6"/>
        <v>0</v>
      </c>
    </row>
    <row r="407" spans="1:7" x14ac:dyDescent="0.25">
      <c r="A407">
        <v>84.73</v>
      </c>
      <c r="B407">
        <v>64.260000000000005</v>
      </c>
      <c r="C407">
        <v>146.51</v>
      </c>
      <c r="D407">
        <f>IF($A407&gt;MAX($A$2:$A406),1,0)</f>
        <v>0</v>
      </c>
      <c r="E407">
        <f>IF($B407&gt;MAX($B$2:$B406),1,0)</f>
        <v>0</v>
      </c>
      <c r="F407">
        <f>IF($C407&gt;MAX($C$2:$C406),1,0)</f>
        <v>0</v>
      </c>
      <c r="G407">
        <f t="shared" si="6"/>
        <v>0</v>
      </c>
    </row>
    <row r="408" spans="1:7" x14ac:dyDescent="0.25">
      <c r="A408">
        <v>84.93</v>
      </c>
      <c r="B408">
        <v>63.08</v>
      </c>
      <c r="C408">
        <v>147.87</v>
      </c>
      <c r="D408">
        <f>IF($A408&gt;MAX($A$2:$A407),1,0)</f>
        <v>0</v>
      </c>
      <c r="E408">
        <f>IF($B408&gt;MAX($B$2:$B407),1,0)</f>
        <v>0</v>
      </c>
      <c r="F408">
        <f>IF($C408&gt;MAX($C$2:$C407),1,0)</f>
        <v>0</v>
      </c>
      <c r="G408">
        <f t="shared" si="6"/>
        <v>0</v>
      </c>
    </row>
    <row r="409" spans="1:7" x14ac:dyDescent="0.25">
      <c r="A409">
        <v>83.87</v>
      </c>
      <c r="B409">
        <v>62.49</v>
      </c>
      <c r="C409">
        <v>149.41</v>
      </c>
      <c r="D409">
        <f>IF($A409&gt;MAX($A$2:$A408),1,0)</f>
        <v>0</v>
      </c>
      <c r="E409">
        <f>IF($B409&gt;MAX($B$2:$B408),1,0)</f>
        <v>0</v>
      </c>
      <c r="F409">
        <f>IF($C409&gt;MAX($C$2:$C408),1,0)</f>
        <v>0</v>
      </c>
      <c r="G409">
        <f t="shared" si="6"/>
        <v>0</v>
      </c>
    </row>
    <row r="410" spans="1:7" x14ac:dyDescent="0.25">
      <c r="A410">
        <v>82.71</v>
      </c>
      <c r="B410">
        <v>61.45</v>
      </c>
      <c r="C410">
        <v>150.38999999999999</v>
      </c>
      <c r="D410">
        <f>IF($A410&gt;MAX($A$2:$A409),1,0)</f>
        <v>0</v>
      </c>
      <c r="E410">
        <f>IF($B410&gt;MAX($B$2:$B409),1,0)</f>
        <v>0</v>
      </c>
      <c r="F410">
        <f>IF($C410&gt;MAX($C$2:$C409),1,0)</f>
        <v>0</v>
      </c>
      <c r="G410">
        <f t="shared" si="6"/>
        <v>0</v>
      </c>
    </row>
    <row r="411" spans="1:7" x14ac:dyDescent="0.25">
      <c r="A411">
        <v>81.37</v>
      </c>
      <c r="B411">
        <v>60.3</v>
      </c>
      <c r="C411">
        <v>149.35</v>
      </c>
      <c r="D411">
        <f>IF($A411&gt;MAX($A$2:$A410),1,0)</f>
        <v>0</v>
      </c>
      <c r="E411">
        <f>IF($B411&gt;MAX($B$2:$B410),1,0)</f>
        <v>0</v>
      </c>
      <c r="F411">
        <f>IF($C411&gt;MAX($C$2:$C410),1,0)</f>
        <v>0</v>
      </c>
      <c r="G411">
        <f t="shared" si="6"/>
        <v>0</v>
      </c>
    </row>
    <row r="412" spans="1:7" x14ac:dyDescent="0.25">
      <c r="A412">
        <v>80.040000000000006</v>
      </c>
      <c r="B412">
        <v>62.81</v>
      </c>
      <c r="C412">
        <v>147.81</v>
      </c>
      <c r="D412">
        <f>IF($A412&gt;MAX($A$2:$A411),1,0)</f>
        <v>0</v>
      </c>
      <c r="E412">
        <f>IF($B412&gt;MAX($B$2:$B411),1,0)</f>
        <v>0</v>
      </c>
      <c r="F412">
        <f>IF($C412&gt;MAX($C$2:$C411),1,0)</f>
        <v>0</v>
      </c>
      <c r="G412">
        <f t="shared" si="6"/>
        <v>0</v>
      </c>
    </row>
    <row r="413" spans="1:7" x14ac:dyDescent="0.25">
      <c r="A413">
        <v>81.96</v>
      </c>
      <c r="B413">
        <v>62.35</v>
      </c>
      <c r="C413">
        <v>145.85</v>
      </c>
      <c r="D413">
        <f>IF($A413&gt;MAX($A$2:$A412),1,0)</f>
        <v>0</v>
      </c>
      <c r="E413">
        <f>IF($B413&gt;MAX($B$2:$B412),1,0)</f>
        <v>0</v>
      </c>
      <c r="F413">
        <f>IF($C413&gt;MAX($C$2:$C412),1,0)</f>
        <v>0</v>
      </c>
      <c r="G413">
        <f t="shared" si="6"/>
        <v>0</v>
      </c>
    </row>
    <row r="414" spans="1:7" x14ac:dyDescent="0.25">
      <c r="A414">
        <v>82.73</v>
      </c>
      <c r="B414">
        <v>61.53</v>
      </c>
      <c r="C414">
        <v>147.65</v>
      </c>
      <c r="D414">
        <f>IF($A414&gt;MAX($A$2:$A413),1,0)</f>
        <v>0</v>
      </c>
      <c r="E414">
        <f>IF($B414&gt;MAX($B$2:$B413),1,0)</f>
        <v>0</v>
      </c>
      <c r="F414">
        <f>IF($C414&gt;MAX($C$2:$C413),1,0)</f>
        <v>0</v>
      </c>
      <c r="G414">
        <f t="shared" si="6"/>
        <v>0</v>
      </c>
    </row>
    <row r="415" spans="1:7" x14ac:dyDescent="0.25">
      <c r="A415">
        <v>81.599999999999994</v>
      </c>
      <c r="B415">
        <v>61.16</v>
      </c>
      <c r="C415">
        <v>148</v>
      </c>
      <c r="D415">
        <f>IF($A415&gt;MAX($A$2:$A414),1,0)</f>
        <v>0</v>
      </c>
      <c r="E415">
        <f>IF($B415&gt;MAX($B$2:$B414),1,0)</f>
        <v>0</v>
      </c>
      <c r="F415">
        <f>IF($C415&gt;MAX($C$2:$C414),1,0)</f>
        <v>0</v>
      </c>
      <c r="G415">
        <f t="shared" si="6"/>
        <v>0</v>
      </c>
    </row>
    <row r="416" spans="1:7" x14ac:dyDescent="0.25">
      <c r="A416">
        <v>80.37</v>
      </c>
      <c r="B416">
        <v>60.65</v>
      </c>
      <c r="C416">
        <v>149.16</v>
      </c>
      <c r="D416">
        <f>IF($A416&gt;MAX($A$2:$A415),1,0)</f>
        <v>0</v>
      </c>
      <c r="E416">
        <f>IF($B416&gt;MAX($B$2:$B415),1,0)</f>
        <v>0</v>
      </c>
      <c r="F416">
        <f>IF($C416&gt;MAX($C$2:$C415),1,0)</f>
        <v>0</v>
      </c>
      <c r="G416">
        <f t="shared" si="6"/>
        <v>0</v>
      </c>
    </row>
    <row r="417" spans="1:7" x14ac:dyDescent="0.25">
      <c r="A417">
        <v>82.29</v>
      </c>
      <c r="B417">
        <v>59.06</v>
      </c>
      <c r="C417">
        <v>148.12</v>
      </c>
      <c r="D417">
        <f>IF($A417&gt;MAX($A$2:$A416),1,0)</f>
        <v>0</v>
      </c>
      <c r="E417">
        <f>IF($B417&gt;MAX($B$2:$B416),1,0)</f>
        <v>0</v>
      </c>
      <c r="F417">
        <f>IF($C417&gt;MAX($C$2:$C416),1,0)</f>
        <v>0</v>
      </c>
      <c r="G417">
        <f t="shared" si="6"/>
        <v>0</v>
      </c>
    </row>
    <row r="418" spans="1:7" x14ac:dyDescent="0.25">
      <c r="A418">
        <v>83.24</v>
      </c>
      <c r="B418">
        <v>61.49</v>
      </c>
      <c r="C418">
        <v>146.75</v>
      </c>
      <c r="D418">
        <f>IF($A418&gt;MAX($A$2:$A417),1,0)</f>
        <v>0</v>
      </c>
      <c r="E418">
        <f>IF($B418&gt;MAX($B$2:$B417),1,0)</f>
        <v>0</v>
      </c>
      <c r="F418">
        <f>IF($C418&gt;MAX($C$2:$C417),1,0)</f>
        <v>0</v>
      </c>
      <c r="G418">
        <f t="shared" si="6"/>
        <v>0</v>
      </c>
    </row>
    <row r="419" spans="1:7" x14ac:dyDescent="0.25">
      <c r="A419">
        <v>85.09</v>
      </c>
      <c r="B419">
        <v>64.209999999999994</v>
      </c>
      <c r="C419">
        <v>148.88</v>
      </c>
      <c r="D419">
        <f>IF($A419&gt;MAX($A$2:$A418),1,0)</f>
        <v>0</v>
      </c>
      <c r="E419">
        <f>IF($B419&gt;MAX($B$2:$B418),1,0)</f>
        <v>0</v>
      </c>
      <c r="F419">
        <f>IF($C419&gt;MAX($C$2:$C418),1,0)</f>
        <v>0</v>
      </c>
      <c r="G419">
        <f t="shared" si="6"/>
        <v>0</v>
      </c>
    </row>
    <row r="420" spans="1:7" x14ac:dyDescent="0.25">
      <c r="A420">
        <v>85.26</v>
      </c>
      <c r="B420">
        <v>64.11</v>
      </c>
      <c r="C420">
        <v>150.13999999999999</v>
      </c>
      <c r="D420">
        <f>IF($A420&gt;MAX($A$2:$A419),1,0)</f>
        <v>0</v>
      </c>
      <c r="E420">
        <f>IF($B420&gt;MAX($B$2:$B419),1,0)</f>
        <v>0</v>
      </c>
      <c r="F420">
        <f>IF($C420&gt;MAX($C$2:$C419),1,0)</f>
        <v>0</v>
      </c>
      <c r="G420">
        <f t="shared" si="6"/>
        <v>0</v>
      </c>
    </row>
    <row r="421" spans="1:7" x14ac:dyDescent="0.25">
      <c r="A421">
        <v>87.45</v>
      </c>
      <c r="B421">
        <v>63.4</v>
      </c>
      <c r="C421">
        <v>149.12</v>
      </c>
      <c r="D421">
        <f>IF($A421&gt;MAX($A$2:$A420),1,0)</f>
        <v>0</v>
      </c>
      <c r="E421">
        <f>IF($B421&gt;MAX($B$2:$B420),1,0)</f>
        <v>0</v>
      </c>
      <c r="F421">
        <f>IF($C421&gt;MAX($C$2:$C420),1,0)</f>
        <v>0</v>
      </c>
      <c r="G421">
        <f t="shared" si="6"/>
        <v>0</v>
      </c>
    </row>
    <row r="422" spans="1:7" x14ac:dyDescent="0.25">
      <c r="A422">
        <v>89.82</v>
      </c>
      <c r="B422">
        <v>61.83</v>
      </c>
      <c r="C422">
        <v>147.93</v>
      </c>
      <c r="D422">
        <f>IF($A422&gt;MAX($A$2:$A421),1,0)</f>
        <v>0</v>
      </c>
      <c r="E422">
        <f>IF($B422&gt;MAX($B$2:$B421),1,0)</f>
        <v>0</v>
      </c>
      <c r="F422">
        <f>IF($C422&gt;MAX($C$2:$C421),1,0)</f>
        <v>0</v>
      </c>
      <c r="G422">
        <f t="shared" si="6"/>
        <v>0</v>
      </c>
    </row>
    <row r="423" spans="1:7" x14ac:dyDescent="0.25">
      <c r="A423">
        <v>91.95</v>
      </c>
      <c r="B423">
        <v>59.96</v>
      </c>
      <c r="C423">
        <v>145.99</v>
      </c>
      <c r="D423">
        <f>IF($A423&gt;MAX($A$2:$A422),1,0)</f>
        <v>0</v>
      </c>
      <c r="E423">
        <f>IF($B423&gt;MAX($B$2:$B422),1,0)</f>
        <v>0</v>
      </c>
      <c r="F423">
        <f>IF($C423&gt;MAX($C$2:$C422),1,0)</f>
        <v>0</v>
      </c>
      <c r="G423">
        <f t="shared" si="6"/>
        <v>0</v>
      </c>
    </row>
    <row r="424" spans="1:7" x14ac:dyDescent="0.25">
      <c r="A424">
        <v>94.23</v>
      </c>
      <c r="B424">
        <v>59.02</v>
      </c>
      <c r="C424">
        <v>144.71</v>
      </c>
      <c r="D424">
        <f>IF($A424&gt;MAX($A$2:$A423),1,0)</f>
        <v>0</v>
      </c>
      <c r="E424">
        <f>IF($B424&gt;MAX($B$2:$B423),1,0)</f>
        <v>0</v>
      </c>
      <c r="F424">
        <f>IF($C424&gt;MAX($C$2:$C423),1,0)</f>
        <v>0</v>
      </c>
      <c r="G424">
        <f t="shared" si="6"/>
        <v>0</v>
      </c>
    </row>
    <row r="425" spans="1:7" x14ac:dyDescent="0.25">
      <c r="A425">
        <v>93.11</v>
      </c>
      <c r="B425">
        <v>57.84</v>
      </c>
      <c r="C425">
        <v>145.03</v>
      </c>
      <c r="D425">
        <f>IF($A425&gt;MAX($A$2:$A424),1,0)</f>
        <v>0</v>
      </c>
      <c r="E425">
        <f>IF($B425&gt;MAX($B$2:$B424),1,0)</f>
        <v>0</v>
      </c>
      <c r="F425">
        <f>IF($C425&gt;MAX($C$2:$C424),1,0)</f>
        <v>0</v>
      </c>
      <c r="G425">
        <f t="shared" si="6"/>
        <v>0</v>
      </c>
    </row>
    <row r="426" spans="1:7" x14ac:dyDescent="0.25">
      <c r="A426">
        <v>93.73</v>
      </c>
      <c r="B426">
        <v>60.76</v>
      </c>
      <c r="C426">
        <v>146.52000000000001</v>
      </c>
      <c r="D426">
        <f>IF($A426&gt;MAX($A$2:$A425),1,0)</f>
        <v>0</v>
      </c>
      <c r="E426">
        <f>IF($B426&gt;MAX($B$2:$B425),1,0)</f>
        <v>0</v>
      </c>
      <c r="F426">
        <f>IF($C426&gt;MAX($C$2:$C425),1,0)</f>
        <v>0</v>
      </c>
      <c r="G426">
        <f t="shared" si="6"/>
        <v>0</v>
      </c>
    </row>
    <row r="427" spans="1:7" x14ac:dyDescent="0.25">
      <c r="A427">
        <v>95.75</v>
      </c>
      <c r="B427">
        <v>60.53</v>
      </c>
      <c r="C427">
        <v>146.65</v>
      </c>
      <c r="D427">
        <f>IF($A427&gt;MAX($A$2:$A426),1,0)</f>
        <v>0</v>
      </c>
      <c r="E427">
        <f>IF($B427&gt;MAX($B$2:$B426),1,0)</f>
        <v>0</v>
      </c>
      <c r="F427">
        <f>IF($C427&gt;MAX($C$2:$C426),1,0)</f>
        <v>0</v>
      </c>
      <c r="G427">
        <f t="shared" si="6"/>
        <v>0</v>
      </c>
    </row>
    <row r="428" spans="1:7" x14ac:dyDescent="0.25">
      <c r="A428">
        <v>97.38</v>
      </c>
      <c r="B428">
        <v>62.95</v>
      </c>
      <c r="C428">
        <v>148.26</v>
      </c>
      <c r="D428">
        <f>IF($A428&gt;MAX($A$2:$A427),1,0)</f>
        <v>0</v>
      </c>
      <c r="E428">
        <f>IF($B428&gt;MAX($B$2:$B427),1,0)</f>
        <v>0</v>
      </c>
      <c r="F428">
        <f>IF($C428&gt;MAX($C$2:$C427),1,0)</f>
        <v>0</v>
      </c>
      <c r="G428">
        <f t="shared" si="6"/>
        <v>0</v>
      </c>
    </row>
    <row r="429" spans="1:7" x14ac:dyDescent="0.25">
      <c r="A429">
        <v>99.66</v>
      </c>
      <c r="B429">
        <v>62.42</v>
      </c>
      <c r="C429">
        <v>146.6</v>
      </c>
      <c r="D429">
        <f>IF($A429&gt;MAX($A$2:$A428),1,0)</f>
        <v>0</v>
      </c>
      <c r="E429">
        <f>IF($B429&gt;MAX($B$2:$B428),1,0)</f>
        <v>0</v>
      </c>
      <c r="F429">
        <f>IF($C429&gt;MAX($C$2:$C428),1,0)</f>
        <v>0</v>
      </c>
      <c r="G429">
        <f t="shared" si="6"/>
        <v>0</v>
      </c>
    </row>
    <row r="430" spans="1:7" x14ac:dyDescent="0.25">
      <c r="A430">
        <v>98.06</v>
      </c>
      <c r="B430">
        <v>64.86</v>
      </c>
      <c r="C430">
        <v>147.83000000000001</v>
      </c>
      <c r="D430">
        <f>IF($A430&gt;MAX($A$2:$A429),1,0)</f>
        <v>0</v>
      </c>
      <c r="E430">
        <f>IF($B430&gt;MAX($B$2:$B429),1,0)</f>
        <v>0</v>
      </c>
      <c r="F430">
        <f>IF($C430&gt;MAX($C$2:$C429),1,0)</f>
        <v>0</v>
      </c>
      <c r="G430">
        <f t="shared" si="6"/>
        <v>0</v>
      </c>
    </row>
    <row r="431" spans="1:7" x14ac:dyDescent="0.25">
      <c r="A431">
        <v>99.61</v>
      </c>
      <c r="B431">
        <v>63.25</v>
      </c>
      <c r="C431">
        <v>150.03</v>
      </c>
      <c r="D431">
        <f>IF($A431&gt;MAX($A$2:$A430),1,0)</f>
        <v>0</v>
      </c>
      <c r="E431">
        <f>IF($B431&gt;MAX($B$2:$B430),1,0)</f>
        <v>0</v>
      </c>
      <c r="F431">
        <f>IF($C431&gt;MAX($C$2:$C430),1,0)</f>
        <v>0</v>
      </c>
      <c r="G431">
        <f t="shared" si="6"/>
        <v>0</v>
      </c>
    </row>
    <row r="432" spans="1:7" x14ac:dyDescent="0.25">
      <c r="A432">
        <v>97.68</v>
      </c>
      <c r="B432">
        <v>62.83</v>
      </c>
      <c r="C432">
        <v>151.15</v>
      </c>
      <c r="D432">
        <f>IF($A432&gt;MAX($A$2:$A431),1,0)</f>
        <v>0</v>
      </c>
      <c r="E432">
        <f>IF($B432&gt;MAX($B$2:$B431),1,0)</f>
        <v>0</v>
      </c>
      <c r="F432">
        <f>IF($C432&gt;MAX($C$2:$C431),1,0)</f>
        <v>0</v>
      </c>
      <c r="G432">
        <f t="shared" si="6"/>
        <v>0</v>
      </c>
    </row>
    <row r="433" spans="1:7" x14ac:dyDescent="0.25">
      <c r="A433">
        <v>96.12</v>
      </c>
      <c r="B433">
        <v>61.62</v>
      </c>
      <c r="C433">
        <v>149.94999999999999</v>
      </c>
      <c r="D433">
        <f>IF($A433&gt;MAX($A$2:$A432),1,0)</f>
        <v>0</v>
      </c>
      <c r="E433">
        <f>IF($B433&gt;MAX($B$2:$B432),1,0)</f>
        <v>0</v>
      </c>
      <c r="F433">
        <f>IF($C433&gt;MAX($C$2:$C432),1,0)</f>
        <v>0</v>
      </c>
      <c r="G433">
        <f t="shared" si="6"/>
        <v>0</v>
      </c>
    </row>
    <row r="434" spans="1:7" x14ac:dyDescent="0.25">
      <c r="A434">
        <v>94.84</v>
      </c>
      <c r="B434">
        <v>60.02</v>
      </c>
      <c r="C434">
        <v>150.97999999999999</v>
      </c>
      <c r="D434">
        <f>IF($A434&gt;MAX($A$2:$A433),1,0)</f>
        <v>0</v>
      </c>
      <c r="E434">
        <f>IF($B434&gt;MAX($B$2:$B433),1,0)</f>
        <v>0</v>
      </c>
      <c r="F434">
        <f>IF($C434&gt;MAX($C$2:$C433),1,0)</f>
        <v>0</v>
      </c>
      <c r="G434">
        <f t="shared" si="6"/>
        <v>0</v>
      </c>
    </row>
    <row r="435" spans="1:7" x14ac:dyDescent="0.25">
      <c r="A435">
        <v>95.23</v>
      </c>
      <c r="B435">
        <v>59.25</v>
      </c>
      <c r="C435">
        <v>149.25</v>
      </c>
      <c r="D435">
        <f>IF($A435&gt;MAX($A$2:$A434),1,0)</f>
        <v>0</v>
      </c>
      <c r="E435">
        <f>IF($B435&gt;MAX($B$2:$B434),1,0)</f>
        <v>0</v>
      </c>
      <c r="F435">
        <f>IF($C435&gt;MAX($C$2:$C434),1,0)</f>
        <v>0</v>
      </c>
      <c r="G435">
        <f t="shared" si="6"/>
        <v>0</v>
      </c>
    </row>
    <row r="436" spans="1:7" x14ac:dyDescent="0.25">
      <c r="A436">
        <v>96.12</v>
      </c>
      <c r="B436">
        <v>62.11</v>
      </c>
      <c r="C436">
        <v>151.06</v>
      </c>
      <c r="D436">
        <f>IF($A436&gt;MAX($A$2:$A435),1,0)</f>
        <v>0</v>
      </c>
      <c r="E436">
        <f>IF($B436&gt;MAX($B$2:$B435),1,0)</f>
        <v>0</v>
      </c>
      <c r="F436">
        <f>IF($C436&gt;MAX($C$2:$C435),1,0)</f>
        <v>0</v>
      </c>
      <c r="G436">
        <f t="shared" si="6"/>
        <v>0</v>
      </c>
    </row>
    <row r="437" spans="1:7" x14ac:dyDescent="0.25">
      <c r="A437">
        <v>94.84</v>
      </c>
      <c r="B437">
        <v>60.56</v>
      </c>
      <c r="C437">
        <v>149.65</v>
      </c>
      <c r="D437">
        <f>IF($A437&gt;MAX($A$2:$A436),1,0)</f>
        <v>0</v>
      </c>
      <c r="E437">
        <f>IF($B437&gt;MAX($B$2:$B436),1,0)</f>
        <v>0</v>
      </c>
      <c r="F437">
        <f>IF($C437&gt;MAX($C$2:$C436),1,0)</f>
        <v>0</v>
      </c>
      <c r="G437">
        <f t="shared" si="6"/>
        <v>0</v>
      </c>
    </row>
    <row r="438" spans="1:7" x14ac:dyDescent="0.25">
      <c r="A438">
        <v>93.28</v>
      </c>
      <c r="B438">
        <v>60.46</v>
      </c>
      <c r="C438">
        <v>148.22</v>
      </c>
      <c r="D438">
        <f>IF($A438&gt;MAX($A$2:$A437),1,0)</f>
        <v>0</v>
      </c>
      <c r="E438">
        <f>IF($B438&gt;MAX($B$2:$B437),1,0)</f>
        <v>0</v>
      </c>
      <c r="F438">
        <f>IF($C438&gt;MAX($C$2:$C437),1,0)</f>
        <v>0</v>
      </c>
      <c r="G438">
        <f t="shared" si="6"/>
        <v>0</v>
      </c>
    </row>
    <row r="439" spans="1:7" x14ac:dyDescent="0.25">
      <c r="A439">
        <v>91.44</v>
      </c>
      <c r="B439">
        <v>63.27</v>
      </c>
      <c r="C439">
        <v>146.25</v>
      </c>
      <c r="D439">
        <f>IF($A439&gt;MAX($A$2:$A438),1,0)</f>
        <v>0</v>
      </c>
      <c r="E439">
        <f>IF($B439&gt;MAX($B$2:$B438),1,0)</f>
        <v>0</v>
      </c>
      <c r="F439">
        <f>IF($C439&gt;MAX($C$2:$C438),1,0)</f>
        <v>0</v>
      </c>
      <c r="G439">
        <f t="shared" si="6"/>
        <v>0</v>
      </c>
    </row>
    <row r="440" spans="1:7" x14ac:dyDescent="0.25">
      <c r="A440">
        <v>93.22</v>
      </c>
      <c r="B440">
        <v>62.21</v>
      </c>
      <c r="C440">
        <v>146.91</v>
      </c>
      <c r="D440">
        <f>IF($A440&gt;MAX($A$2:$A439),1,0)</f>
        <v>0</v>
      </c>
      <c r="E440">
        <f>IF($B440&gt;MAX($B$2:$B439),1,0)</f>
        <v>0</v>
      </c>
      <c r="F440">
        <f>IF($C440&gt;MAX($C$2:$C439),1,0)</f>
        <v>0</v>
      </c>
      <c r="G440">
        <f t="shared" si="6"/>
        <v>0</v>
      </c>
    </row>
    <row r="441" spans="1:7" x14ac:dyDescent="0.25">
      <c r="A441">
        <v>95.34</v>
      </c>
      <c r="B441">
        <v>65.209999999999994</v>
      </c>
      <c r="C441">
        <v>145.85</v>
      </c>
      <c r="D441">
        <f>IF($A441&gt;MAX($A$2:$A440),1,0)</f>
        <v>0</v>
      </c>
      <c r="E441">
        <f>IF($B441&gt;MAX($B$2:$B440),1,0)</f>
        <v>0</v>
      </c>
      <c r="F441">
        <f>IF($C441&gt;MAX($C$2:$C440),1,0)</f>
        <v>0</v>
      </c>
      <c r="G441">
        <f t="shared" si="6"/>
        <v>0</v>
      </c>
    </row>
    <row r="442" spans="1:7" x14ac:dyDescent="0.25">
      <c r="A442">
        <v>97.18</v>
      </c>
      <c r="B442">
        <v>64.72</v>
      </c>
      <c r="C442">
        <v>146.31</v>
      </c>
      <c r="D442">
        <f>IF($A442&gt;MAX($A$2:$A441),1,0)</f>
        <v>0</v>
      </c>
      <c r="E442">
        <f>IF($B442&gt;MAX($B$2:$B441),1,0)</f>
        <v>0</v>
      </c>
      <c r="F442">
        <f>IF($C442&gt;MAX($C$2:$C441),1,0)</f>
        <v>0</v>
      </c>
      <c r="G442">
        <f t="shared" si="6"/>
        <v>0</v>
      </c>
    </row>
    <row r="443" spans="1:7" x14ac:dyDescent="0.25">
      <c r="A443">
        <v>95.89</v>
      </c>
      <c r="B443">
        <v>64.510000000000005</v>
      </c>
      <c r="C443">
        <v>144.6</v>
      </c>
      <c r="D443">
        <f>IF($A443&gt;MAX($A$2:$A442),1,0)</f>
        <v>0</v>
      </c>
      <c r="E443">
        <f>IF($B443&gt;MAX($B$2:$B442),1,0)</f>
        <v>0</v>
      </c>
      <c r="F443">
        <f>IF($C443&gt;MAX($C$2:$C442),1,0)</f>
        <v>0</v>
      </c>
      <c r="G443">
        <f t="shared" si="6"/>
        <v>0</v>
      </c>
    </row>
    <row r="444" spans="1:7" x14ac:dyDescent="0.25">
      <c r="A444">
        <v>94.4</v>
      </c>
      <c r="B444">
        <v>63.15</v>
      </c>
      <c r="C444">
        <v>143.56</v>
      </c>
      <c r="D444">
        <f>IF($A444&gt;MAX($A$2:$A443),1,0)</f>
        <v>0</v>
      </c>
      <c r="E444">
        <f>IF($B444&gt;MAX($B$2:$B443),1,0)</f>
        <v>0</v>
      </c>
      <c r="F444">
        <f>IF($C444&gt;MAX($C$2:$C443),1,0)</f>
        <v>0</v>
      </c>
      <c r="G444">
        <f t="shared" si="6"/>
        <v>0</v>
      </c>
    </row>
    <row r="445" spans="1:7" x14ac:dyDescent="0.25">
      <c r="A445">
        <v>93.07</v>
      </c>
      <c r="B445">
        <v>65.959999999999994</v>
      </c>
      <c r="C445">
        <v>143.61000000000001</v>
      </c>
      <c r="D445">
        <f>IF($A445&gt;MAX($A$2:$A444),1,0)</f>
        <v>0</v>
      </c>
      <c r="E445">
        <f>IF($B445&gt;MAX($B$2:$B444),1,0)</f>
        <v>0</v>
      </c>
      <c r="F445">
        <f>IF($C445&gt;MAX($C$2:$C444),1,0)</f>
        <v>0</v>
      </c>
      <c r="G445">
        <f t="shared" si="6"/>
        <v>0</v>
      </c>
    </row>
    <row r="446" spans="1:7" x14ac:dyDescent="0.25">
      <c r="A446">
        <v>93.84</v>
      </c>
      <c r="B446">
        <v>64.819999999999993</v>
      </c>
      <c r="C446">
        <v>143.97999999999999</v>
      </c>
      <c r="D446">
        <f>IF($A446&gt;MAX($A$2:$A445),1,0)</f>
        <v>0</v>
      </c>
      <c r="E446">
        <f>IF($B446&gt;MAX($B$2:$B445),1,0)</f>
        <v>0</v>
      </c>
      <c r="F446">
        <f>IF($C446&gt;MAX($C$2:$C445),1,0)</f>
        <v>0</v>
      </c>
      <c r="G446">
        <f t="shared" si="6"/>
        <v>0</v>
      </c>
    </row>
    <row r="447" spans="1:7" x14ac:dyDescent="0.25">
      <c r="A447">
        <v>92.78</v>
      </c>
      <c r="B447">
        <v>63.49</v>
      </c>
      <c r="C447">
        <v>142.51</v>
      </c>
      <c r="D447">
        <f>IF($A447&gt;MAX($A$2:$A446),1,0)</f>
        <v>0</v>
      </c>
      <c r="E447">
        <f>IF($B447&gt;MAX($B$2:$B446),1,0)</f>
        <v>0</v>
      </c>
      <c r="F447">
        <f>IF($C447&gt;MAX($C$2:$C446),1,0)</f>
        <v>0</v>
      </c>
      <c r="G447">
        <f t="shared" si="6"/>
        <v>0</v>
      </c>
    </row>
    <row r="448" spans="1:7" x14ac:dyDescent="0.25">
      <c r="A448">
        <v>94.02</v>
      </c>
      <c r="B448">
        <v>62.41</v>
      </c>
      <c r="C448">
        <v>144.03</v>
      </c>
      <c r="D448">
        <f>IF($A448&gt;MAX($A$2:$A447),1,0)</f>
        <v>0</v>
      </c>
      <c r="E448">
        <f>IF($B448&gt;MAX($B$2:$B447),1,0)</f>
        <v>0</v>
      </c>
      <c r="F448">
        <f>IF($C448&gt;MAX($C$2:$C447),1,0)</f>
        <v>0</v>
      </c>
      <c r="G448">
        <f t="shared" si="6"/>
        <v>0</v>
      </c>
    </row>
    <row r="449" spans="1:7" x14ac:dyDescent="0.25">
      <c r="A449">
        <v>95.27</v>
      </c>
      <c r="B449">
        <v>65.36</v>
      </c>
      <c r="C449">
        <v>142.49</v>
      </c>
      <c r="D449">
        <f>IF($A449&gt;MAX($A$2:$A448),1,0)</f>
        <v>0</v>
      </c>
      <c r="E449">
        <f>IF($B449&gt;MAX($B$2:$B448),1,0)</f>
        <v>0</v>
      </c>
      <c r="F449">
        <f>IF($C449&gt;MAX($C$2:$C448),1,0)</f>
        <v>0</v>
      </c>
      <c r="G449">
        <f t="shared" si="6"/>
        <v>0</v>
      </c>
    </row>
    <row r="450" spans="1:7" x14ac:dyDescent="0.25">
      <c r="A450">
        <v>93.67</v>
      </c>
      <c r="B450">
        <v>64.400000000000006</v>
      </c>
      <c r="C450">
        <v>140.54</v>
      </c>
      <c r="D450">
        <f>IF($A450&gt;MAX($A$2:$A449),1,0)</f>
        <v>0</v>
      </c>
      <c r="E450">
        <f>IF($B450&gt;MAX($B$2:$B449),1,0)</f>
        <v>0</v>
      </c>
      <c r="F450">
        <f>IF($C450&gt;MAX($C$2:$C449),1,0)</f>
        <v>0</v>
      </c>
      <c r="G450">
        <f t="shared" si="6"/>
        <v>0</v>
      </c>
    </row>
    <row r="451" spans="1:7" x14ac:dyDescent="0.25">
      <c r="A451">
        <v>95.35</v>
      </c>
      <c r="B451">
        <v>63.79</v>
      </c>
      <c r="C451">
        <v>138.88999999999999</v>
      </c>
      <c r="D451">
        <f>IF($A451&gt;MAX($A$2:$A450),1,0)</f>
        <v>0</v>
      </c>
      <c r="E451">
        <f>IF($B451&gt;MAX($B$2:$B450),1,0)</f>
        <v>0</v>
      </c>
      <c r="F451">
        <f>IF($C451&gt;MAX($C$2:$C450),1,0)</f>
        <v>0</v>
      </c>
      <c r="G451">
        <f t="shared" si="6"/>
        <v>0</v>
      </c>
    </row>
    <row r="452" spans="1:7" x14ac:dyDescent="0.25">
      <c r="A452">
        <v>96.14</v>
      </c>
      <c r="B452">
        <v>62.37</v>
      </c>
      <c r="C452">
        <v>137.61000000000001</v>
      </c>
      <c r="D452">
        <f>IF($A452&gt;MAX($A$2:$A451),1,0)</f>
        <v>0</v>
      </c>
      <c r="E452">
        <f>IF($B452&gt;MAX($B$2:$B451),1,0)</f>
        <v>0</v>
      </c>
      <c r="F452">
        <f>IF($C452&gt;MAX($C$2:$C451),1,0)</f>
        <v>0</v>
      </c>
      <c r="G452">
        <f t="shared" ref="G452:G501" si="7">IF(SUM(D452:F452)&gt;=2,1,0)</f>
        <v>0</v>
      </c>
    </row>
    <row r="453" spans="1:7" x14ac:dyDescent="0.25">
      <c r="A453">
        <v>94.99</v>
      </c>
      <c r="B453">
        <v>65.239999999999995</v>
      </c>
      <c r="C453">
        <v>138.30000000000001</v>
      </c>
      <c r="D453">
        <f>IF($A453&gt;MAX($A$2:$A452),1,0)</f>
        <v>0</v>
      </c>
      <c r="E453">
        <f>IF($B453&gt;MAX($B$2:$B452),1,0)</f>
        <v>0</v>
      </c>
      <c r="F453">
        <f>IF($C453&gt;MAX($C$2:$C452),1,0)</f>
        <v>0</v>
      </c>
      <c r="G453">
        <f t="shared" si="7"/>
        <v>0</v>
      </c>
    </row>
    <row r="454" spans="1:7" x14ac:dyDescent="0.25">
      <c r="A454">
        <v>95.7</v>
      </c>
      <c r="B454">
        <v>64.81</v>
      </c>
      <c r="C454">
        <v>136.81</v>
      </c>
      <c r="D454">
        <f>IF($A454&gt;MAX($A$2:$A453),1,0)</f>
        <v>0</v>
      </c>
      <c r="E454">
        <f>IF($B454&gt;MAX($B$2:$B453),1,0)</f>
        <v>0</v>
      </c>
      <c r="F454">
        <f>IF($C454&gt;MAX($C$2:$C453),1,0)</f>
        <v>0</v>
      </c>
      <c r="G454">
        <f t="shared" si="7"/>
        <v>0</v>
      </c>
    </row>
    <row r="455" spans="1:7" x14ac:dyDescent="0.25">
      <c r="A455">
        <v>95.72</v>
      </c>
      <c r="B455">
        <v>63.89</v>
      </c>
      <c r="C455">
        <v>135.43</v>
      </c>
      <c r="D455">
        <f>IF($A455&gt;MAX($A$2:$A454),1,0)</f>
        <v>0</v>
      </c>
      <c r="E455">
        <f>IF($B455&gt;MAX($B$2:$B454),1,0)</f>
        <v>0</v>
      </c>
      <c r="F455">
        <f>IF($C455&gt;MAX($C$2:$C454),1,0)</f>
        <v>0</v>
      </c>
      <c r="G455">
        <f t="shared" si="7"/>
        <v>0</v>
      </c>
    </row>
    <row r="456" spans="1:7" x14ac:dyDescent="0.25">
      <c r="A456">
        <v>96.62</v>
      </c>
      <c r="B456">
        <v>66.790000000000006</v>
      </c>
      <c r="C456">
        <v>134</v>
      </c>
      <c r="D456">
        <f>IF($A456&gt;MAX($A$2:$A455),1,0)</f>
        <v>0</v>
      </c>
      <c r="E456">
        <f>IF($B456&gt;MAX($B$2:$B455),1,0)</f>
        <v>0</v>
      </c>
      <c r="F456">
        <f>IF($C456&gt;MAX($C$2:$C455),1,0)</f>
        <v>0</v>
      </c>
      <c r="G456">
        <f t="shared" si="7"/>
        <v>0</v>
      </c>
    </row>
    <row r="457" spans="1:7" x14ac:dyDescent="0.25">
      <c r="A457">
        <v>98.19</v>
      </c>
      <c r="B457">
        <v>65.16</v>
      </c>
      <c r="C457">
        <v>134.07</v>
      </c>
      <c r="D457">
        <f>IF($A457&gt;MAX($A$2:$A456),1,0)</f>
        <v>0</v>
      </c>
      <c r="E457">
        <f>IF($B457&gt;MAX($B$2:$B456),1,0)</f>
        <v>0</v>
      </c>
      <c r="F457">
        <f>IF($C457&gt;MAX($C$2:$C456),1,0)</f>
        <v>0</v>
      </c>
      <c r="G457">
        <f t="shared" si="7"/>
        <v>0</v>
      </c>
    </row>
    <row r="458" spans="1:7" x14ac:dyDescent="0.25">
      <c r="A458">
        <v>97.19</v>
      </c>
      <c r="B458">
        <v>67.81</v>
      </c>
      <c r="C458">
        <v>135.07</v>
      </c>
      <c r="D458">
        <f>IF($A458&gt;MAX($A$2:$A457),1,0)</f>
        <v>0</v>
      </c>
      <c r="E458">
        <f>IF($B458&gt;MAX($B$2:$B457),1,0)</f>
        <v>0</v>
      </c>
      <c r="F458">
        <f>IF($C458&gt;MAX($C$2:$C457),1,0)</f>
        <v>0</v>
      </c>
      <c r="G458">
        <f t="shared" si="7"/>
        <v>0</v>
      </c>
    </row>
    <row r="459" spans="1:7" x14ac:dyDescent="0.25">
      <c r="A459">
        <v>97.88</v>
      </c>
      <c r="B459">
        <v>70.23</v>
      </c>
      <c r="C459">
        <v>133.69999999999999</v>
      </c>
      <c r="D459">
        <f>IF($A459&gt;MAX($A$2:$A458),1,0)</f>
        <v>0</v>
      </c>
      <c r="E459">
        <f>IF($B459&gt;MAX($B$2:$B458),1,0)</f>
        <v>0</v>
      </c>
      <c r="F459">
        <f>IF($C459&gt;MAX($C$2:$C458),1,0)</f>
        <v>0</v>
      </c>
      <c r="G459">
        <f t="shared" si="7"/>
        <v>0</v>
      </c>
    </row>
    <row r="460" spans="1:7" x14ac:dyDescent="0.25">
      <c r="A460">
        <v>96.5</v>
      </c>
      <c r="B460">
        <v>69.88</v>
      </c>
      <c r="C460">
        <v>132.12</v>
      </c>
      <c r="D460">
        <f>IF($A460&gt;MAX($A$2:$A459),1,0)</f>
        <v>0</v>
      </c>
      <c r="E460">
        <f>IF($B460&gt;MAX($B$2:$B459),1,0)</f>
        <v>0</v>
      </c>
      <c r="F460">
        <f>IF($C460&gt;MAX($C$2:$C459),1,0)</f>
        <v>0</v>
      </c>
      <c r="G460">
        <f t="shared" si="7"/>
        <v>0</v>
      </c>
    </row>
    <row r="461" spans="1:7" x14ac:dyDescent="0.25">
      <c r="A461">
        <v>98.32</v>
      </c>
      <c r="B461">
        <v>69.650000000000006</v>
      </c>
      <c r="C461">
        <v>132.19999999999999</v>
      </c>
      <c r="D461">
        <f>IF($A461&gt;MAX($A$2:$A460),1,0)</f>
        <v>0</v>
      </c>
      <c r="E461">
        <f>IF($B461&gt;MAX($B$2:$B460),1,0)</f>
        <v>0</v>
      </c>
      <c r="F461">
        <f>IF($C461&gt;MAX($C$2:$C460),1,0)</f>
        <v>0</v>
      </c>
      <c r="G461">
        <f t="shared" si="7"/>
        <v>0</v>
      </c>
    </row>
    <row r="462" spans="1:7" x14ac:dyDescent="0.25">
      <c r="A462">
        <v>100.41</v>
      </c>
      <c r="B462">
        <v>67.95</v>
      </c>
      <c r="C462">
        <v>134.63</v>
      </c>
      <c r="D462">
        <f>IF($A462&gt;MAX($A$2:$A461),1,0)</f>
        <v>0</v>
      </c>
      <c r="E462">
        <f>IF($B462&gt;MAX($B$2:$B461),1,0)</f>
        <v>0</v>
      </c>
      <c r="F462">
        <f>IF($C462&gt;MAX($C$2:$C461),1,0)</f>
        <v>0</v>
      </c>
      <c r="G462">
        <f t="shared" si="7"/>
        <v>0</v>
      </c>
    </row>
    <row r="463" spans="1:7" x14ac:dyDescent="0.25">
      <c r="A463">
        <v>98.63</v>
      </c>
      <c r="B463">
        <v>66.98</v>
      </c>
      <c r="C463">
        <v>136.87</v>
      </c>
      <c r="D463">
        <f>IF($A463&gt;MAX($A$2:$A462),1,0)</f>
        <v>0</v>
      </c>
      <c r="E463">
        <f>IF($B463&gt;MAX($B$2:$B462),1,0)</f>
        <v>0</v>
      </c>
      <c r="F463">
        <f>IF($C463&gt;MAX($C$2:$C462),1,0)</f>
        <v>0</v>
      </c>
      <c r="G463">
        <f t="shared" si="7"/>
        <v>0</v>
      </c>
    </row>
    <row r="464" spans="1:7" x14ac:dyDescent="0.25">
      <c r="A464">
        <v>96.81</v>
      </c>
      <c r="B464">
        <v>65.760000000000005</v>
      </c>
      <c r="C464">
        <v>138.55000000000001</v>
      </c>
      <c r="D464">
        <f>IF($A464&gt;MAX($A$2:$A463),1,0)</f>
        <v>0</v>
      </c>
      <c r="E464">
        <f>IF($B464&gt;MAX($B$2:$B463),1,0)</f>
        <v>0</v>
      </c>
      <c r="F464">
        <f>IF($C464&gt;MAX($C$2:$C463),1,0)</f>
        <v>0</v>
      </c>
      <c r="G464">
        <f t="shared" si="7"/>
        <v>0</v>
      </c>
    </row>
    <row r="465" spans="1:7" x14ac:dyDescent="0.25">
      <c r="A465">
        <v>98.88</v>
      </c>
      <c r="B465">
        <v>65.53</v>
      </c>
      <c r="C465">
        <v>137.22999999999999</v>
      </c>
      <c r="D465">
        <f>IF($A465&gt;MAX($A$2:$A464),1,0)</f>
        <v>0</v>
      </c>
      <c r="E465">
        <f>IF($B465&gt;MAX($B$2:$B464),1,0)</f>
        <v>0</v>
      </c>
      <c r="F465">
        <f>IF($C465&gt;MAX($C$2:$C464),1,0)</f>
        <v>0</v>
      </c>
      <c r="G465">
        <f t="shared" si="7"/>
        <v>0</v>
      </c>
    </row>
    <row r="466" spans="1:7" x14ac:dyDescent="0.25">
      <c r="A466">
        <v>100.54</v>
      </c>
      <c r="B466">
        <v>68.27</v>
      </c>
      <c r="C466">
        <v>135.35</v>
      </c>
      <c r="D466">
        <f>IF($A466&gt;MAX($A$2:$A465),1,0)</f>
        <v>0</v>
      </c>
      <c r="E466">
        <f>IF($B466&gt;MAX($B$2:$B465),1,0)</f>
        <v>0</v>
      </c>
      <c r="F466">
        <f>IF($C466&gt;MAX($C$2:$C465),1,0)</f>
        <v>0</v>
      </c>
      <c r="G466">
        <f t="shared" si="7"/>
        <v>0</v>
      </c>
    </row>
    <row r="467" spans="1:7" x14ac:dyDescent="0.25">
      <c r="A467">
        <v>102.5</v>
      </c>
      <c r="B467">
        <v>66.36</v>
      </c>
      <c r="C467">
        <v>133.85</v>
      </c>
      <c r="D467">
        <f>IF($A467&gt;MAX($A$2:$A466),1,0)</f>
        <v>0</v>
      </c>
      <c r="E467">
        <f>IF($B467&gt;MAX($B$2:$B466),1,0)</f>
        <v>0</v>
      </c>
      <c r="F467">
        <f>IF($C467&gt;MAX($C$2:$C466),1,0)</f>
        <v>0</v>
      </c>
      <c r="G467">
        <f t="shared" si="7"/>
        <v>0</v>
      </c>
    </row>
    <row r="468" spans="1:7" x14ac:dyDescent="0.25">
      <c r="A468">
        <v>103.73</v>
      </c>
      <c r="B468">
        <v>65</v>
      </c>
      <c r="C468">
        <v>134.44999999999999</v>
      </c>
      <c r="D468">
        <f>IF($A468&gt;MAX($A$2:$A467),1,0)</f>
        <v>0</v>
      </c>
      <c r="E468">
        <f>IF($B468&gt;MAX($B$2:$B467),1,0)</f>
        <v>0</v>
      </c>
      <c r="F468">
        <f>IF($C468&gt;MAX($C$2:$C467),1,0)</f>
        <v>0</v>
      </c>
      <c r="G468">
        <f t="shared" si="7"/>
        <v>0</v>
      </c>
    </row>
    <row r="469" spans="1:7" x14ac:dyDescent="0.25">
      <c r="A469">
        <v>101.95</v>
      </c>
      <c r="B469">
        <v>67.900000000000006</v>
      </c>
      <c r="C469">
        <v>136.01</v>
      </c>
      <c r="D469">
        <f>IF($A469&gt;MAX($A$2:$A468),1,0)</f>
        <v>0</v>
      </c>
      <c r="E469">
        <f>IF($B469&gt;MAX($B$2:$B468),1,0)</f>
        <v>0</v>
      </c>
      <c r="F469">
        <f>IF($C469&gt;MAX($C$2:$C468),1,0)</f>
        <v>0</v>
      </c>
      <c r="G469">
        <f t="shared" si="7"/>
        <v>0</v>
      </c>
    </row>
    <row r="470" spans="1:7" x14ac:dyDescent="0.25">
      <c r="A470">
        <v>100.28</v>
      </c>
      <c r="B470">
        <v>67.61</v>
      </c>
      <c r="C470">
        <v>134.69</v>
      </c>
      <c r="D470">
        <f>IF($A470&gt;MAX($A$2:$A469),1,0)</f>
        <v>0</v>
      </c>
      <c r="E470">
        <f>IF($B470&gt;MAX($B$2:$B469),1,0)</f>
        <v>0</v>
      </c>
      <c r="F470">
        <f>IF($C470&gt;MAX($C$2:$C469),1,0)</f>
        <v>0</v>
      </c>
      <c r="G470">
        <f t="shared" si="7"/>
        <v>0</v>
      </c>
    </row>
    <row r="471" spans="1:7" x14ac:dyDescent="0.25">
      <c r="A471">
        <v>101.15</v>
      </c>
      <c r="B471">
        <v>66.87</v>
      </c>
      <c r="C471">
        <v>136.71</v>
      </c>
      <c r="D471">
        <f>IF($A471&gt;MAX($A$2:$A470),1,0)</f>
        <v>0</v>
      </c>
      <c r="E471">
        <f>IF($B471&gt;MAX($B$2:$B470),1,0)</f>
        <v>0</v>
      </c>
      <c r="F471">
        <f>IF($C471&gt;MAX($C$2:$C470),1,0)</f>
        <v>0</v>
      </c>
      <c r="G471">
        <f t="shared" si="7"/>
        <v>0</v>
      </c>
    </row>
    <row r="472" spans="1:7" x14ac:dyDescent="0.25">
      <c r="A472">
        <v>101.53</v>
      </c>
      <c r="B472">
        <v>69.790000000000006</v>
      </c>
      <c r="C472">
        <v>135.55000000000001</v>
      </c>
      <c r="D472">
        <f>IF($A472&gt;MAX($A$2:$A471),1,0)</f>
        <v>0</v>
      </c>
      <c r="E472">
        <f>IF($B472&gt;MAX($B$2:$B471),1,0)</f>
        <v>0</v>
      </c>
      <c r="F472">
        <f>IF($C472&gt;MAX($C$2:$C471),1,0)</f>
        <v>0</v>
      </c>
      <c r="G472">
        <f t="shared" si="7"/>
        <v>0</v>
      </c>
    </row>
    <row r="473" spans="1:7" x14ac:dyDescent="0.25">
      <c r="A473">
        <v>103.27</v>
      </c>
      <c r="B473">
        <v>72.55</v>
      </c>
      <c r="C473">
        <v>138.04</v>
      </c>
      <c r="D473">
        <f>IF($A473&gt;MAX($A$2:$A472),1,0)</f>
        <v>0</v>
      </c>
      <c r="E473">
        <f>IF($B473&gt;MAX($B$2:$B472),1,0)</f>
        <v>0</v>
      </c>
      <c r="F473">
        <f>IF($C473&gt;MAX($C$2:$C472),1,0)</f>
        <v>0</v>
      </c>
      <c r="G473">
        <f t="shared" si="7"/>
        <v>0</v>
      </c>
    </row>
    <row r="474" spans="1:7" x14ac:dyDescent="0.25">
      <c r="A474">
        <v>102.2</v>
      </c>
      <c r="B474">
        <v>70.64</v>
      </c>
      <c r="C474">
        <v>136.30000000000001</v>
      </c>
      <c r="D474">
        <f>IF($A474&gt;MAX($A$2:$A473),1,0)</f>
        <v>0</v>
      </c>
      <c r="E474">
        <f>IF($B474&gt;MAX($B$2:$B473),1,0)</f>
        <v>0</v>
      </c>
      <c r="F474">
        <f>IF($C474&gt;MAX($C$2:$C473),1,0)</f>
        <v>0</v>
      </c>
      <c r="G474">
        <f t="shared" si="7"/>
        <v>0</v>
      </c>
    </row>
    <row r="475" spans="1:7" x14ac:dyDescent="0.25">
      <c r="A475">
        <v>100.83</v>
      </c>
      <c r="B475">
        <v>69.989999999999995</v>
      </c>
      <c r="C475">
        <v>136.91</v>
      </c>
      <c r="D475">
        <f>IF($A475&gt;MAX($A$2:$A474),1,0)</f>
        <v>0</v>
      </c>
      <c r="E475">
        <f>IF($B475&gt;MAX($B$2:$B474),1,0)</f>
        <v>0</v>
      </c>
      <c r="F475">
        <f>IF($C475&gt;MAX($C$2:$C474),1,0)</f>
        <v>0</v>
      </c>
      <c r="G475">
        <f t="shared" si="7"/>
        <v>0</v>
      </c>
    </row>
    <row r="476" spans="1:7" x14ac:dyDescent="0.25">
      <c r="A476">
        <v>101.6</v>
      </c>
      <c r="B476">
        <v>68.069999999999993</v>
      </c>
      <c r="C476">
        <v>137.52000000000001</v>
      </c>
      <c r="D476">
        <f>IF($A476&gt;MAX($A$2:$A475),1,0)</f>
        <v>0</v>
      </c>
      <c r="E476">
        <f>IF($B476&gt;MAX($B$2:$B475),1,0)</f>
        <v>0</v>
      </c>
      <c r="F476">
        <f>IF($C476&gt;MAX($C$2:$C475),1,0)</f>
        <v>0</v>
      </c>
      <c r="G476">
        <f t="shared" si="7"/>
        <v>0</v>
      </c>
    </row>
    <row r="477" spans="1:7" x14ac:dyDescent="0.25">
      <c r="A477">
        <v>99.94</v>
      </c>
      <c r="B477">
        <v>66.72</v>
      </c>
      <c r="C477">
        <v>136.02000000000001</v>
      </c>
      <c r="D477">
        <f>IF($A477&gt;MAX($A$2:$A476),1,0)</f>
        <v>0</v>
      </c>
      <c r="E477">
        <f>IF($B477&gt;MAX($B$2:$B476),1,0)</f>
        <v>0</v>
      </c>
      <c r="F477">
        <f>IF($C477&gt;MAX($C$2:$C476),1,0)</f>
        <v>0</v>
      </c>
      <c r="G477">
        <f t="shared" si="7"/>
        <v>0</v>
      </c>
    </row>
    <row r="478" spans="1:7" x14ac:dyDescent="0.25">
      <c r="A478">
        <v>98.46</v>
      </c>
      <c r="B478">
        <v>69.349999999999994</v>
      </c>
      <c r="C478">
        <v>134.65</v>
      </c>
      <c r="D478">
        <f>IF($A478&gt;MAX($A$2:$A477),1,0)</f>
        <v>0</v>
      </c>
      <c r="E478">
        <f>IF($B478&gt;MAX($B$2:$B477),1,0)</f>
        <v>0</v>
      </c>
      <c r="F478">
        <f>IF($C478&gt;MAX($C$2:$C477),1,0)</f>
        <v>0</v>
      </c>
      <c r="G478">
        <f t="shared" si="7"/>
        <v>0</v>
      </c>
    </row>
    <row r="479" spans="1:7" x14ac:dyDescent="0.25">
      <c r="A479">
        <v>97.24</v>
      </c>
      <c r="B479">
        <v>68.8</v>
      </c>
      <c r="C479">
        <v>133.62</v>
      </c>
      <c r="D479">
        <f>IF($A479&gt;MAX($A$2:$A478),1,0)</f>
        <v>0</v>
      </c>
      <c r="E479">
        <f>IF($B479&gt;MAX($B$2:$B478),1,0)</f>
        <v>0</v>
      </c>
      <c r="F479">
        <f>IF($C479&gt;MAX($C$2:$C478),1,0)</f>
        <v>0</v>
      </c>
      <c r="G479">
        <f t="shared" si="7"/>
        <v>0</v>
      </c>
    </row>
    <row r="480" spans="1:7" x14ac:dyDescent="0.25">
      <c r="A480">
        <v>97.6</v>
      </c>
      <c r="B480">
        <v>66.97</v>
      </c>
      <c r="C480">
        <v>134.27000000000001</v>
      </c>
      <c r="D480">
        <f>IF($A480&gt;MAX($A$2:$A479),1,0)</f>
        <v>0</v>
      </c>
      <c r="E480">
        <f>IF($B480&gt;MAX($B$2:$B479),1,0)</f>
        <v>0</v>
      </c>
      <c r="F480">
        <f>IF($C480&gt;MAX($C$2:$C479),1,0)</f>
        <v>0</v>
      </c>
      <c r="G480">
        <f t="shared" si="7"/>
        <v>0</v>
      </c>
    </row>
    <row r="481" spans="1:7" x14ac:dyDescent="0.25">
      <c r="A481">
        <v>98.91</v>
      </c>
      <c r="B481">
        <v>66.28</v>
      </c>
      <c r="C481">
        <v>134.35</v>
      </c>
      <c r="D481">
        <f>IF($A481&gt;MAX($A$2:$A480),1,0)</f>
        <v>0</v>
      </c>
      <c r="E481">
        <f>IF($B481&gt;MAX($B$2:$B480),1,0)</f>
        <v>0</v>
      </c>
      <c r="F481">
        <f>IF($C481&gt;MAX($C$2:$C480),1,0)</f>
        <v>0</v>
      </c>
      <c r="G481">
        <f t="shared" si="7"/>
        <v>0</v>
      </c>
    </row>
    <row r="482" spans="1:7" x14ac:dyDescent="0.25">
      <c r="A482">
        <v>101.11</v>
      </c>
      <c r="B482">
        <v>64.41</v>
      </c>
      <c r="C482">
        <v>133.19</v>
      </c>
      <c r="D482">
        <f>IF($A482&gt;MAX($A$2:$A481),1,0)</f>
        <v>0</v>
      </c>
      <c r="E482">
        <f>IF($B482&gt;MAX($B$2:$B481),1,0)</f>
        <v>0</v>
      </c>
      <c r="F482">
        <f>IF($C482&gt;MAX($C$2:$C481),1,0)</f>
        <v>0</v>
      </c>
      <c r="G482">
        <f t="shared" si="7"/>
        <v>0</v>
      </c>
    </row>
    <row r="483" spans="1:7" x14ac:dyDescent="0.25">
      <c r="A483">
        <v>102.79</v>
      </c>
      <c r="B483">
        <v>66.86</v>
      </c>
      <c r="C483">
        <v>132.1</v>
      </c>
      <c r="D483">
        <f>IF($A483&gt;MAX($A$2:$A482),1,0)</f>
        <v>0</v>
      </c>
      <c r="E483">
        <f>IF($B483&gt;MAX($B$2:$B482),1,0)</f>
        <v>0</v>
      </c>
      <c r="F483">
        <f>IF($C483&gt;MAX($C$2:$C482),1,0)</f>
        <v>0</v>
      </c>
      <c r="G483">
        <f t="shared" si="7"/>
        <v>0</v>
      </c>
    </row>
    <row r="484" spans="1:7" x14ac:dyDescent="0.25">
      <c r="A484">
        <v>103.54</v>
      </c>
      <c r="B484">
        <v>66.22</v>
      </c>
      <c r="C484">
        <v>132.30000000000001</v>
      </c>
      <c r="D484">
        <f>IF($A484&gt;MAX($A$2:$A483),1,0)</f>
        <v>0</v>
      </c>
      <c r="E484">
        <f>IF($B484&gt;MAX($B$2:$B483),1,0)</f>
        <v>0</v>
      </c>
      <c r="F484">
        <f>IF($C484&gt;MAX($C$2:$C483),1,0)</f>
        <v>0</v>
      </c>
      <c r="G484">
        <f t="shared" si="7"/>
        <v>0</v>
      </c>
    </row>
    <row r="485" spans="1:7" x14ac:dyDescent="0.25">
      <c r="A485">
        <v>102.54</v>
      </c>
      <c r="B485">
        <v>64.239999999999995</v>
      </c>
      <c r="C485">
        <v>131.22999999999999</v>
      </c>
      <c r="D485">
        <f>IF($A485&gt;MAX($A$2:$A484),1,0)</f>
        <v>0</v>
      </c>
      <c r="E485">
        <f>IF($B485&gt;MAX($B$2:$B484),1,0)</f>
        <v>0</v>
      </c>
      <c r="F485">
        <f>IF($C485&gt;MAX($C$2:$C484),1,0)</f>
        <v>0</v>
      </c>
      <c r="G485">
        <f t="shared" si="7"/>
        <v>0</v>
      </c>
    </row>
    <row r="486" spans="1:7" x14ac:dyDescent="0.25">
      <c r="A486">
        <v>100.72</v>
      </c>
      <c r="B486">
        <v>62.97</v>
      </c>
      <c r="C486">
        <v>130.09</v>
      </c>
      <c r="D486">
        <f>IF($A486&gt;MAX($A$2:$A485),1,0)</f>
        <v>0</v>
      </c>
      <c r="E486">
        <f>IF($B486&gt;MAX($B$2:$B485),1,0)</f>
        <v>0</v>
      </c>
      <c r="F486">
        <f>IF($C486&gt;MAX($C$2:$C485),1,0)</f>
        <v>0</v>
      </c>
      <c r="G486">
        <f t="shared" si="7"/>
        <v>0</v>
      </c>
    </row>
    <row r="487" spans="1:7" x14ac:dyDescent="0.25">
      <c r="A487">
        <v>99.66</v>
      </c>
      <c r="B487">
        <v>61.28</v>
      </c>
      <c r="C487">
        <v>131.72999999999999</v>
      </c>
      <c r="D487">
        <f>IF($A487&gt;MAX($A$2:$A486),1,0)</f>
        <v>0</v>
      </c>
      <c r="E487">
        <f>IF($B487&gt;MAX($B$2:$B486),1,0)</f>
        <v>0</v>
      </c>
      <c r="F487">
        <f>IF($C487&gt;MAX($C$2:$C486),1,0)</f>
        <v>0</v>
      </c>
      <c r="G487">
        <f t="shared" si="7"/>
        <v>0</v>
      </c>
    </row>
    <row r="488" spans="1:7" x14ac:dyDescent="0.25">
      <c r="A488">
        <v>101.44</v>
      </c>
      <c r="B488">
        <v>63.76</v>
      </c>
      <c r="C488">
        <v>130.03</v>
      </c>
      <c r="D488">
        <f>IF($A488&gt;MAX($A$2:$A487),1,0)</f>
        <v>0</v>
      </c>
      <c r="E488">
        <f>IF($B488&gt;MAX($B$2:$B487),1,0)</f>
        <v>0</v>
      </c>
      <c r="F488">
        <f>IF($C488&gt;MAX($C$2:$C487),1,0)</f>
        <v>0</v>
      </c>
      <c r="G488">
        <f t="shared" si="7"/>
        <v>0</v>
      </c>
    </row>
    <row r="489" spans="1:7" x14ac:dyDescent="0.25">
      <c r="A489">
        <v>99.81</v>
      </c>
      <c r="B489">
        <v>63.15</v>
      </c>
      <c r="C489">
        <v>128.21</v>
      </c>
      <c r="D489">
        <f>IF($A489&gt;MAX($A$2:$A488),1,0)</f>
        <v>0</v>
      </c>
      <c r="E489">
        <f>IF($B489&gt;MAX($B$2:$B488),1,0)</f>
        <v>0</v>
      </c>
      <c r="F489">
        <f>IF($C489&gt;MAX($C$2:$C488),1,0)</f>
        <v>0</v>
      </c>
      <c r="G489">
        <f t="shared" si="7"/>
        <v>0</v>
      </c>
    </row>
    <row r="490" spans="1:7" x14ac:dyDescent="0.25">
      <c r="A490">
        <v>101.7</v>
      </c>
      <c r="B490">
        <v>62.62</v>
      </c>
      <c r="C490">
        <v>128.51</v>
      </c>
      <c r="D490">
        <f>IF($A490&gt;MAX($A$2:$A489),1,0)</f>
        <v>0</v>
      </c>
      <c r="E490">
        <f>IF($B490&gt;MAX($B$2:$B489),1,0)</f>
        <v>0</v>
      </c>
      <c r="F490">
        <f>IF($C490&gt;MAX($C$2:$C489),1,0)</f>
        <v>0</v>
      </c>
      <c r="G490">
        <f t="shared" si="7"/>
        <v>0</v>
      </c>
    </row>
    <row r="491" spans="1:7" x14ac:dyDescent="0.25">
      <c r="A491">
        <v>99.88</v>
      </c>
      <c r="B491">
        <v>65.52</v>
      </c>
      <c r="C491">
        <v>127.47</v>
      </c>
      <c r="D491">
        <f>IF($A491&gt;MAX($A$2:$A490),1,0)</f>
        <v>0</v>
      </c>
      <c r="E491">
        <f>IF($B491&gt;MAX($B$2:$B490),1,0)</f>
        <v>0</v>
      </c>
      <c r="F491">
        <f>IF($C491&gt;MAX($C$2:$C490),1,0)</f>
        <v>0</v>
      </c>
      <c r="G491">
        <f t="shared" si="7"/>
        <v>0</v>
      </c>
    </row>
    <row r="492" spans="1:7" x14ac:dyDescent="0.25">
      <c r="A492">
        <v>102.11</v>
      </c>
      <c r="B492">
        <v>65.180000000000007</v>
      </c>
      <c r="C492">
        <v>126.24</v>
      </c>
      <c r="D492">
        <f>IF($A492&gt;MAX($A$2:$A491),1,0)</f>
        <v>0</v>
      </c>
      <c r="E492">
        <f>IF($B492&gt;MAX($B$2:$B491),1,0)</f>
        <v>0</v>
      </c>
      <c r="F492">
        <f>IF($C492&gt;MAX($C$2:$C491),1,0)</f>
        <v>0</v>
      </c>
      <c r="G492">
        <f t="shared" si="7"/>
        <v>0</v>
      </c>
    </row>
    <row r="493" spans="1:7" x14ac:dyDescent="0.25">
      <c r="A493">
        <v>104.42</v>
      </c>
      <c r="B493">
        <v>64.34</v>
      </c>
      <c r="C493">
        <v>128.41</v>
      </c>
      <c r="D493">
        <f>IF($A493&gt;MAX($A$2:$A492),1,0)</f>
        <v>0</v>
      </c>
      <c r="E493">
        <f>IF($B493&gt;MAX($B$2:$B492),1,0)</f>
        <v>0</v>
      </c>
      <c r="F493">
        <f>IF($C493&gt;MAX($C$2:$C492),1,0)</f>
        <v>0</v>
      </c>
      <c r="G493">
        <f t="shared" si="7"/>
        <v>0</v>
      </c>
    </row>
    <row r="494" spans="1:7" x14ac:dyDescent="0.25">
      <c r="A494">
        <v>105.45</v>
      </c>
      <c r="B494">
        <v>64.28</v>
      </c>
      <c r="C494">
        <v>128.56</v>
      </c>
      <c r="D494">
        <f>IF($A494&gt;MAX($A$2:$A493),1,0)</f>
        <v>0</v>
      </c>
      <c r="E494">
        <f>IF($B494&gt;MAX($B$2:$B493),1,0)</f>
        <v>0</v>
      </c>
      <c r="F494">
        <f>IF($C494&gt;MAX($C$2:$C493),1,0)</f>
        <v>0</v>
      </c>
      <c r="G494">
        <f t="shared" si="7"/>
        <v>0</v>
      </c>
    </row>
    <row r="495" spans="1:7" x14ac:dyDescent="0.25">
      <c r="A495">
        <v>104.12</v>
      </c>
      <c r="B495">
        <v>67.06</v>
      </c>
      <c r="C495">
        <v>128.58000000000001</v>
      </c>
      <c r="D495">
        <f>IF($A495&gt;MAX($A$2:$A494),1,0)</f>
        <v>0</v>
      </c>
      <c r="E495">
        <f>IF($B495&gt;MAX($B$2:$B494),1,0)</f>
        <v>0</v>
      </c>
      <c r="F495">
        <f>IF($C495&gt;MAX($C$2:$C494),1,0)</f>
        <v>0</v>
      </c>
      <c r="G495">
        <f t="shared" si="7"/>
        <v>0</v>
      </c>
    </row>
    <row r="496" spans="1:7" x14ac:dyDescent="0.25">
      <c r="A496">
        <v>102.55</v>
      </c>
      <c r="B496">
        <v>66.61</v>
      </c>
      <c r="C496">
        <v>127.41</v>
      </c>
      <c r="D496">
        <f>IF($A496&gt;MAX($A$2:$A495),1,0)</f>
        <v>0</v>
      </c>
      <c r="E496">
        <f>IF($B496&gt;MAX($B$2:$B495),1,0)</f>
        <v>0</v>
      </c>
      <c r="F496">
        <f>IF($C496&gt;MAX($C$2:$C495),1,0)</f>
        <v>0</v>
      </c>
      <c r="G496">
        <f t="shared" si="7"/>
        <v>0</v>
      </c>
    </row>
    <row r="497" spans="1:7" x14ac:dyDescent="0.25">
      <c r="A497">
        <v>100.83</v>
      </c>
      <c r="B497">
        <v>65.150000000000006</v>
      </c>
      <c r="C497">
        <v>129.69</v>
      </c>
      <c r="D497">
        <f>IF($A497&gt;MAX($A$2:$A496),1,0)</f>
        <v>0</v>
      </c>
      <c r="E497">
        <f>IF($B497&gt;MAX($B$2:$B496),1,0)</f>
        <v>0</v>
      </c>
      <c r="F497">
        <f>IF($C497&gt;MAX($C$2:$C496),1,0)</f>
        <v>0</v>
      </c>
      <c r="G497">
        <f t="shared" si="7"/>
        <v>0</v>
      </c>
    </row>
    <row r="498" spans="1:7" x14ac:dyDescent="0.25">
      <c r="A498">
        <v>102.59</v>
      </c>
      <c r="B498">
        <v>63.19</v>
      </c>
      <c r="C498">
        <v>128.27000000000001</v>
      </c>
      <c r="D498">
        <f>IF($A498&gt;MAX($A$2:$A497),1,0)</f>
        <v>0</v>
      </c>
      <c r="E498">
        <f>IF($B498&gt;MAX($B$2:$B497),1,0)</f>
        <v>0</v>
      </c>
      <c r="F498">
        <f>IF($C498&gt;MAX($C$2:$C497),1,0)</f>
        <v>0</v>
      </c>
      <c r="G498">
        <f t="shared" si="7"/>
        <v>0</v>
      </c>
    </row>
    <row r="499" spans="1:7" x14ac:dyDescent="0.25">
      <c r="A499">
        <v>101.01</v>
      </c>
      <c r="B499">
        <v>62.21</v>
      </c>
      <c r="C499">
        <v>126.99</v>
      </c>
      <c r="D499">
        <f>IF($A499&gt;MAX($A$2:$A498),1,0)</f>
        <v>0</v>
      </c>
      <c r="E499">
        <f>IF($B499&gt;MAX($B$2:$B498),1,0)</f>
        <v>0</v>
      </c>
      <c r="F499">
        <f>IF($C499&gt;MAX($C$2:$C498),1,0)</f>
        <v>0</v>
      </c>
      <c r="G499">
        <f t="shared" si="7"/>
        <v>0</v>
      </c>
    </row>
    <row r="500" spans="1:7" x14ac:dyDescent="0.25">
      <c r="A500">
        <v>102.11</v>
      </c>
      <c r="B500">
        <v>61.89</v>
      </c>
      <c r="C500">
        <v>127.03</v>
      </c>
      <c r="D500">
        <f>IF($A500&gt;MAX($A$2:$A499),1,0)</f>
        <v>0</v>
      </c>
      <c r="E500">
        <f>IF($B500&gt;MAX($B$2:$B499),1,0)</f>
        <v>0</v>
      </c>
      <c r="F500">
        <f>IF($C500&gt;MAX($C$2:$C499),1,0)</f>
        <v>0</v>
      </c>
      <c r="G500">
        <f t="shared" si="7"/>
        <v>0</v>
      </c>
    </row>
    <row r="501" spans="1:7" x14ac:dyDescent="0.25">
      <c r="A501">
        <v>100.38</v>
      </c>
      <c r="B501">
        <v>59.94</v>
      </c>
      <c r="C501">
        <v>127.11</v>
      </c>
      <c r="D501">
        <f>IF($A501&gt;MAX($A$2:$A500),1,0)</f>
        <v>0</v>
      </c>
      <c r="E501">
        <f>IF($B501&gt;MAX($B$2:$B500),1,0)</f>
        <v>0</v>
      </c>
      <c r="F501">
        <f>IF($C501&gt;MAX($C$2:$C500),1,0)</f>
        <v>0</v>
      </c>
      <c r="G501">
        <f t="shared" si="7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53AF-108C-4EE8-BA81-0D32E58B4A35}">
  <dimension ref="A1:E501"/>
  <sheetViews>
    <sheetView workbookViewId="0">
      <selection activeCell="B9" sqref="B9"/>
    </sheetView>
  </sheetViews>
  <sheetFormatPr defaultRowHeight="15" x14ac:dyDescent="0.25"/>
  <sheetData>
    <row r="1" spans="1:5" x14ac:dyDescent="0.25">
      <c r="A1" t="s">
        <v>12</v>
      </c>
      <c r="B1" t="s">
        <v>16</v>
      </c>
      <c r="E1" t="s">
        <v>17</v>
      </c>
    </row>
    <row r="2" spans="1:5" x14ac:dyDescent="0.25">
      <c r="A2">
        <v>3</v>
      </c>
      <c r="B2">
        <f>'4_3_pom'!G4</f>
        <v>1</v>
      </c>
      <c r="E2">
        <f>IF(B2=1,A2,"")</f>
        <v>3</v>
      </c>
    </row>
    <row r="3" spans="1:5" x14ac:dyDescent="0.25">
      <c r="A3">
        <v>4</v>
      </c>
      <c r="B3">
        <f>'4_3_pom'!G5</f>
        <v>1</v>
      </c>
      <c r="E3">
        <f t="shared" ref="E3:E66" si="0">IF(B3=1,A3,"")</f>
        <v>4</v>
      </c>
    </row>
    <row r="4" spans="1:5" x14ac:dyDescent="0.25">
      <c r="A4">
        <v>5</v>
      </c>
      <c r="B4">
        <f>'4_3_pom'!G6</f>
        <v>1</v>
      </c>
      <c r="E4">
        <f t="shared" si="0"/>
        <v>5</v>
      </c>
    </row>
    <row r="5" spans="1:5" x14ac:dyDescent="0.25">
      <c r="A5">
        <v>7</v>
      </c>
      <c r="B5">
        <f>'4_3_pom'!G8</f>
        <v>1</v>
      </c>
      <c r="E5">
        <f t="shared" si="0"/>
        <v>7</v>
      </c>
    </row>
    <row r="6" spans="1:5" x14ac:dyDescent="0.25">
      <c r="A6">
        <v>10</v>
      </c>
      <c r="B6">
        <f>'4_3_pom'!G11</f>
        <v>1</v>
      </c>
      <c r="E6">
        <f t="shared" si="0"/>
        <v>10</v>
      </c>
    </row>
    <row r="7" spans="1:5" x14ac:dyDescent="0.25">
      <c r="A7">
        <v>11</v>
      </c>
      <c r="B7">
        <f>'4_3_pom'!G12</f>
        <v>1</v>
      </c>
      <c r="E7">
        <f t="shared" si="0"/>
        <v>11</v>
      </c>
    </row>
    <row r="8" spans="1:5" x14ac:dyDescent="0.25">
      <c r="A8">
        <v>12</v>
      </c>
      <c r="B8">
        <f>'4_3_pom'!G13</f>
        <v>1</v>
      </c>
      <c r="E8">
        <f t="shared" si="0"/>
        <v>12</v>
      </c>
    </row>
    <row r="9" spans="1:5" x14ac:dyDescent="0.25">
      <c r="A9">
        <v>16</v>
      </c>
      <c r="B9">
        <f>'4_3_pom'!G17</f>
        <v>1</v>
      </c>
      <c r="E9">
        <f t="shared" si="0"/>
        <v>16</v>
      </c>
    </row>
    <row r="10" spans="1:5" x14ac:dyDescent="0.25">
      <c r="A10">
        <v>1</v>
      </c>
      <c r="B10">
        <f>'4_3_pom'!G2</f>
        <v>0</v>
      </c>
      <c r="E10" t="str">
        <f t="shared" si="0"/>
        <v/>
      </c>
    </row>
    <row r="11" spans="1:5" x14ac:dyDescent="0.25">
      <c r="A11">
        <v>2</v>
      </c>
      <c r="B11">
        <f>'4_3_pom'!G3</f>
        <v>0</v>
      </c>
      <c r="E11" t="str">
        <f t="shared" si="0"/>
        <v/>
      </c>
    </row>
    <row r="12" spans="1:5" x14ac:dyDescent="0.25">
      <c r="A12">
        <v>6</v>
      </c>
      <c r="B12">
        <f>'4_3_pom'!G7</f>
        <v>0</v>
      </c>
      <c r="E12" t="str">
        <f t="shared" si="0"/>
        <v/>
      </c>
    </row>
    <row r="13" spans="1:5" x14ac:dyDescent="0.25">
      <c r="A13">
        <v>8</v>
      </c>
      <c r="B13">
        <f>'4_3_pom'!G9</f>
        <v>0</v>
      </c>
      <c r="E13" t="str">
        <f t="shared" si="0"/>
        <v/>
      </c>
    </row>
    <row r="14" spans="1:5" x14ac:dyDescent="0.25">
      <c r="A14">
        <v>9</v>
      </c>
      <c r="B14">
        <f>'4_3_pom'!G10</f>
        <v>0</v>
      </c>
      <c r="E14" t="str">
        <f t="shared" si="0"/>
        <v/>
      </c>
    </row>
    <row r="15" spans="1:5" x14ac:dyDescent="0.25">
      <c r="A15">
        <v>13</v>
      </c>
      <c r="B15">
        <f>'4_3_pom'!G14</f>
        <v>0</v>
      </c>
      <c r="E15" t="str">
        <f t="shared" si="0"/>
        <v/>
      </c>
    </row>
    <row r="16" spans="1:5" x14ac:dyDescent="0.25">
      <c r="A16">
        <v>14</v>
      </c>
      <c r="B16">
        <f>'4_3_pom'!G15</f>
        <v>0</v>
      </c>
      <c r="E16" t="str">
        <f t="shared" si="0"/>
        <v/>
      </c>
    </row>
    <row r="17" spans="1:5" x14ac:dyDescent="0.25">
      <c r="A17">
        <v>15</v>
      </c>
      <c r="B17">
        <f>'4_3_pom'!G16</f>
        <v>0</v>
      </c>
      <c r="E17" t="str">
        <f t="shared" si="0"/>
        <v/>
      </c>
    </row>
    <row r="18" spans="1:5" x14ac:dyDescent="0.25">
      <c r="A18">
        <v>17</v>
      </c>
      <c r="B18">
        <f>'4_3_pom'!G18</f>
        <v>0</v>
      </c>
      <c r="E18" t="str">
        <f t="shared" si="0"/>
        <v/>
      </c>
    </row>
    <row r="19" spans="1:5" x14ac:dyDescent="0.25">
      <c r="A19">
        <v>18</v>
      </c>
      <c r="B19">
        <f>'4_3_pom'!G19</f>
        <v>0</v>
      </c>
      <c r="E19" t="str">
        <f t="shared" si="0"/>
        <v/>
      </c>
    </row>
    <row r="20" spans="1:5" x14ac:dyDescent="0.25">
      <c r="A20">
        <v>19</v>
      </c>
      <c r="B20">
        <f>'4_3_pom'!G20</f>
        <v>0</v>
      </c>
      <c r="E20" t="str">
        <f t="shared" si="0"/>
        <v/>
      </c>
    </row>
    <row r="21" spans="1:5" x14ac:dyDescent="0.25">
      <c r="A21">
        <v>20</v>
      </c>
      <c r="B21">
        <f>'4_3_pom'!G21</f>
        <v>0</v>
      </c>
      <c r="E21" t="str">
        <f t="shared" si="0"/>
        <v/>
      </c>
    </row>
    <row r="22" spans="1:5" x14ac:dyDescent="0.25">
      <c r="A22">
        <v>21</v>
      </c>
      <c r="B22">
        <f>'4_3_pom'!G22</f>
        <v>0</v>
      </c>
      <c r="E22" t="str">
        <f t="shared" si="0"/>
        <v/>
      </c>
    </row>
    <row r="23" spans="1:5" x14ac:dyDescent="0.25">
      <c r="A23">
        <v>22</v>
      </c>
      <c r="B23">
        <f>'4_3_pom'!G23</f>
        <v>0</v>
      </c>
      <c r="E23" t="str">
        <f t="shared" si="0"/>
        <v/>
      </c>
    </row>
    <row r="24" spans="1:5" x14ac:dyDescent="0.25">
      <c r="A24">
        <v>23</v>
      </c>
      <c r="B24">
        <f>'4_3_pom'!G24</f>
        <v>0</v>
      </c>
      <c r="E24" t="str">
        <f t="shared" si="0"/>
        <v/>
      </c>
    </row>
    <row r="25" spans="1:5" x14ac:dyDescent="0.25">
      <c r="A25">
        <v>24</v>
      </c>
      <c r="B25">
        <f>'4_3_pom'!G25</f>
        <v>0</v>
      </c>
      <c r="E25" t="str">
        <f t="shared" si="0"/>
        <v/>
      </c>
    </row>
    <row r="26" spans="1:5" x14ac:dyDescent="0.25">
      <c r="A26">
        <v>25</v>
      </c>
      <c r="B26">
        <f>'4_3_pom'!G26</f>
        <v>0</v>
      </c>
      <c r="E26" t="str">
        <f t="shared" si="0"/>
        <v/>
      </c>
    </row>
    <row r="27" spans="1:5" x14ac:dyDescent="0.25">
      <c r="A27">
        <v>26</v>
      </c>
      <c r="B27">
        <f>'4_3_pom'!G27</f>
        <v>0</v>
      </c>
      <c r="E27" t="str">
        <f t="shared" si="0"/>
        <v/>
      </c>
    </row>
    <row r="28" spans="1:5" x14ac:dyDescent="0.25">
      <c r="A28">
        <v>27</v>
      </c>
      <c r="B28">
        <f>'4_3_pom'!G28</f>
        <v>0</v>
      </c>
      <c r="E28" t="str">
        <f t="shared" si="0"/>
        <v/>
      </c>
    </row>
    <row r="29" spans="1:5" x14ac:dyDescent="0.25">
      <c r="A29">
        <v>28</v>
      </c>
      <c r="B29">
        <f>'4_3_pom'!G29</f>
        <v>0</v>
      </c>
      <c r="E29" t="str">
        <f t="shared" si="0"/>
        <v/>
      </c>
    </row>
    <row r="30" spans="1:5" x14ac:dyDescent="0.25">
      <c r="A30">
        <v>29</v>
      </c>
      <c r="B30">
        <f>'4_3_pom'!G30</f>
        <v>0</v>
      </c>
      <c r="E30" t="str">
        <f t="shared" si="0"/>
        <v/>
      </c>
    </row>
    <row r="31" spans="1:5" x14ac:dyDescent="0.25">
      <c r="A31">
        <v>30</v>
      </c>
      <c r="B31">
        <f>'4_3_pom'!G31</f>
        <v>0</v>
      </c>
      <c r="E31" t="str">
        <f t="shared" si="0"/>
        <v/>
      </c>
    </row>
    <row r="32" spans="1:5" x14ac:dyDescent="0.25">
      <c r="A32">
        <v>31</v>
      </c>
      <c r="B32">
        <f>'4_3_pom'!G32</f>
        <v>0</v>
      </c>
      <c r="E32" t="str">
        <f t="shared" si="0"/>
        <v/>
      </c>
    </row>
    <row r="33" spans="1:5" x14ac:dyDescent="0.25">
      <c r="A33">
        <v>32</v>
      </c>
      <c r="B33">
        <f>'4_3_pom'!G33</f>
        <v>0</v>
      </c>
      <c r="E33" t="str">
        <f t="shared" si="0"/>
        <v/>
      </c>
    </row>
    <row r="34" spans="1:5" x14ac:dyDescent="0.25">
      <c r="A34">
        <v>33</v>
      </c>
      <c r="B34">
        <f>'4_3_pom'!G34</f>
        <v>0</v>
      </c>
      <c r="E34" t="str">
        <f t="shared" si="0"/>
        <v/>
      </c>
    </row>
    <row r="35" spans="1:5" x14ac:dyDescent="0.25">
      <c r="A35">
        <v>34</v>
      </c>
      <c r="B35">
        <f>'4_3_pom'!G35</f>
        <v>0</v>
      </c>
      <c r="E35" t="str">
        <f t="shared" si="0"/>
        <v/>
      </c>
    </row>
    <row r="36" spans="1:5" x14ac:dyDescent="0.25">
      <c r="A36">
        <v>35</v>
      </c>
      <c r="B36">
        <f>'4_3_pom'!G36</f>
        <v>0</v>
      </c>
      <c r="E36" t="str">
        <f t="shared" si="0"/>
        <v/>
      </c>
    </row>
    <row r="37" spans="1:5" x14ac:dyDescent="0.25">
      <c r="A37">
        <v>36</v>
      </c>
      <c r="B37">
        <f>'4_3_pom'!G37</f>
        <v>0</v>
      </c>
      <c r="E37" t="str">
        <f t="shared" si="0"/>
        <v/>
      </c>
    </row>
    <row r="38" spans="1:5" x14ac:dyDescent="0.25">
      <c r="A38">
        <v>37</v>
      </c>
      <c r="B38">
        <f>'4_3_pom'!G38</f>
        <v>0</v>
      </c>
      <c r="E38" t="str">
        <f t="shared" si="0"/>
        <v/>
      </c>
    </row>
    <row r="39" spans="1:5" x14ac:dyDescent="0.25">
      <c r="A39">
        <v>38</v>
      </c>
      <c r="B39">
        <f>'4_3_pom'!G39</f>
        <v>0</v>
      </c>
      <c r="E39" t="str">
        <f t="shared" si="0"/>
        <v/>
      </c>
    </row>
    <row r="40" spans="1:5" x14ac:dyDescent="0.25">
      <c r="A40">
        <v>39</v>
      </c>
      <c r="B40">
        <f>'4_3_pom'!G40</f>
        <v>0</v>
      </c>
      <c r="E40" t="str">
        <f t="shared" si="0"/>
        <v/>
      </c>
    </row>
    <row r="41" spans="1:5" x14ac:dyDescent="0.25">
      <c r="A41">
        <v>40</v>
      </c>
      <c r="B41">
        <f>'4_3_pom'!G41</f>
        <v>0</v>
      </c>
      <c r="E41" t="str">
        <f t="shared" si="0"/>
        <v/>
      </c>
    </row>
    <row r="42" spans="1:5" x14ac:dyDescent="0.25">
      <c r="A42">
        <v>41</v>
      </c>
      <c r="B42">
        <f>'4_3_pom'!G42</f>
        <v>0</v>
      </c>
      <c r="E42" t="str">
        <f t="shared" si="0"/>
        <v/>
      </c>
    </row>
    <row r="43" spans="1:5" x14ac:dyDescent="0.25">
      <c r="A43">
        <v>42</v>
      </c>
      <c r="B43">
        <f>'4_3_pom'!G43</f>
        <v>0</v>
      </c>
      <c r="E43" t="str">
        <f t="shared" si="0"/>
        <v/>
      </c>
    </row>
    <row r="44" spans="1:5" x14ac:dyDescent="0.25">
      <c r="A44">
        <v>43</v>
      </c>
      <c r="B44">
        <f>'4_3_pom'!G44</f>
        <v>0</v>
      </c>
      <c r="E44" t="str">
        <f t="shared" si="0"/>
        <v/>
      </c>
    </row>
    <row r="45" spans="1:5" x14ac:dyDescent="0.25">
      <c r="A45">
        <v>44</v>
      </c>
      <c r="B45">
        <f>'4_3_pom'!G45</f>
        <v>0</v>
      </c>
      <c r="E45" t="str">
        <f t="shared" si="0"/>
        <v/>
      </c>
    </row>
    <row r="46" spans="1:5" x14ac:dyDescent="0.25">
      <c r="A46">
        <v>45</v>
      </c>
      <c r="B46">
        <f>'4_3_pom'!G46</f>
        <v>0</v>
      </c>
      <c r="E46" t="str">
        <f t="shared" si="0"/>
        <v/>
      </c>
    </row>
    <row r="47" spans="1:5" x14ac:dyDescent="0.25">
      <c r="A47">
        <v>46</v>
      </c>
      <c r="B47">
        <f>'4_3_pom'!G47</f>
        <v>0</v>
      </c>
      <c r="E47" t="str">
        <f t="shared" si="0"/>
        <v/>
      </c>
    </row>
    <row r="48" spans="1:5" x14ac:dyDescent="0.25">
      <c r="A48">
        <v>47</v>
      </c>
      <c r="B48">
        <f>'4_3_pom'!G48</f>
        <v>0</v>
      </c>
      <c r="E48" t="str">
        <f t="shared" si="0"/>
        <v/>
      </c>
    </row>
    <row r="49" spans="1:5" x14ac:dyDescent="0.25">
      <c r="A49">
        <v>48</v>
      </c>
      <c r="B49">
        <f>'4_3_pom'!G49</f>
        <v>0</v>
      </c>
      <c r="E49" t="str">
        <f t="shared" si="0"/>
        <v/>
      </c>
    </row>
    <row r="50" spans="1:5" x14ac:dyDescent="0.25">
      <c r="A50">
        <v>49</v>
      </c>
      <c r="B50">
        <f>'4_3_pom'!G50</f>
        <v>0</v>
      </c>
      <c r="E50" t="str">
        <f t="shared" si="0"/>
        <v/>
      </c>
    </row>
    <row r="51" spans="1:5" x14ac:dyDescent="0.25">
      <c r="A51">
        <v>50</v>
      </c>
      <c r="B51">
        <f>'4_3_pom'!G51</f>
        <v>0</v>
      </c>
      <c r="E51" t="str">
        <f t="shared" si="0"/>
        <v/>
      </c>
    </row>
    <row r="52" spans="1:5" x14ac:dyDescent="0.25">
      <c r="A52">
        <v>51</v>
      </c>
      <c r="B52">
        <f>'4_3_pom'!G52</f>
        <v>0</v>
      </c>
      <c r="E52" t="str">
        <f t="shared" si="0"/>
        <v/>
      </c>
    </row>
    <row r="53" spans="1:5" x14ac:dyDescent="0.25">
      <c r="A53">
        <v>52</v>
      </c>
      <c r="B53">
        <f>'4_3_pom'!G53</f>
        <v>0</v>
      </c>
      <c r="E53" t="str">
        <f t="shared" si="0"/>
        <v/>
      </c>
    </row>
    <row r="54" spans="1:5" x14ac:dyDescent="0.25">
      <c r="A54">
        <v>53</v>
      </c>
      <c r="B54">
        <f>'4_3_pom'!G54</f>
        <v>0</v>
      </c>
      <c r="E54" t="str">
        <f t="shared" si="0"/>
        <v/>
      </c>
    </row>
    <row r="55" spans="1:5" x14ac:dyDescent="0.25">
      <c r="A55">
        <v>54</v>
      </c>
      <c r="B55">
        <f>'4_3_pom'!G55</f>
        <v>0</v>
      </c>
      <c r="E55" t="str">
        <f t="shared" si="0"/>
        <v/>
      </c>
    </row>
    <row r="56" spans="1:5" x14ac:dyDescent="0.25">
      <c r="A56">
        <v>55</v>
      </c>
      <c r="B56">
        <f>'4_3_pom'!G56</f>
        <v>0</v>
      </c>
      <c r="E56" t="str">
        <f t="shared" si="0"/>
        <v/>
      </c>
    </row>
    <row r="57" spans="1:5" x14ac:dyDescent="0.25">
      <c r="A57">
        <v>56</v>
      </c>
      <c r="B57">
        <f>'4_3_pom'!G57</f>
        <v>0</v>
      </c>
      <c r="E57" t="str">
        <f t="shared" si="0"/>
        <v/>
      </c>
    </row>
    <row r="58" spans="1:5" x14ac:dyDescent="0.25">
      <c r="A58">
        <v>57</v>
      </c>
      <c r="B58">
        <f>'4_3_pom'!G58</f>
        <v>0</v>
      </c>
      <c r="E58" t="str">
        <f t="shared" si="0"/>
        <v/>
      </c>
    </row>
    <row r="59" spans="1:5" x14ac:dyDescent="0.25">
      <c r="A59">
        <v>58</v>
      </c>
      <c r="B59">
        <f>'4_3_pom'!G59</f>
        <v>0</v>
      </c>
      <c r="E59" t="str">
        <f t="shared" si="0"/>
        <v/>
      </c>
    </row>
    <row r="60" spans="1:5" x14ac:dyDescent="0.25">
      <c r="A60">
        <v>59</v>
      </c>
      <c r="B60">
        <f>'4_3_pom'!G60</f>
        <v>0</v>
      </c>
      <c r="E60" t="str">
        <f t="shared" si="0"/>
        <v/>
      </c>
    </row>
    <row r="61" spans="1:5" x14ac:dyDescent="0.25">
      <c r="A61">
        <v>60</v>
      </c>
      <c r="B61">
        <f>'4_3_pom'!G61</f>
        <v>0</v>
      </c>
      <c r="E61" t="str">
        <f t="shared" si="0"/>
        <v/>
      </c>
    </row>
    <row r="62" spans="1:5" x14ac:dyDescent="0.25">
      <c r="A62">
        <v>61</v>
      </c>
      <c r="B62">
        <f>'4_3_pom'!G62</f>
        <v>0</v>
      </c>
      <c r="E62" t="str">
        <f t="shared" si="0"/>
        <v/>
      </c>
    </row>
    <row r="63" spans="1:5" x14ac:dyDescent="0.25">
      <c r="A63">
        <v>62</v>
      </c>
      <c r="B63">
        <f>'4_3_pom'!G63</f>
        <v>0</v>
      </c>
      <c r="E63" t="str">
        <f t="shared" si="0"/>
        <v/>
      </c>
    </row>
    <row r="64" spans="1:5" x14ac:dyDescent="0.25">
      <c r="A64">
        <v>63</v>
      </c>
      <c r="B64">
        <f>'4_3_pom'!G64</f>
        <v>0</v>
      </c>
      <c r="E64" t="str">
        <f t="shared" si="0"/>
        <v/>
      </c>
    </row>
    <row r="65" spans="1:5" x14ac:dyDescent="0.25">
      <c r="A65">
        <v>64</v>
      </c>
      <c r="B65">
        <f>'4_3_pom'!G65</f>
        <v>0</v>
      </c>
      <c r="E65" t="str">
        <f t="shared" si="0"/>
        <v/>
      </c>
    </row>
    <row r="66" spans="1:5" x14ac:dyDescent="0.25">
      <c r="A66">
        <v>65</v>
      </c>
      <c r="B66">
        <f>'4_3_pom'!G66</f>
        <v>0</v>
      </c>
      <c r="E66" t="str">
        <f t="shared" si="0"/>
        <v/>
      </c>
    </row>
    <row r="67" spans="1:5" x14ac:dyDescent="0.25">
      <c r="A67">
        <v>66</v>
      </c>
      <c r="B67">
        <f>'4_3_pom'!G67</f>
        <v>0</v>
      </c>
      <c r="E67" t="str">
        <f t="shared" ref="E67:E130" si="1">IF(B67=1,A67,"")</f>
        <v/>
      </c>
    </row>
    <row r="68" spans="1:5" x14ac:dyDescent="0.25">
      <c r="A68">
        <v>67</v>
      </c>
      <c r="B68">
        <f>'4_3_pom'!G68</f>
        <v>0</v>
      </c>
      <c r="E68" t="str">
        <f t="shared" si="1"/>
        <v/>
      </c>
    </row>
    <row r="69" spans="1:5" x14ac:dyDescent="0.25">
      <c r="A69">
        <v>68</v>
      </c>
      <c r="B69">
        <f>'4_3_pom'!G69</f>
        <v>0</v>
      </c>
      <c r="E69" t="str">
        <f t="shared" si="1"/>
        <v/>
      </c>
    </row>
    <row r="70" spans="1:5" x14ac:dyDescent="0.25">
      <c r="A70">
        <v>69</v>
      </c>
      <c r="B70">
        <f>'4_3_pom'!G70</f>
        <v>0</v>
      </c>
      <c r="E70" t="str">
        <f t="shared" si="1"/>
        <v/>
      </c>
    </row>
    <row r="71" spans="1:5" x14ac:dyDescent="0.25">
      <c r="A71">
        <v>70</v>
      </c>
      <c r="B71">
        <f>'4_3_pom'!G71</f>
        <v>0</v>
      </c>
      <c r="E71" t="str">
        <f t="shared" si="1"/>
        <v/>
      </c>
    </row>
    <row r="72" spans="1:5" x14ac:dyDescent="0.25">
      <c r="A72">
        <v>71</v>
      </c>
      <c r="B72">
        <f>'4_3_pom'!G72</f>
        <v>0</v>
      </c>
      <c r="E72" t="str">
        <f t="shared" si="1"/>
        <v/>
      </c>
    </row>
    <row r="73" spans="1:5" x14ac:dyDescent="0.25">
      <c r="A73">
        <v>72</v>
      </c>
      <c r="B73">
        <f>'4_3_pom'!G73</f>
        <v>0</v>
      </c>
      <c r="E73" t="str">
        <f t="shared" si="1"/>
        <v/>
      </c>
    </row>
    <row r="74" spans="1:5" x14ac:dyDescent="0.25">
      <c r="A74">
        <v>73</v>
      </c>
      <c r="B74">
        <f>'4_3_pom'!G74</f>
        <v>0</v>
      </c>
      <c r="E74" t="str">
        <f t="shared" si="1"/>
        <v/>
      </c>
    </row>
    <row r="75" spans="1:5" x14ac:dyDescent="0.25">
      <c r="A75">
        <v>74</v>
      </c>
      <c r="B75">
        <f>'4_3_pom'!G75</f>
        <v>0</v>
      </c>
      <c r="E75" t="str">
        <f t="shared" si="1"/>
        <v/>
      </c>
    </row>
    <row r="76" spans="1:5" x14ac:dyDescent="0.25">
      <c r="A76">
        <v>75</v>
      </c>
      <c r="B76">
        <f>'4_3_pom'!G76</f>
        <v>0</v>
      </c>
      <c r="E76" t="str">
        <f t="shared" si="1"/>
        <v/>
      </c>
    </row>
    <row r="77" spans="1:5" x14ac:dyDescent="0.25">
      <c r="A77">
        <v>76</v>
      </c>
      <c r="B77">
        <f>'4_3_pom'!G77</f>
        <v>0</v>
      </c>
      <c r="E77" t="str">
        <f t="shared" si="1"/>
        <v/>
      </c>
    </row>
    <row r="78" spans="1:5" x14ac:dyDescent="0.25">
      <c r="A78">
        <v>77</v>
      </c>
      <c r="B78">
        <f>'4_3_pom'!G78</f>
        <v>0</v>
      </c>
      <c r="E78" t="str">
        <f t="shared" si="1"/>
        <v/>
      </c>
    </row>
    <row r="79" spans="1:5" x14ac:dyDescent="0.25">
      <c r="A79">
        <v>78</v>
      </c>
      <c r="B79">
        <f>'4_3_pom'!G79</f>
        <v>0</v>
      </c>
      <c r="E79" t="str">
        <f t="shared" si="1"/>
        <v/>
      </c>
    </row>
    <row r="80" spans="1:5" x14ac:dyDescent="0.25">
      <c r="A80">
        <v>79</v>
      </c>
      <c r="B80">
        <f>'4_3_pom'!G80</f>
        <v>0</v>
      </c>
      <c r="E80" t="str">
        <f t="shared" si="1"/>
        <v/>
      </c>
    </row>
    <row r="81" spans="1:5" x14ac:dyDescent="0.25">
      <c r="A81">
        <v>80</v>
      </c>
      <c r="B81">
        <f>'4_3_pom'!G81</f>
        <v>0</v>
      </c>
      <c r="E81" t="str">
        <f t="shared" si="1"/>
        <v/>
      </c>
    </row>
    <row r="82" spans="1:5" x14ac:dyDescent="0.25">
      <c r="A82">
        <v>81</v>
      </c>
      <c r="B82">
        <f>'4_3_pom'!G82</f>
        <v>0</v>
      </c>
      <c r="E82" t="str">
        <f t="shared" si="1"/>
        <v/>
      </c>
    </row>
    <row r="83" spans="1:5" x14ac:dyDescent="0.25">
      <c r="A83">
        <v>82</v>
      </c>
      <c r="B83">
        <f>'4_3_pom'!G83</f>
        <v>0</v>
      </c>
      <c r="E83" t="str">
        <f t="shared" si="1"/>
        <v/>
      </c>
    </row>
    <row r="84" spans="1:5" x14ac:dyDescent="0.25">
      <c r="A84">
        <v>83</v>
      </c>
      <c r="B84">
        <f>'4_3_pom'!G84</f>
        <v>0</v>
      </c>
      <c r="E84" t="str">
        <f t="shared" si="1"/>
        <v/>
      </c>
    </row>
    <row r="85" spans="1:5" x14ac:dyDescent="0.25">
      <c r="A85">
        <v>84</v>
      </c>
      <c r="B85">
        <f>'4_3_pom'!G85</f>
        <v>0</v>
      </c>
      <c r="E85" t="str">
        <f t="shared" si="1"/>
        <v/>
      </c>
    </row>
    <row r="86" spans="1:5" x14ac:dyDescent="0.25">
      <c r="A86">
        <v>85</v>
      </c>
      <c r="B86">
        <f>'4_3_pom'!G86</f>
        <v>0</v>
      </c>
      <c r="E86" t="str">
        <f t="shared" si="1"/>
        <v/>
      </c>
    </row>
    <row r="87" spans="1:5" x14ac:dyDescent="0.25">
      <c r="A87">
        <v>86</v>
      </c>
      <c r="B87">
        <f>'4_3_pom'!G87</f>
        <v>0</v>
      </c>
      <c r="E87" t="str">
        <f t="shared" si="1"/>
        <v/>
      </c>
    </row>
    <row r="88" spans="1:5" x14ac:dyDescent="0.25">
      <c r="A88">
        <v>87</v>
      </c>
      <c r="B88">
        <f>'4_3_pom'!G88</f>
        <v>0</v>
      </c>
      <c r="E88" t="str">
        <f t="shared" si="1"/>
        <v/>
      </c>
    </row>
    <row r="89" spans="1:5" x14ac:dyDescent="0.25">
      <c r="A89">
        <v>88</v>
      </c>
      <c r="B89">
        <f>'4_3_pom'!G89</f>
        <v>0</v>
      </c>
      <c r="E89" t="str">
        <f t="shared" si="1"/>
        <v/>
      </c>
    </row>
    <row r="90" spans="1:5" x14ac:dyDescent="0.25">
      <c r="A90">
        <v>89</v>
      </c>
      <c r="B90">
        <f>'4_3_pom'!G90</f>
        <v>0</v>
      </c>
      <c r="E90" t="str">
        <f t="shared" si="1"/>
        <v/>
      </c>
    </row>
    <row r="91" spans="1:5" x14ac:dyDescent="0.25">
      <c r="A91">
        <v>90</v>
      </c>
      <c r="B91">
        <f>'4_3_pom'!G91</f>
        <v>0</v>
      </c>
      <c r="E91" t="str">
        <f t="shared" si="1"/>
        <v/>
      </c>
    </row>
    <row r="92" spans="1:5" x14ac:dyDescent="0.25">
      <c r="A92">
        <v>91</v>
      </c>
      <c r="B92">
        <f>'4_3_pom'!G92</f>
        <v>0</v>
      </c>
      <c r="E92" t="str">
        <f t="shared" si="1"/>
        <v/>
      </c>
    </row>
    <row r="93" spans="1:5" x14ac:dyDescent="0.25">
      <c r="A93">
        <v>92</v>
      </c>
      <c r="B93">
        <f>'4_3_pom'!G93</f>
        <v>0</v>
      </c>
      <c r="E93" t="str">
        <f t="shared" si="1"/>
        <v/>
      </c>
    </row>
    <row r="94" spans="1:5" x14ac:dyDescent="0.25">
      <c r="A94">
        <v>93</v>
      </c>
      <c r="B94">
        <f>'4_3_pom'!G94</f>
        <v>0</v>
      </c>
      <c r="E94" t="str">
        <f t="shared" si="1"/>
        <v/>
      </c>
    </row>
    <row r="95" spans="1:5" x14ac:dyDescent="0.25">
      <c r="A95">
        <v>94</v>
      </c>
      <c r="B95">
        <f>'4_3_pom'!G95</f>
        <v>0</v>
      </c>
      <c r="E95" t="str">
        <f t="shared" si="1"/>
        <v/>
      </c>
    </row>
    <row r="96" spans="1:5" x14ac:dyDescent="0.25">
      <c r="A96">
        <v>95</v>
      </c>
      <c r="B96">
        <f>'4_3_pom'!G96</f>
        <v>0</v>
      </c>
      <c r="E96" t="str">
        <f t="shared" si="1"/>
        <v/>
      </c>
    </row>
    <row r="97" spans="1:5" x14ac:dyDescent="0.25">
      <c r="A97">
        <v>96</v>
      </c>
      <c r="B97">
        <f>'4_3_pom'!G97</f>
        <v>0</v>
      </c>
      <c r="E97" t="str">
        <f t="shared" si="1"/>
        <v/>
      </c>
    </row>
    <row r="98" spans="1:5" x14ac:dyDescent="0.25">
      <c r="A98">
        <v>97</v>
      </c>
      <c r="B98">
        <f>'4_3_pom'!G98</f>
        <v>0</v>
      </c>
      <c r="E98" t="str">
        <f t="shared" si="1"/>
        <v/>
      </c>
    </row>
    <row r="99" spans="1:5" x14ac:dyDescent="0.25">
      <c r="A99">
        <v>98</v>
      </c>
      <c r="B99">
        <f>'4_3_pom'!G99</f>
        <v>0</v>
      </c>
      <c r="E99" t="str">
        <f t="shared" si="1"/>
        <v/>
      </c>
    </row>
    <row r="100" spans="1:5" x14ac:dyDescent="0.25">
      <c r="A100">
        <v>99</v>
      </c>
      <c r="B100">
        <f>'4_3_pom'!G100</f>
        <v>0</v>
      </c>
      <c r="E100" t="str">
        <f t="shared" si="1"/>
        <v/>
      </c>
    </row>
    <row r="101" spans="1:5" x14ac:dyDescent="0.25">
      <c r="A101">
        <v>100</v>
      </c>
      <c r="B101">
        <f>'4_3_pom'!G101</f>
        <v>0</v>
      </c>
      <c r="E101" t="str">
        <f t="shared" si="1"/>
        <v/>
      </c>
    </row>
    <row r="102" spans="1:5" x14ac:dyDescent="0.25">
      <c r="A102">
        <v>101</v>
      </c>
      <c r="B102">
        <f>'4_3_pom'!G102</f>
        <v>0</v>
      </c>
      <c r="E102" t="str">
        <f t="shared" si="1"/>
        <v/>
      </c>
    </row>
    <row r="103" spans="1:5" x14ac:dyDescent="0.25">
      <c r="A103">
        <v>102</v>
      </c>
      <c r="B103">
        <f>'4_3_pom'!G103</f>
        <v>0</v>
      </c>
      <c r="E103" t="str">
        <f t="shared" si="1"/>
        <v/>
      </c>
    </row>
    <row r="104" spans="1:5" x14ac:dyDescent="0.25">
      <c r="A104">
        <v>103</v>
      </c>
      <c r="B104">
        <f>'4_3_pom'!G104</f>
        <v>0</v>
      </c>
      <c r="E104" t="str">
        <f t="shared" si="1"/>
        <v/>
      </c>
    </row>
    <row r="105" spans="1:5" x14ac:dyDescent="0.25">
      <c r="A105">
        <v>104</v>
      </c>
      <c r="B105">
        <f>'4_3_pom'!G105</f>
        <v>0</v>
      </c>
      <c r="E105" t="str">
        <f t="shared" si="1"/>
        <v/>
      </c>
    </row>
    <row r="106" spans="1:5" x14ac:dyDescent="0.25">
      <c r="A106">
        <v>105</v>
      </c>
      <c r="B106">
        <f>'4_3_pom'!G106</f>
        <v>0</v>
      </c>
      <c r="E106" t="str">
        <f t="shared" si="1"/>
        <v/>
      </c>
    </row>
    <row r="107" spans="1:5" x14ac:dyDescent="0.25">
      <c r="A107">
        <v>106</v>
      </c>
      <c r="B107">
        <f>'4_3_pom'!G107</f>
        <v>0</v>
      </c>
      <c r="E107" t="str">
        <f t="shared" si="1"/>
        <v/>
      </c>
    </row>
    <row r="108" spans="1:5" x14ac:dyDescent="0.25">
      <c r="A108">
        <v>107</v>
      </c>
      <c r="B108">
        <f>'4_3_pom'!G108</f>
        <v>0</v>
      </c>
      <c r="E108" t="str">
        <f t="shared" si="1"/>
        <v/>
      </c>
    </row>
    <row r="109" spans="1:5" x14ac:dyDescent="0.25">
      <c r="A109">
        <v>108</v>
      </c>
      <c r="B109">
        <f>'4_3_pom'!G109</f>
        <v>0</v>
      </c>
      <c r="E109" t="str">
        <f t="shared" si="1"/>
        <v/>
      </c>
    </row>
    <row r="110" spans="1:5" x14ac:dyDescent="0.25">
      <c r="A110">
        <v>109</v>
      </c>
      <c r="B110">
        <f>'4_3_pom'!G110</f>
        <v>0</v>
      </c>
      <c r="E110" t="str">
        <f t="shared" si="1"/>
        <v/>
      </c>
    </row>
    <row r="111" spans="1:5" x14ac:dyDescent="0.25">
      <c r="A111">
        <v>110</v>
      </c>
      <c r="B111">
        <f>'4_3_pom'!G111</f>
        <v>0</v>
      </c>
      <c r="E111" t="str">
        <f t="shared" si="1"/>
        <v/>
      </c>
    </row>
    <row r="112" spans="1:5" x14ac:dyDescent="0.25">
      <c r="A112">
        <v>111</v>
      </c>
      <c r="B112">
        <f>'4_3_pom'!G112</f>
        <v>0</v>
      </c>
      <c r="E112" t="str">
        <f t="shared" si="1"/>
        <v/>
      </c>
    </row>
    <row r="113" spans="1:5" x14ac:dyDescent="0.25">
      <c r="A113">
        <v>112</v>
      </c>
      <c r="B113">
        <f>'4_3_pom'!G113</f>
        <v>0</v>
      </c>
      <c r="E113" t="str">
        <f t="shared" si="1"/>
        <v/>
      </c>
    </row>
    <row r="114" spans="1:5" x14ac:dyDescent="0.25">
      <c r="A114">
        <v>113</v>
      </c>
      <c r="B114">
        <f>'4_3_pom'!G114</f>
        <v>0</v>
      </c>
      <c r="E114" t="str">
        <f t="shared" si="1"/>
        <v/>
      </c>
    </row>
    <row r="115" spans="1:5" x14ac:dyDescent="0.25">
      <c r="A115">
        <v>114</v>
      </c>
      <c r="B115">
        <f>'4_3_pom'!G115</f>
        <v>0</v>
      </c>
      <c r="E115" t="str">
        <f t="shared" si="1"/>
        <v/>
      </c>
    </row>
    <row r="116" spans="1:5" x14ac:dyDescent="0.25">
      <c r="A116">
        <v>115</v>
      </c>
      <c r="B116">
        <f>'4_3_pom'!G116</f>
        <v>0</v>
      </c>
      <c r="E116" t="str">
        <f t="shared" si="1"/>
        <v/>
      </c>
    </row>
    <row r="117" spans="1:5" x14ac:dyDescent="0.25">
      <c r="A117">
        <v>116</v>
      </c>
      <c r="B117">
        <f>'4_3_pom'!G117</f>
        <v>0</v>
      </c>
      <c r="E117" t="str">
        <f t="shared" si="1"/>
        <v/>
      </c>
    </row>
    <row r="118" spans="1:5" x14ac:dyDescent="0.25">
      <c r="A118">
        <v>117</v>
      </c>
      <c r="B118">
        <f>'4_3_pom'!G118</f>
        <v>0</v>
      </c>
      <c r="E118" t="str">
        <f t="shared" si="1"/>
        <v/>
      </c>
    </row>
    <row r="119" spans="1:5" x14ac:dyDescent="0.25">
      <c r="A119">
        <v>118</v>
      </c>
      <c r="B119">
        <f>'4_3_pom'!G119</f>
        <v>0</v>
      </c>
      <c r="E119" t="str">
        <f t="shared" si="1"/>
        <v/>
      </c>
    </row>
    <row r="120" spans="1:5" x14ac:dyDescent="0.25">
      <c r="A120">
        <v>119</v>
      </c>
      <c r="B120">
        <f>'4_3_pom'!G120</f>
        <v>0</v>
      </c>
      <c r="E120" t="str">
        <f t="shared" si="1"/>
        <v/>
      </c>
    </row>
    <row r="121" spans="1:5" x14ac:dyDescent="0.25">
      <c r="A121">
        <v>120</v>
      </c>
      <c r="B121">
        <f>'4_3_pom'!G121</f>
        <v>0</v>
      </c>
      <c r="E121" t="str">
        <f t="shared" si="1"/>
        <v/>
      </c>
    </row>
    <row r="122" spans="1:5" x14ac:dyDescent="0.25">
      <c r="A122">
        <v>121</v>
      </c>
      <c r="B122">
        <f>'4_3_pom'!G122</f>
        <v>0</v>
      </c>
      <c r="E122" t="str">
        <f t="shared" si="1"/>
        <v/>
      </c>
    </row>
    <row r="123" spans="1:5" x14ac:dyDescent="0.25">
      <c r="A123">
        <v>122</v>
      </c>
      <c r="B123">
        <f>'4_3_pom'!G123</f>
        <v>0</v>
      </c>
      <c r="E123" t="str">
        <f t="shared" si="1"/>
        <v/>
      </c>
    </row>
    <row r="124" spans="1:5" x14ac:dyDescent="0.25">
      <c r="A124">
        <v>123</v>
      </c>
      <c r="B124">
        <f>'4_3_pom'!G124</f>
        <v>0</v>
      </c>
      <c r="E124" t="str">
        <f t="shared" si="1"/>
        <v/>
      </c>
    </row>
    <row r="125" spans="1:5" x14ac:dyDescent="0.25">
      <c r="A125">
        <v>124</v>
      </c>
      <c r="B125">
        <f>'4_3_pom'!G125</f>
        <v>0</v>
      </c>
      <c r="E125" t="str">
        <f t="shared" si="1"/>
        <v/>
      </c>
    </row>
    <row r="126" spans="1:5" x14ac:dyDescent="0.25">
      <c r="A126">
        <v>125</v>
      </c>
      <c r="B126">
        <f>'4_3_pom'!G126</f>
        <v>0</v>
      </c>
      <c r="E126" t="str">
        <f t="shared" si="1"/>
        <v/>
      </c>
    </row>
    <row r="127" spans="1:5" x14ac:dyDescent="0.25">
      <c r="A127">
        <v>126</v>
      </c>
      <c r="B127">
        <f>'4_3_pom'!G127</f>
        <v>0</v>
      </c>
      <c r="E127" t="str">
        <f t="shared" si="1"/>
        <v/>
      </c>
    </row>
    <row r="128" spans="1:5" x14ac:dyDescent="0.25">
      <c r="A128">
        <v>127</v>
      </c>
      <c r="B128">
        <f>'4_3_pom'!G128</f>
        <v>0</v>
      </c>
      <c r="E128" t="str">
        <f t="shared" si="1"/>
        <v/>
      </c>
    </row>
    <row r="129" spans="1:5" x14ac:dyDescent="0.25">
      <c r="A129">
        <v>128</v>
      </c>
      <c r="B129">
        <f>'4_3_pom'!G129</f>
        <v>0</v>
      </c>
      <c r="E129" t="str">
        <f t="shared" si="1"/>
        <v/>
      </c>
    </row>
    <row r="130" spans="1:5" x14ac:dyDescent="0.25">
      <c r="A130">
        <v>129</v>
      </c>
      <c r="B130">
        <f>'4_3_pom'!G130</f>
        <v>0</v>
      </c>
      <c r="E130" t="str">
        <f t="shared" si="1"/>
        <v/>
      </c>
    </row>
    <row r="131" spans="1:5" x14ac:dyDescent="0.25">
      <c r="A131">
        <v>130</v>
      </c>
      <c r="B131">
        <f>'4_3_pom'!G131</f>
        <v>0</v>
      </c>
      <c r="E131" t="str">
        <f t="shared" ref="E131:E194" si="2">IF(B131=1,A131,"")</f>
        <v/>
      </c>
    </row>
    <row r="132" spans="1:5" x14ac:dyDescent="0.25">
      <c r="A132">
        <v>131</v>
      </c>
      <c r="B132">
        <f>'4_3_pom'!G132</f>
        <v>0</v>
      </c>
      <c r="E132" t="str">
        <f t="shared" si="2"/>
        <v/>
      </c>
    </row>
    <row r="133" spans="1:5" x14ac:dyDescent="0.25">
      <c r="A133">
        <v>132</v>
      </c>
      <c r="B133">
        <f>'4_3_pom'!G133</f>
        <v>0</v>
      </c>
      <c r="E133" t="str">
        <f t="shared" si="2"/>
        <v/>
      </c>
    </row>
    <row r="134" spans="1:5" x14ac:dyDescent="0.25">
      <c r="A134">
        <v>133</v>
      </c>
      <c r="B134">
        <f>'4_3_pom'!G134</f>
        <v>0</v>
      </c>
      <c r="E134" t="str">
        <f t="shared" si="2"/>
        <v/>
      </c>
    </row>
    <row r="135" spans="1:5" x14ac:dyDescent="0.25">
      <c r="A135">
        <v>134</v>
      </c>
      <c r="B135">
        <f>'4_3_pom'!G135</f>
        <v>0</v>
      </c>
      <c r="E135" t="str">
        <f t="shared" si="2"/>
        <v/>
      </c>
    </row>
    <row r="136" spans="1:5" x14ac:dyDescent="0.25">
      <c r="A136">
        <v>135</v>
      </c>
      <c r="B136">
        <f>'4_3_pom'!G136</f>
        <v>0</v>
      </c>
      <c r="E136" t="str">
        <f t="shared" si="2"/>
        <v/>
      </c>
    </row>
    <row r="137" spans="1:5" x14ac:dyDescent="0.25">
      <c r="A137">
        <v>136</v>
      </c>
      <c r="B137">
        <f>'4_3_pom'!G137</f>
        <v>0</v>
      </c>
      <c r="E137" t="str">
        <f t="shared" si="2"/>
        <v/>
      </c>
    </row>
    <row r="138" spans="1:5" x14ac:dyDescent="0.25">
      <c r="A138">
        <v>137</v>
      </c>
      <c r="B138">
        <f>'4_3_pom'!G138</f>
        <v>0</v>
      </c>
      <c r="E138" t="str">
        <f t="shared" si="2"/>
        <v/>
      </c>
    </row>
    <row r="139" spans="1:5" x14ac:dyDescent="0.25">
      <c r="A139">
        <v>138</v>
      </c>
      <c r="B139">
        <f>'4_3_pom'!G139</f>
        <v>0</v>
      </c>
      <c r="E139" t="str">
        <f t="shared" si="2"/>
        <v/>
      </c>
    </row>
    <row r="140" spans="1:5" x14ac:dyDescent="0.25">
      <c r="A140">
        <v>139</v>
      </c>
      <c r="B140">
        <f>'4_3_pom'!G140</f>
        <v>0</v>
      </c>
      <c r="E140" t="str">
        <f t="shared" si="2"/>
        <v/>
      </c>
    </row>
    <row r="141" spans="1:5" x14ac:dyDescent="0.25">
      <c r="A141">
        <v>140</v>
      </c>
      <c r="B141">
        <f>'4_3_pom'!G141</f>
        <v>0</v>
      </c>
      <c r="E141" t="str">
        <f t="shared" si="2"/>
        <v/>
      </c>
    </row>
    <row r="142" spans="1:5" x14ac:dyDescent="0.25">
      <c r="A142">
        <v>141</v>
      </c>
      <c r="B142">
        <f>'4_3_pom'!G142</f>
        <v>0</v>
      </c>
      <c r="E142" t="str">
        <f t="shared" si="2"/>
        <v/>
      </c>
    </row>
    <row r="143" spans="1:5" x14ac:dyDescent="0.25">
      <c r="A143">
        <v>142</v>
      </c>
      <c r="B143">
        <f>'4_3_pom'!G143</f>
        <v>0</v>
      </c>
      <c r="E143" t="str">
        <f t="shared" si="2"/>
        <v/>
      </c>
    </row>
    <row r="144" spans="1:5" x14ac:dyDescent="0.25">
      <c r="A144">
        <v>143</v>
      </c>
      <c r="B144">
        <f>'4_3_pom'!G144</f>
        <v>0</v>
      </c>
      <c r="E144" t="str">
        <f t="shared" si="2"/>
        <v/>
      </c>
    </row>
    <row r="145" spans="1:5" x14ac:dyDescent="0.25">
      <c r="A145">
        <v>144</v>
      </c>
      <c r="B145">
        <f>'4_3_pom'!G145</f>
        <v>0</v>
      </c>
      <c r="E145" t="str">
        <f t="shared" si="2"/>
        <v/>
      </c>
    </row>
    <row r="146" spans="1:5" x14ac:dyDescent="0.25">
      <c r="A146">
        <v>145</v>
      </c>
      <c r="B146">
        <f>'4_3_pom'!G146</f>
        <v>0</v>
      </c>
      <c r="E146" t="str">
        <f t="shared" si="2"/>
        <v/>
      </c>
    </row>
    <row r="147" spans="1:5" x14ac:dyDescent="0.25">
      <c r="A147">
        <v>146</v>
      </c>
      <c r="B147">
        <f>'4_3_pom'!G147</f>
        <v>0</v>
      </c>
      <c r="E147" t="str">
        <f t="shared" si="2"/>
        <v/>
      </c>
    </row>
    <row r="148" spans="1:5" x14ac:dyDescent="0.25">
      <c r="A148">
        <v>147</v>
      </c>
      <c r="B148">
        <f>'4_3_pom'!G148</f>
        <v>0</v>
      </c>
      <c r="E148" t="str">
        <f t="shared" si="2"/>
        <v/>
      </c>
    </row>
    <row r="149" spans="1:5" x14ac:dyDescent="0.25">
      <c r="A149">
        <v>148</v>
      </c>
      <c r="B149">
        <f>'4_3_pom'!G149</f>
        <v>0</v>
      </c>
      <c r="E149" t="str">
        <f t="shared" si="2"/>
        <v/>
      </c>
    </row>
    <row r="150" spans="1:5" x14ac:dyDescent="0.25">
      <c r="A150">
        <v>149</v>
      </c>
      <c r="B150">
        <f>'4_3_pom'!G150</f>
        <v>0</v>
      </c>
      <c r="E150" t="str">
        <f t="shared" si="2"/>
        <v/>
      </c>
    </row>
    <row r="151" spans="1:5" x14ac:dyDescent="0.25">
      <c r="A151">
        <v>150</v>
      </c>
      <c r="B151">
        <f>'4_3_pom'!G151</f>
        <v>0</v>
      </c>
      <c r="E151" t="str">
        <f t="shared" si="2"/>
        <v/>
      </c>
    </row>
    <row r="152" spans="1:5" x14ac:dyDescent="0.25">
      <c r="A152">
        <v>151</v>
      </c>
      <c r="B152">
        <f>'4_3_pom'!G152</f>
        <v>0</v>
      </c>
      <c r="E152" t="str">
        <f t="shared" si="2"/>
        <v/>
      </c>
    </row>
    <row r="153" spans="1:5" x14ac:dyDescent="0.25">
      <c r="A153">
        <v>152</v>
      </c>
      <c r="B153">
        <f>'4_3_pom'!G153</f>
        <v>0</v>
      </c>
      <c r="E153" t="str">
        <f t="shared" si="2"/>
        <v/>
      </c>
    </row>
    <row r="154" spans="1:5" x14ac:dyDescent="0.25">
      <c r="A154">
        <v>153</v>
      </c>
      <c r="B154">
        <f>'4_3_pom'!G154</f>
        <v>0</v>
      </c>
      <c r="E154" t="str">
        <f t="shared" si="2"/>
        <v/>
      </c>
    </row>
    <row r="155" spans="1:5" x14ac:dyDescent="0.25">
      <c r="A155">
        <v>154</v>
      </c>
      <c r="B155">
        <f>'4_3_pom'!G155</f>
        <v>0</v>
      </c>
      <c r="E155" t="str">
        <f t="shared" si="2"/>
        <v/>
      </c>
    </row>
    <row r="156" spans="1:5" x14ac:dyDescent="0.25">
      <c r="A156">
        <v>155</v>
      </c>
      <c r="B156">
        <f>'4_3_pom'!G156</f>
        <v>0</v>
      </c>
      <c r="E156" t="str">
        <f t="shared" si="2"/>
        <v/>
      </c>
    </row>
    <row r="157" spans="1:5" x14ac:dyDescent="0.25">
      <c r="A157">
        <v>156</v>
      </c>
      <c r="B157">
        <f>'4_3_pom'!G157</f>
        <v>0</v>
      </c>
      <c r="E157" t="str">
        <f t="shared" si="2"/>
        <v/>
      </c>
    </row>
    <row r="158" spans="1:5" x14ac:dyDescent="0.25">
      <c r="A158">
        <v>157</v>
      </c>
      <c r="B158">
        <f>'4_3_pom'!G158</f>
        <v>0</v>
      </c>
      <c r="E158" t="str">
        <f t="shared" si="2"/>
        <v/>
      </c>
    </row>
    <row r="159" spans="1:5" x14ac:dyDescent="0.25">
      <c r="A159">
        <v>158</v>
      </c>
      <c r="B159">
        <f>'4_3_pom'!G159</f>
        <v>0</v>
      </c>
      <c r="E159" t="str">
        <f t="shared" si="2"/>
        <v/>
      </c>
    </row>
    <row r="160" spans="1:5" x14ac:dyDescent="0.25">
      <c r="A160">
        <v>159</v>
      </c>
      <c r="B160">
        <f>'4_3_pom'!G160</f>
        <v>0</v>
      </c>
      <c r="E160" t="str">
        <f t="shared" si="2"/>
        <v/>
      </c>
    </row>
    <row r="161" spans="1:5" x14ac:dyDescent="0.25">
      <c r="A161">
        <v>160</v>
      </c>
      <c r="B161">
        <f>'4_3_pom'!G161</f>
        <v>0</v>
      </c>
      <c r="E161" t="str">
        <f t="shared" si="2"/>
        <v/>
      </c>
    </row>
    <row r="162" spans="1:5" x14ac:dyDescent="0.25">
      <c r="A162">
        <v>161</v>
      </c>
      <c r="B162">
        <f>'4_3_pom'!G162</f>
        <v>0</v>
      </c>
      <c r="E162" t="str">
        <f t="shared" si="2"/>
        <v/>
      </c>
    </row>
    <row r="163" spans="1:5" x14ac:dyDescent="0.25">
      <c r="A163">
        <v>162</v>
      </c>
      <c r="B163">
        <f>'4_3_pom'!G163</f>
        <v>0</v>
      </c>
      <c r="E163" t="str">
        <f t="shared" si="2"/>
        <v/>
      </c>
    </row>
    <row r="164" spans="1:5" x14ac:dyDescent="0.25">
      <c r="A164">
        <v>163</v>
      </c>
      <c r="B164">
        <f>'4_3_pom'!G164</f>
        <v>0</v>
      </c>
      <c r="E164" t="str">
        <f t="shared" si="2"/>
        <v/>
      </c>
    </row>
    <row r="165" spans="1:5" x14ac:dyDescent="0.25">
      <c r="A165">
        <v>164</v>
      </c>
      <c r="B165">
        <f>'4_3_pom'!G165</f>
        <v>0</v>
      </c>
      <c r="E165" t="str">
        <f t="shared" si="2"/>
        <v/>
      </c>
    </row>
    <row r="166" spans="1:5" x14ac:dyDescent="0.25">
      <c r="A166">
        <v>165</v>
      </c>
      <c r="B166">
        <f>'4_3_pom'!G166</f>
        <v>0</v>
      </c>
      <c r="E166" t="str">
        <f t="shared" si="2"/>
        <v/>
      </c>
    </row>
    <row r="167" spans="1:5" x14ac:dyDescent="0.25">
      <c r="A167">
        <v>166</v>
      </c>
      <c r="B167">
        <f>'4_3_pom'!G167</f>
        <v>0</v>
      </c>
      <c r="E167" t="str">
        <f t="shared" si="2"/>
        <v/>
      </c>
    </row>
    <row r="168" spans="1:5" x14ac:dyDescent="0.25">
      <c r="A168">
        <v>167</v>
      </c>
      <c r="B168">
        <f>'4_3_pom'!G168</f>
        <v>0</v>
      </c>
      <c r="E168" t="str">
        <f t="shared" si="2"/>
        <v/>
      </c>
    </row>
    <row r="169" spans="1:5" x14ac:dyDescent="0.25">
      <c r="A169">
        <v>168</v>
      </c>
      <c r="B169">
        <f>'4_3_pom'!G169</f>
        <v>0</v>
      </c>
      <c r="E169" t="str">
        <f t="shared" si="2"/>
        <v/>
      </c>
    </row>
    <row r="170" spans="1:5" x14ac:dyDescent="0.25">
      <c r="A170">
        <v>169</v>
      </c>
      <c r="B170">
        <f>'4_3_pom'!G170</f>
        <v>0</v>
      </c>
      <c r="E170" t="str">
        <f t="shared" si="2"/>
        <v/>
      </c>
    </row>
    <row r="171" spans="1:5" x14ac:dyDescent="0.25">
      <c r="A171">
        <v>170</v>
      </c>
      <c r="B171">
        <f>'4_3_pom'!G171</f>
        <v>0</v>
      </c>
      <c r="E171" t="str">
        <f t="shared" si="2"/>
        <v/>
      </c>
    </row>
    <row r="172" spans="1:5" x14ac:dyDescent="0.25">
      <c r="A172">
        <v>171</v>
      </c>
      <c r="B172">
        <f>'4_3_pom'!G172</f>
        <v>0</v>
      </c>
      <c r="E172" t="str">
        <f t="shared" si="2"/>
        <v/>
      </c>
    </row>
    <row r="173" spans="1:5" x14ac:dyDescent="0.25">
      <c r="A173">
        <v>172</v>
      </c>
      <c r="B173">
        <f>'4_3_pom'!G173</f>
        <v>0</v>
      </c>
      <c r="E173" t="str">
        <f t="shared" si="2"/>
        <v/>
      </c>
    </row>
    <row r="174" spans="1:5" x14ac:dyDescent="0.25">
      <c r="A174">
        <v>173</v>
      </c>
      <c r="B174">
        <f>'4_3_pom'!G174</f>
        <v>0</v>
      </c>
      <c r="E174" t="str">
        <f t="shared" si="2"/>
        <v/>
      </c>
    </row>
    <row r="175" spans="1:5" x14ac:dyDescent="0.25">
      <c r="A175">
        <v>174</v>
      </c>
      <c r="B175">
        <f>'4_3_pom'!G175</f>
        <v>0</v>
      </c>
      <c r="E175" t="str">
        <f t="shared" si="2"/>
        <v/>
      </c>
    </row>
    <row r="176" spans="1:5" x14ac:dyDescent="0.25">
      <c r="A176">
        <v>175</v>
      </c>
      <c r="B176">
        <f>'4_3_pom'!G176</f>
        <v>0</v>
      </c>
      <c r="E176" t="str">
        <f t="shared" si="2"/>
        <v/>
      </c>
    </row>
    <row r="177" spans="1:5" x14ac:dyDescent="0.25">
      <c r="A177">
        <v>176</v>
      </c>
      <c r="B177">
        <f>'4_3_pom'!G177</f>
        <v>0</v>
      </c>
      <c r="E177" t="str">
        <f t="shared" si="2"/>
        <v/>
      </c>
    </row>
    <row r="178" spans="1:5" x14ac:dyDescent="0.25">
      <c r="A178">
        <v>177</v>
      </c>
      <c r="B178">
        <f>'4_3_pom'!G178</f>
        <v>0</v>
      </c>
      <c r="E178" t="str">
        <f t="shared" si="2"/>
        <v/>
      </c>
    </row>
    <row r="179" spans="1:5" x14ac:dyDescent="0.25">
      <c r="A179">
        <v>178</v>
      </c>
      <c r="B179">
        <f>'4_3_pom'!G179</f>
        <v>0</v>
      </c>
      <c r="E179" t="str">
        <f t="shared" si="2"/>
        <v/>
      </c>
    </row>
    <row r="180" spans="1:5" x14ac:dyDescent="0.25">
      <c r="A180">
        <v>179</v>
      </c>
      <c r="B180">
        <f>'4_3_pom'!G180</f>
        <v>0</v>
      </c>
      <c r="E180" t="str">
        <f t="shared" si="2"/>
        <v/>
      </c>
    </row>
    <row r="181" spans="1:5" x14ac:dyDescent="0.25">
      <c r="A181">
        <v>180</v>
      </c>
      <c r="B181">
        <f>'4_3_pom'!G181</f>
        <v>0</v>
      </c>
      <c r="E181" t="str">
        <f t="shared" si="2"/>
        <v/>
      </c>
    </row>
    <row r="182" spans="1:5" x14ac:dyDescent="0.25">
      <c r="A182">
        <v>181</v>
      </c>
      <c r="B182">
        <f>'4_3_pom'!G182</f>
        <v>0</v>
      </c>
      <c r="E182" t="str">
        <f t="shared" si="2"/>
        <v/>
      </c>
    </row>
    <row r="183" spans="1:5" x14ac:dyDescent="0.25">
      <c r="A183">
        <v>182</v>
      </c>
      <c r="B183">
        <f>'4_3_pom'!G183</f>
        <v>0</v>
      </c>
      <c r="E183" t="str">
        <f t="shared" si="2"/>
        <v/>
      </c>
    </row>
    <row r="184" spans="1:5" x14ac:dyDescent="0.25">
      <c r="A184">
        <v>183</v>
      </c>
      <c r="B184">
        <f>'4_3_pom'!G184</f>
        <v>0</v>
      </c>
      <c r="E184" t="str">
        <f t="shared" si="2"/>
        <v/>
      </c>
    </row>
    <row r="185" spans="1:5" x14ac:dyDescent="0.25">
      <c r="A185">
        <v>184</v>
      </c>
      <c r="B185">
        <f>'4_3_pom'!G185</f>
        <v>0</v>
      </c>
      <c r="E185" t="str">
        <f t="shared" si="2"/>
        <v/>
      </c>
    </row>
    <row r="186" spans="1:5" x14ac:dyDescent="0.25">
      <c r="A186">
        <v>185</v>
      </c>
      <c r="B186">
        <f>'4_3_pom'!G186</f>
        <v>0</v>
      </c>
      <c r="E186" t="str">
        <f t="shared" si="2"/>
        <v/>
      </c>
    </row>
    <row r="187" spans="1:5" x14ac:dyDescent="0.25">
      <c r="A187">
        <v>186</v>
      </c>
      <c r="B187">
        <f>'4_3_pom'!G187</f>
        <v>0</v>
      </c>
      <c r="E187" t="str">
        <f t="shared" si="2"/>
        <v/>
      </c>
    </row>
    <row r="188" spans="1:5" x14ac:dyDescent="0.25">
      <c r="A188">
        <v>187</v>
      </c>
      <c r="B188">
        <f>'4_3_pom'!G188</f>
        <v>0</v>
      </c>
      <c r="E188" t="str">
        <f t="shared" si="2"/>
        <v/>
      </c>
    </row>
    <row r="189" spans="1:5" x14ac:dyDescent="0.25">
      <c r="A189">
        <v>188</v>
      </c>
      <c r="B189">
        <f>'4_3_pom'!G189</f>
        <v>0</v>
      </c>
      <c r="E189" t="str">
        <f t="shared" si="2"/>
        <v/>
      </c>
    </row>
    <row r="190" spans="1:5" x14ac:dyDescent="0.25">
      <c r="A190">
        <v>189</v>
      </c>
      <c r="B190">
        <f>'4_3_pom'!G190</f>
        <v>0</v>
      </c>
      <c r="E190" t="str">
        <f t="shared" si="2"/>
        <v/>
      </c>
    </row>
    <row r="191" spans="1:5" x14ac:dyDescent="0.25">
      <c r="A191">
        <v>190</v>
      </c>
      <c r="B191">
        <f>'4_3_pom'!G191</f>
        <v>0</v>
      </c>
      <c r="E191" t="str">
        <f t="shared" si="2"/>
        <v/>
      </c>
    </row>
    <row r="192" spans="1:5" x14ac:dyDescent="0.25">
      <c r="A192">
        <v>191</v>
      </c>
      <c r="B192">
        <f>'4_3_pom'!G192</f>
        <v>0</v>
      </c>
      <c r="E192" t="str">
        <f t="shared" si="2"/>
        <v/>
      </c>
    </row>
    <row r="193" spans="1:5" x14ac:dyDescent="0.25">
      <c r="A193">
        <v>192</v>
      </c>
      <c r="B193">
        <f>'4_3_pom'!G193</f>
        <v>0</v>
      </c>
      <c r="E193" t="str">
        <f t="shared" si="2"/>
        <v/>
      </c>
    </row>
    <row r="194" spans="1:5" x14ac:dyDescent="0.25">
      <c r="A194">
        <v>193</v>
      </c>
      <c r="B194">
        <f>'4_3_pom'!G194</f>
        <v>0</v>
      </c>
      <c r="E194" t="str">
        <f t="shared" si="2"/>
        <v/>
      </c>
    </row>
    <row r="195" spans="1:5" x14ac:dyDescent="0.25">
      <c r="A195">
        <v>194</v>
      </c>
      <c r="B195">
        <f>'4_3_pom'!G195</f>
        <v>0</v>
      </c>
      <c r="E195" t="str">
        <f t="shared" ref="E195:E258" si="3">IF(B195=1,A195,"")</f>
        <v/>
      </c>
    </row>
    <row r="196" spans="1:5" x14ac:dyDescent="0.25">
      <c r="A196">
        <v>195</v>
      </c>
      <c r="B196">
        <f>'4_3_pom'!G196</f>
        <v>0</v>
      </c>
      <c r="E196" t="str">
        <f t="shared" si="3"/>
        <v/>
      </c>
    </row>
    <row r="197" spans="1:5" x14ac:dyDescent="0.25">
      <c r="A197">
        <v>196</v>
      </c>
      <c r="B197">
        <f>'4_3_pom'!G197</f>
        <v>0</v>
      </c>
      <c r="E197" t="str">
        <f t="shared" si="3"/>
        <v/>
      </c>
    </row>
    <row r="198" spans="1:5" x14ac:dyDescent="0.25">
      <c r="A198">
        <v>197</v>
      </c>
      <c r="B198">
        <f>'4_3_pom'!G198</f>
        <v>0</v>
      </c>
      <c r="E198" t="str">
        <f t="shared" si="3"/>
        <v/>
      </c>
    </row>
    <row r="199" spans="1:5" x14ac:dyDescent="0.25">
      <c r="A199">
        <v>198</v>
      </c>
      <c r="B199">
        <f>'4_3_pom'!G199</f>
        <v>0</v>
      </c>
      <c r="E199" t="str">
        <f t="shared" si="3"/>
        <v/>
      </c>
    </row>
    <row r="200" spans="1:5" x14ac:dyDescent="0.25">
      <c r="A200">
        <v>199</v>
      </c>
      <c r="B200">
        <f>'4_3_pom'!G200</f>
        <v>0</v>
      </c>
      <c r="E200" t="str">
        <f t="shared" si="3"/>
        <v/>
      </c>
    </row>
    <row r="201" spans="1:5" x14ac:dyDescent="0.25">
      <c r="A201">
        <v>200</v>
      </c>
      <c r="B201">
        <f>'4_3_pom'!G201</f>
        <v>0</v>
      </c>
      <c r="E201" t="str">
        <f t="shared" si="3"/>
        <v/>
      </c>
    </row>
    <row r="202" spans="1:5" x14ac:dyDescent="0.25">
      <c r="A202">
        <v>201</v>
      </c>
      <c r="B202">
        <f>'4_3_pom'!G202</f>
        <v>0</v>
      </c>
      <c r="E202" t="str">
        <f t="shared" si="3"/>
        <v/>
      </c>
    </row>
    <row r="203" spans="1:5" x14ac:dyDescent="0.25">
      <c r="A203">
        <v>202</v>
      </c>
      <c r="B203">
        <f>'4_3_pom'!G203</f>
        <v>0</v>
      </c>
      <c r="E203" t="str">
        <f t="shared" si="3"/>
        <v/>
      </c>
    </row>
    <row r="204" spans="1:5" x14ac:dyDescent="0.25">
      <c r="A204">
        <v>203</v>
      </c>
      <c r="B204">
        <f>'4_3_pom'!G204</f>
        <v>0</v>
      </c>
      <c r="E204" t="str">
        <f t="shared" si="3"/>
        <v/>
      </c>
    </row>
    <row r="205" spans="1:5" x14ac:dyDescent="0.25">
      <c r="A205">
        <v>204</v>
      </c>
      <c r="B205">
        <f>'4_3_pom'!G205</f>
        <v>0</v>
      </c>
      <c r="E205" t="str">
        <f t="shared" si="3"/>
        <v/>
      </c>
    </row>
    <row r="206" spans="1:5" x14ac:dyDescent="0.25">
      <c r="A206">
        <v>205</v>
      </c>
      <c r="B206">
        <f>'4_3_pom'!G206</f>
        <v>0</v>
      </c>
      <c r="E206" t="str">
        <f t="shared" si="3"/>
        <v/>
      </c>
    </row>
    <row r="207" spans="1:5" x14ac:dyDescent="0.25">
      <c r="A207">
        <v>206</v>
      </c>
      <c r="B207">
        <f>'4_3_pom'!G207</f>
        <v>0</v>
      </c>
      <c r="E207" t="str">
        <f t="shared" si="3"/>
        <v/>
      </c>
    </row>
    <row r="208" spans="1:5" x14ac:dyDescent="0.25">
      <c r="A208">
        <v>207</v>
      </c>
      <c r="B208">
        <f>'4_3_pom'!G208</f>
        <v>0</v>
      </c>
      <c r="E208" t="str">
        <f t="shared" si="3"/>
        <v/>
      </c>
    </row>
    <row r="209" spans="1:5" x14ac:dyDescent="0.25">
      <c r="A209">
        <v>208</v>
      </c>
      <c r="B209">
        <f>'4_3_pom'!G209</f>
        <v>0</v>
      </c>
      <c r="E209" t="str">
        <f t="shared" si="3"/>
        <v/>
      </c>
    </row>
    <row r="210" spans="1:5" x14ac:dyDescent="0.25">
      <c r="A210">
        <v>209</v>
      </c>
      <c r="B210">
        <f>'4_3_pom'!G210</f>
        <v>0</v>
      </c>
      <c r="E210" t="str">
        <f t="shared" si="3"/>
        <v/>
      </c>
    </row>
    <row r="211" spans="1:5" x14ac:dyDescent="0.25">
      <c r="A211">
        <v>210</v>
      </c>
      <c r="B211">
        <f>'4_3_pom'!G211</f>
        <v>0</v>
      </c>
      <c r="E211" t="str">
        <f t="shared" si="3"/>
        <v/>
      </c>
    </row>
    <row r="212" spans="1:5" x14ac:dyDescent="0.25">
      <c r="A212">
        <v>211</v>
      </c>
      <c r="B212">
        <f>'4_3_pom'!G212</f>
        <v>0</v>
      </c>
      <c r="E212" t="str">
        <f t="shared" si="3"/>
        <v/>
      </c>
    </row>
    <row r="213" spans="1:5" x14ac:dyDescent="0.25">
      <c r="A213">
        <v>212</v>
      </c>
      <c r="B213">
        <f>'4_3_pom'!G213</f>
        <v>0</v>
      </c>
      <c r="E213" t="str">
        <f t="shared" si="3"/>
        <v/>
      </c>
    </row>
    <row r="214" spans="1:5" x14ac:dyDescent="0.25">
      <c r="A214">
        <v>213</v>
      </c>
      <c r="B214">
        <f>'4_3_pom'!G214</f>
        <v>0</v>
      </c>
      <c r="E214" t="str">
        <f t="shared" si="3"/>
        <v/>
      </c>
    </row>
    <row r="215" spans="1:5" x14ac:dyDescent="0.25">
      <c r="A215">
        <v>214</v>
      </c>
      <c r="B215">
        <f>'4_3_pom'!G215</f>
        <v>0</v>
      </c>
      <c r="E215" t="str">
        <f t="shared" si="3"/>
        <v/>
      </c>
    </row>
    <row r="216" spans="1:5" x14ac:dyDescent="0.25">
      <c r="A216">
        <v>215</v>
      </c>
      <c r="B216">
        <f>'4_3_pom'!G216</f>
        <v>0</v>
      </c>
      <c r="E216" t="str">
        <f t="shared" si="3"/>
        <v/>
      </c>
    </row>
    <row r="217" spans="1:5" x14ac:dyDescent="0.25">
      <c r="A217">
        <v>216</v>
      </c>
      <c r="B217">
        <f>'4_3_pom'!G217</f>
        <v>0</v>
      </c>
      <c r="E217" t="str">
        <f t="shared" si="3"/>
        <v/>
      </c>
    </row>
    <row r="218" spans="1:5" x14ac:dyDescent="0.25">
      <c r="A218">
        <v>217</v>
      </c>
      <c r="B218">
        <f>'4_3_pom'!G218</f>
        <v>0</v>
      </c>
      <c r="E218" t="str">
        <f t="shared" si="3"/>
        <v/>
      </c>
    </row>
    <row r="219" spans="1:5" x14ac:dyDescent="0.25">
      <c r="A219">
        <v>218</v>
      </c>
      <c r="B219">
        <f>'4_3_pom'!G219</f>
        <v>0</v>
      </c>
      <c r="E219" t="str">
        <f t="shared" si="3"/>
        <v/>
      </c>
    </row>
    <row r="220" spans="1:5" x14ac:dyDescent="0.25">
      <c r="A220">
        <v>219</v>
      </c>
      <c r="B220">
        <f>'4_3_pom'!G220</f>
        <v>0</v>
      </c>
      <c r="E220" t="str">
        <f t="shared" si="3"/>
        <v/>
      </c>
    </row>
    <row r="221" spans="1:5" x14ac:dyDescent="0.25">
      <c r="A221">
        <v>220</v>
      </c>
      <c r="B221">
        <f>'4_3_pom'!G221</f>
        <v>0</v>
      </c>
      <c r="E221" t="str">
        <f t="shared" si="3"/>
        <v/>
      </c>
    </row>
    <row r="222" spans="1:5" x14ac:dyDescent="0.25">
      <c r="A222">
        <v>221</v>
      </c>
      <c r="B222">
        <f>'4_3_pom'!G222</f>
        <v>0</v>
      </c>
      <c r="E222" t="str">
        <f t="shared" si="3"/>
        <v/>
      </c>
    </row>
    <row r="223" spans="1:5" x14ac:dyDescent="0.25">
      <c r="A223">
        <v>222</v>
      </c>
      <c r="B223">
        <f>'4_3_pom'!G223</f>
        <v>0</v>
      </c>
      <c r="E223" t="str">
        <f t="shared" si="3"/>
        <v/>
      </c>
    </row>
    <row r="224" spans="1:5" x14ac:dyDescent="0.25">
      <c r="A224">
        <v>223</v>
      </c>
      <c r="B224">
        <f>'4_3_pom'!G224</f>
        <v>0</v>
      </c>
      <c r="E224" t="str">
        <f t="shared" si="3"/>
        <v/>
      </c>
    </row>
    <row r="225" spans="1:5" x14ac:dyDescent="0.25">
      <c r="A225">
        <v>224</v>
      </c>
      <c r="B225">
        <f>'4_3_pom'!G225</f>
        <v>0</v>
      </c>
      <c r="E225" t="str">
        <f t="shared" si="3"/>
        <v/>
      </c>
    </row>
    <row r="226" spans="1:5" x14ac:dyDescent="0.25">
      <c r="A226">
        <v>225</v>
      </c>
      <c r="B226">
        <f>'4_3_pom'!G226</f>
        <v>0</v>
      </c>
      <c r="E226" t="str">
        <f t="shared" si="3"/>
        <v/>
      </c>
    </row>
    <row r="227" spans="1:5" x14ac:dyDescent="0.25">
      <c r="A227">
        <v>226</v>
      </c>
      <c r="B227">
        <f>'4_3_pom'!G227</f>
        <v>0</v>
      </c>
      <c r="E227" t="str">
        <f t="shared" si="3"/>
        <v/>
      </c>
    </row>
    <row r="228" spans="1:5" x14ac:dyDescent="0.25">
      <c r="A228">
        <v>227</v>
      </c>
      <c r="B228">
        <f>'4_3_pom'!G228</f>
        <v>0</v>
      </c>
      <c r="E228" t="str">
        <f t="shared" si="3"/>
        <v/>
      </c>
    </row>
    <row r="229" spans="1:5" x14ac:dyDescent="0.25">
      <c r="A229">
        <v>228</v>
      </c>
      <c r="B229">
        <f>'4_3_pom'!G229</f>
        <v>0</v>
      </c>
      <c r="E229" t="str">
        <f t="shared" si="3"/>
        <v/>
      </c>
    </row>
    <row r="230" spans="1:5" x14ac:dyDescent="0.25">
      <c r="A230">
        <v>229</v>
      </c>
      <c r="B230">
        <f>'4_3_pom'!G230</f>
        <v>0</v>
      </c>
      <c r="E230" t="str">
        <f t="shared" si="3"/>
        <v/>
      </c>
    </row>
    <row r="231" spans="1:5" x14ac:dyDescent="0.25">
      <c r="A231">
        <v>230</v>
      </c>
      <c r="B231">
        <f>'4_3_pom'!G231</f>
        <v>0</v>
      </c>
      <c r="E231" t="str">
        <f t="shared" si="3"/>
        <v/>
      </c>
    </row>
    <row r="232" spans="1:5" x14ac:dyDescent="0.25">
      <c r="A232">
        <v>231</v>
      </c>
      <c r="B232">
        <f>'4_3_pom'!G232</f>
        <v>0</v>
      </c>
      <c r="E232" t="str">
        <f t="shared" si="3"/>
        <v/>
      </c>
    </row>
    <row r="233" spans="1:5" x14ac:dyDescent="0.25">
      <c r="A233">
        <v>232</v>
      </c>
      <c r="B233">
        <f>'4_3_pom'!G233</f>
        <v>0</v>
      </c>
      <c r="E233" t="str">
        <f t="shared" si="3"/>
        <v/>
      </c>
    </row>
    <row r="234" spans="1:5" x14ac:dyDescent="0.25">
      <c r="A234">
        <v>233</v>
      </c>
      <c r="B234">
        <f>'4_3_pom'!G234</f>
        <v>0</v>
      </c>
      <c r="E234" t="str">
        <f t="shared" si="3"/>
        <v/>
      </c>
    </row>
    <row r="235" spans="1:5" x14ac:dyDescent="0.25">
      <c r="A235">
        <v>234</v>
      </c>
      <c r="B235">
        <f>'4_3_pom'!G235</f>
        <v>0</v>
      </c>
      <c r="E235" t="str">
        <f t="shared" si="3"/>
        <v/>
      </c>
    </row>
    <row r="236" spans="1:5" x14ac:dyDescent="0.25">
      <c r="A236">
        <v>235</v>
      </c>
      <c r="B236">
        <f>'4_3_pom'!G236</f>
        <v>0</v>
      </c>
      <c r="E236" t="str">
        <f t="shared" si="3"/>
        <v/>
      </c>
    </row>
    <row r="237" spans="1:5" x14ac:dyDescent="0.25">
      <c r="A237">
        <v>236</v>
      </c>
      <c r="B237">
        <f>'4_3_pom'!G237</f>
        <v>0</v>
      </c>
      <c r="E237" t="str">
        <f t="shared" si="3"/>
        <v/>
      </c>
    </row>
    <row r="238" spans="1:5" x14ac:dyDescent="0.25">
      <c r="A238">
        <v>237</v>
      </c>
      <c r="B238">
        <f>'4_3_pom'!G238</f>
        <v>0</v>
      </c>
      <c r="E238" t="str">
        <f t="shared" si="3"/>
        <v/>
      </c>
    </row>
    <row r="239" spans="1:5" x14ac:dyDescent="0.25">
      <c r="A239">
        <v>238</v>
      </c>
      <c r="B239">
        <f>'4_3_pom'!G239</f>
        <v>0</v>
      </c>
      <c r="E239" t="str">
        <f t="shared" si="3"/>
        <v/>
      </c>
    </row>
    <row r="240" spans="1:5" x14ac:dyDescent="0.25">
      <c r="A240">
        <v>239</v>
      </c>
      <c r="B240">
        <f>'4_3_pom'!G240</f>
        <v>0</v>
      </c>
      <c r="E240" t="str">
        <f t="shared" si="3"/>
        <v/>
      </c>
    </row>
    <row r="241" spans="1:5" x14ac:dyDescent="0.25">
      <c r="A241">
        <v>240</v>
      </c>
      <c r="B241">
        <f>'4_3_pom'!G241</f>
        <v>0</v>
      </c>
      <c r="E241" t="str">
        <f t="shared" si="3"/>
        <v/>
      </c>
    </row>
    <row r="242" spans="1:5" x14ac:dyDescent="0.25">
      <c r="A242">
        <v>241</v>
      </c>
      <c r="B242">
        <f>'4_3_pom'!G242</f>
        <v>0</v>
      </c>
      <c r="E242" t="str">
        <f t="shared" si="3"/>
        <v/>
      </c>
    </row>
    <row r="243" spans="1:5" x14ac:dyDescent="0.25">
      <c r="A243">
        <v>242</v>
      </c>
      <c r="B243">
        <f>'4_3_pom'!G243</f>
        <v>0</v>
      </c>
      <c r="E243" t="str">
        <f t="shared" si="3"/>
        <v/>
      </c>
    </row>
    <row r="244" spans="1:5" x14ac:dyDescent="0.25">
      <c r="A244">
        <v>243</v>
      </c>
      <c r="B244">
        <f>'4_3_pom'!G244</f>
        <v>0</v>
      </c>
      <c r="E244" t="str">
        <f t="shared" si="3"/>
        <v/>
      </c>
    </row>
    <row r="245" spans="1:5" x14ac:dyDescent="0.25">
      <c r="A245">
        <v>244</v>
      </c>
      <c r="B245">
        <f>'4_3_pom'!G245</f>
        <v>0</v>
      </c>
      <c r="E245" t="str">
        <f t="shared" si="3"/>
        <v/>
      </c>
    </row>
    <row r="246" spans="1:5" x14ac:dyDescent="0.25">
      <c r="A246">
        <v>245</v>
      </c>
      <c r="B246">
        <f>'4_3_pom'!G246</f>
        <v>0</v>
      </c>
      <c r="E246" t="str">
        <f t="shared" si="3"/>
        <v/>
      </c>
    </row>
    <row r="247" spans="1:5" x14ac:dyDescent="0.25">
      <c r="A247">
        <v>246</v>
      </c>
      <c r="B247">
        <f>'4_3_pom'!G247</f>
        <v>0</v>
      </c>
      <c r="E247" t="str">
        <f t="shared" si="3"/>
        <v/>
      </c>
    </row>
    <row r="248" spans="1:5" x14ac:dyDescent="0.25">
      <c r="A248">
        <v>247</v>
      </c>
      <c r="B248">
        <f>'4_3_pom'!G248</f>
        <v>0</v>
      </c>
      <c r="E248" t="str">
        <f t="shared" si="3"/>
        <v/>
      </c>
    </row>
    <row r="249" spans="1:5" x14ac:dyDescent="0.25">
      <c r="A249">
        <v>248</v>
      </c>
      <c r="B249">
        <f>'4_3_pom'!G249</f>
        <v>0</v>
      </c>
      <c r="E249" t="str">
        <f t="shared" si="3"/>
        <v/>
      </c>
    </row>
    <row r="250" spans="1:5" x14ac:dyDescent="0.25">
      <c r="A250">
        <v>249</v>
      </c>
      <c r="B250">
        <f>'4_3_pom'!G250</f>
        <v>0</v>
      </c>
      <c r="E250" t="str">
        <f t="shared" si="3"/>
        <v/>
      </c>
    </row>
    <row r="251" spans="1:5" x14ac:dyDescent="0.25">
      <c r="A251">
        <v>250</v>
      </c>
      <c r="B251">
        <f>'4_3_pom'!G251</f>
        <v>0</v>
      </c>
      <c r="E251" t="str">
        <f t="shared" si="3"/>
        <v/>
      </c>
    </row>
    <row r="252" spans="1:5" x14ac:dyDescent="0.25">
      <c r="A252">
        <v>251</v>
      </c>
      <c r="B252">
        <f>'4_3_pom'!G252</f>
        <v>0</v>
      </c>
      <c r="E252" t="str">
        <f t="shared" si="3"/>
        <v/>
      </c>
    </row>
    <row r="253" spans="1:5" x14ac:dyDescent="0.25">
      <c r="A253">
        <v>252</v>
      </c>
      <c r="B253">
        <f>'4_3_pom'!G253</f>
        <v>0</v>
      </c>
      <c r="E253" t="str">
        <f t="shared" si="3"/>
        <v/>
      </c>
    </row>
    <row r="254" spans="1:5" x14ac:dyDescent="0.25">
      <c r="A254">
        <v>253</v>
      </c>
      <c r="B254">
        <f>'4_3_pom'!G254</f>
        <v>0</v>
      </c>
      <c r="E254" t="str">
        <f t="shared" si="3"/>
        <v/>
      </c>
    </row>
    <row r="255" spans="1:5" x14ac:dyDescent="0.25">
      <c r="A255">
        <v>254</v>
      </c>
      <c r="B255">
        <f>'4_3_pom'!G255</f>
        <v>0</v>
      </c>
      <c r="E255" t="str">
        <f t="shared" si="3"/>
        <v/>
      </c>
    </row>
    <row r="256" spans="1:5" x14ac:dyDescent="0.25">
      <c r="A256">
        <v>255</v>
      </c>
      <c r="B256">
        <f>'4_3_pom'!G256</f>
        <v>0</v>
      </c>
      <c r="E256" t="str">
        <f t="shared" si="3"/>
        <v/>
      </c>
    </row>
    <row r="257" spans="1:5" x14ac:dyDescent="0.25">
      <c r="A257">
        <v>256</v>
      </c>
      <c r="B257">
        <f>'4_3_pom'!G257</f>
        <v>0</v>
      </c>
      <c r="E257" t="str">
        <f t="shared" si="3"/>
        <v/>
      </c>
    </row>
    <row r="258" spans="1:5" x14ac:dyDescent="0.25">
      <c r="A258">
        <v>257</v>
      </c>
      <c r="B258">
        <f>'4_3_pom'!G258</f>
        <v>0</v>
      </c>
      <c r="E258" t="str">
        <f t="shared" si="3"/>
        <v/>
      </c>
    </row>
    <row r="259" spans="1:5" x14ac:dyDescent="0.25">
      <c r="A259">
        <v>258</v>
      </c>
      <c r="B259">
        <f>'4_3_pom'!G259</f>
        <v>0</v>
      </c>
      <c r="E259" t="str">
        <f t="shared" ref="E259:E322" si="4">IF(B259=1,A259,"")</f>
        <v/>
      </c>
    </row>
    <row r="260" spans="1:5" x14ac:dyDescent="0.25">
      <c r="A260">
        <v>259</v>
      </c>
      <c r="B260">
        <f>'4_3_pom'!G260</f>
        <v>0</v>
      </c>
      <c r="E260" t="str">
        <f t="shared" si="4"/>
        <v/>
      </c>
    </row>
    <row r="261" spans="1:5" x14ac:dyDescent="0.25">
      <c r="A261">
        <v>260</v>
      </c>
      <c r="B261">
        <f>'4_3_pom'!G261</f>
        <v>0</v>
      </c>
      <c r="E261" t="str">
        <f t="shared" si="4"/>
        <v/>
      </c>
    </row>
    <row r="262" spans="1:5" x14ac:dyDescent="0.25">
      <c r="A262">
        <v>261</v>
      </c>
      <c r="B262">
        <f>'4_3_pom'!G262</f>
        <v>0</v>
      </c>
      <c r="E262" t="str">
        <f t="shared" si="4"/>
        <v/>
      </c>
    </row>
    <row r="263" spans="1:5" x14ac:dyDescent="0.25">
      <c r="A263">
        <v>262</v>
      </c>
      <c r="B263">
        <f>'4_3_pom'!G263</f>
        <v>0</v>
      </c>
      <c r="E263" t="str">
        <f t="shared" si="4"/>
        <v/>
      </c>
    </row>
    <row r="264" spans="1:5" x14ac:dyDescent="0.25">
      <c r="A264">
        <v>263</v>
      </c>
      <c r="B264">
        <f>'4_3_pom'!G264</f>
        <v>0</v>
      </c>
      <c r="E264" t="str">
        <f t="shared" si="4"/>
        <v/>
      </c>
    </row>
    <row r="265" spans="1:5" x14ac:dyDescent="0.25">
      <c r="A265">
        <v>264</v>
      </c>
      <c r="B265">
        <f>'4_3_pom'!G265</f>
        <v>0</v>
      </c>
      <c r="E265" t="str">
        <f t="shared" si="4"/>
        <v/>
      </c>
    </row>
    <row r="266" spans="1:5" x14ac:dyDescent="0.25">
      <c r="A266">
        <v>265</v>
      </c>
      <c r="B266">
        <f>'4_3_pom'!G266</f>
        <v>0</v>
      </c>
      <c r="E266" t="str">
        <f t="shared" si="4"/>
        <v/>
      </c>
    </row>
    <row r="267" spans="1:5" x14ac:dyDescent="0.25">
      <c r="A267">
        <v>266</v>
      </c>
      <c r="B267">
        <f>'4_3_pom'!G267</f>
        <v>0</v>
      </c>
      <c r="E267" t="str">
        <f t="shared" si="4"/>
        <v/>
      </c>
    </row>
    <row r="268" spans="1:5" x14ac:dyDescent="0.25">
      <c r="A268">
        <v>267</v>
      </c>
      <c r="B268">
        <f>'4_3_pom'!G268</f>
        <v>0</v>
      </c>
      <c r="E268" t="str">
        <f t="shared" si="4"/>
        <v/>
      </c>
    </row>
    <row r="269" spans="1:5" x14ac:dyDescent="0.25">
      <c r="A269">
        <v>268</v>
      </c>
      <c r="B269">
        <f>'4_3_pom'!G269</f>
        <v>0</v>
      </c>
      <c r="E269" t="str">
        <f t="shared" si="4"/>
        <v/>
      </c>
    </row>
    <row r="270" spans="1:5" x14ac:dyDescent="0.25">
      <c r="A270">
        <v>269</v>
      </c>
      <c r="B270">
        <f>'4_3_pom'!G270</f>
        <v>0</v>
      </c>
      <c r="E270" t="str">
        <f t="shared" si="4"/>
        <v/>
      </c>
    </row>
    <row r="271" spans="1:5" x14ac:dyDescent="0.25">
      <c r="A271">
        <v>270</v>
      </c>
      <c r="B271">
        <f>'4_3_pom'!G271</f>
        <v>0</v>
      </c>
      <c r="E271" t="str">
        <f t="shared" si="4"/>
        <v/>
      </c>
    </row>
    <row r="272" spans="1:5" x14ac:dyDescent="0.25">
      <c r="A272">
        <v>271</v>
      </c>
      <c r="B272">
        <f>'4_3_pom'!G272</f>
        <v>0</v>
      </c>
      <c r="E272" t="str">
        <f t="shared" si="4"/>
        <v/>
      </c>
    </row>
    <row r="273" spans="1:5" x14ac:dyDescent="0.25">
      <c r="A273">
        <v>272</v>
      </c>
      <c r="B273">
        <f>'4_3_pom'!G273</f>
        <v>0</v>
      </c>
      <c r="E273" t="str">
        <f t="shared" si="4"/>
        <v/>
      </c>
    </row>
    <row r="274" spans="1:5" x14ac:dyDescent="0.25">
      <c r="A274">
        <v>273</v>
      </c>
      <c r="B274">
        <f>'4_3_pom'!G274</f>
        <v>0</v>
      </c>
      <c r="E274" t="str">
        <f t="shared" si="4"/>
        <v/>
      </c>
    </row>
    <row r="275" spans="1:5" x14ac:dyDescent="0.25">
      <c r="A275">
        <v>274</v>
      </c>
      <c r="B275">
        <f>'4_3_pom'!G275</f>
        <v>0</v>
      </c>
      <c r="E275" t="str">
        <f t="shared" si="4"/>
        <v/>
      </c>
    </row>
    <row r="276" spans="1:5" x14ac:dyDescent="0.25">
      <c r="A276">
        <v>275</v>
      </c>
      <c r="B276">
        <f>'4_3_pom'!G276</f>
        <v>0</v>
      </c>
      <c r="E276" t="str">
        <f t="shared" si="4"/>
        <v/>
      </c>
    </row>
    <row r="277" spans="1:5" x14ac:dyDescent="0.25">
      <c r="A277">
        <v>276</v>
      </c>
      <c r="B277">
        <f>'4_3_pom'!G277</f>
        <v>0</v>
      </c>
      <c r="E277" t="str">
        <f t="shared" si="4"/>
        <v/>
      </c>
    </row>
    <row r="278" spans="1:5" x14ac:dyDescent="0.25">
      <c r="A278">
        <v>277</v>
      </c>
      <c r="B278">
        <f>'4_3_pom'!G278</f>
        <v>0</v>
      </c>
      <c r="E278" t="str">
        <f t="shared" si="4"/>
        <v/>
      </c>
    </row>
    <row r="279" spans="1:5" x14ac:dyDescent="0.25">
      <c r="A279">
        <v>278</v>
      </c>
      <c r="B279">
        <f>'4_3_pom'!G279</f>
        <v>0</v>
      </c>
      <c r="E279" t="str">
        <f t="shared" si="4"/>
        <v/>
      </c>
    </row>
    <row r="280" spans="1:5" x14ac:dyDescent="0.25">
      <c r="A280">
        <v>279</v>
      </c>
      <c r="B280">
        <f>'4_3_pom'!G280</f>
        <v>0</v>
      </c>
      <c r="E280" t="str">
        <f t="shared" si="4"/>
        <v/>
      </c>
    </row>
    <row r="281" spans="1:5" x14ac:dyDescent="0.25">
      <c r="A281">
        <v>280</v>
      </c>
      <c r="B281">
        <f>'4_3_pom'!G281</f>
        <v>0</v>
      </c>
      <c r="E281" t="str">
        <f t="shared" si="4"/>
        <v/>
      </c>
    </row>
    <row r="282" spans="1:5" x14ac:dyDescent="0.25">
      <c r="A282">
        <v>281</v>
      </c>
      <c r="B282">
        <f>'4_3_pom'!G282</f>
        <v>0</v>
      </c>
      <c r="E282" t="str">
        <f t="shared" si="4"/>
        <v/>
      </c>
    </row>
    <row r="283" spans="1:5" x14ac:dyDescent="0.25">
      <c r="A283">
        <v>282</v>
      </c>
      <c r="B283">
        <f>'4_3_pom'!G283</f>
        <v>0</v>
      </c>
      <c r="E283" t="str">
        <f t="shared" si="4"/>
        <v/>
      </c>
    </row>
    <row r="284" spans="1:5" x14ac:dyDescent="0.25">
      <c r="A284">
        <v>283</v>
      </c>
      <c r="B284">
        <f>'4_3_pom'!G284</f>
        <v>0</v>
      </c>
      <c r="E284" t="str">
        <f t="shared" si="4"/>
        <v/>
      </c>
    </row>
    <row r="285" spans="1:5" x14ac:dyDescent="0.25">
      <c r="A285">
        <v>284</v>
      </c>
      <c r="B285">
        <f>'4_3_pom'!G285</f>
        <v>0</v>
      </c>
      <c r="E285" t="str">
        <f t="shared" si="4"/>
        <v/>
      </c>
    </row>
    <row r="286" spans="1:5" x14ac:dyDescent="0.25">
      <c r="A286">
        <v>285</v>
      </c>
      <c r="B286">
        <f>'4_3_pom'!G286</f>
        <v>0</v>
      </c>
      <c r="E286" t="str">
        <f t="shared" si="4"/>
        <v/>
      </c>
    </row>
    <row r="287" spans="1:5" x14ac:dyDescent="0.25">
      <c r="A287">
        <v>286</v>
      </c>
      <c r="B287">
        <f>'4_3_pom'!G287</f>
        <v>0</v>
      </c>
      <c r="E287" t="str">
        <f t="shared" si="4"/>
        <v/>
      </c>
    </row>
    <row r="288" spans="1:5" x14ac:dyDescent="0.25">
      <c r="A288">
        <v>287</v>
      </c>
      <c r="B288">
        <f>'4_3_pom'!G288</f>
        <v>0</v>
      </c>
      <c r="E288" t="str">
        <f t="shared" si="4"/>
        <v/>
      </c>
    </row>
    <row r="289" spans="1:5" x14ac:dyDescent="0.25">
      <c r="A289">
        <v>288</v>
      </c>
      <c r="B289">
        <f>'4_3_pom'!G289</f>
        <v>0</v>
      </c>
      <c r="E289" t="str">
        <f t="shared" si="4"/>
        <v/>
      </c>
    </row>
    <row r="290" spans="1:5" x14ac:dyDescent="0.25">
      <c r="A290">
        <v>289</v>
      </c>
      <c r="B290">
        <f>'4_3_pom'!G290</f>
        <v>0</v>
      </c>
      <c r="E290" t="str">
        <f t="shared" si="4"/>
        <v/>
      </c>
    </row>
    <row r="291" spans="1:5" x14ac:dyDescent="0.25">
      <c r="A291">
        <v>290</v>
      </c>
      <c r="B291">
        <f>'4_3_pom'!G291</f>
        <v>0</v>
      </c>
      <c r="E291" t="str">
        <f t="shared" si="4"/>
        <v/>
      </c>
    </row>
    <row r="292" spans="1:5" x14ac:dyDescent="0.25">
      <c r="A292">
        <v>291</v>
      </c>
      <c r="B292">
        <f>'4_3_pom'!G292</f>
        <v>0</v>
      </c>
      <c r="E292" t="str">
        <f t="shared" si="4"/>
        <v/>
      </c>
    </row>
    <row r="293" spans="1:5" x14ac:dyDescent="0.25">
      <c r="A293">
        <v>292</v>
      </c>
      <c r="B293">
        <f>'4_3_pom'!G293</f>
        <v>0</v>
      </c>
      <c r="E293" t="str">
        <f t="shared" si="4"/>
        <v/>
      </c>
    </row>
    <row r="294" spans="1:5" x14ac:dyDescent="0.25">
      <c r="A294">
        <v>293</v>
      </c>
      <c r="B294">
        <f>'4_3_pom'!G294</f>
        <v>0</v>
      </c>
      <c r="E294" t="str">
        <f t="shared" si="4"/>
        <v/>
      </c>
    </row>
    <row r="295" spans="1:5" x14ac:dyDescent="0.25">
      <c r="A295">
        <v>294</v>
      </c>
      <c r="B295">
        <f>'4_3_pom'!G295</f>
        <v>0</v>
      </c>
      <c r="E295" t="str">
        <f t="shared" si="4"/>
        <v/>
      </c>
    </row>
    <row r="296" spans="1:5" x14ac:dyDescent="0.25">
      <c r="A296">
        <v>295</v>
      </c>
      <c r="B296">
        <f>'4_3_pom'!G296</f>
        <v>0</v>
      </c>
      <c r="E296" t="str">
        <f t="shared" si="4"/>
        <v/>
      </c>
    </row>
    <row r="297" spans="1:5" x14ac:dyDescent="0.25">
      <c r="A297">
        <v>296</v>
      </c>
      <c r="B297">
        <f>'4_3_pom'!G297</f>
        <v>0</v>
      </c>
      <c r="E297" t="str">
        <f t="shared" si="4"/>
        <v/>
      </c>
    </row>
    <row r="298" spans="1:5" x14ac:dyDescent="0.25">
      <c r="A298">
        <v>297</v>
      </c>
      <c r="B298">
        <f>'4_3_pom'!G298</f>
        <v>0</v>
      </c>
      <c r="E298" t="str">
        <f t="shared" si="4"/>
        <v/>
      </c>
    </row>
    <row r="299" spans="1:5" x14ac:dyDescent="0.25">
      <c r="A299">
        <v>298</v>
      </c>
      <c r="B299">
        <f>'4_3_pom'!G299</f>
        <v>0</v>
      </c>
      <c r="E299" t="str">
        <f t="shared" si="4"/>
        <v/>
      </c>
    </row>
    <row r="300" spans="1:5" x14ac:dyDescent="0.25">
      <c r="A300">
        <v>299</v>
      </c>
      <c r="B300">
        <f>'4_3_pom'!G300</f>
        <v>0</v>
      </c>
      <c r="E300" t="str">
        <f t="shared" si="4"/>
        <v/>
      </c>
    </row>
    <row r="301" spans="1:5" x14ac:dyDescent="0.25">
      <c r="A301">
        <v>300</v>
      </c>
      <c r="B301">
        <f>'4_3_pom'!G301</f>
        <v>0</v>
      </c>
      <c r="E301" t="str">
        <f t="shared" si="4"/>
        <v/>
      </c>
    </row>
    <row r="302" spans="1:5" x14ac:dyDescent="0.25">
      <c r="A302">
        <v>301</v>
      </c>
      <c r="B302">
        <f>'4_3_pom'!G302</f>
        <v>0</v>
      </c>
      <c r="E302" t="str">
        <f t="shared" si="4"/>
        <v/>
      </c>
    </row>
    <row r="303" spans="1:5" x14ac:dyDescent="0.25">
      <c r="A303">
        <v>302</v>
      </c>
      <c r="B303">
        <f>'4_3_pom'!G303</f>
        <v>0</v>
      </c>
      <c r="E303" t="str">
        <f t="shared" si="4"/>
        <v/>
      </c>
    </row>
    <row r="304" spans="1:5" x14ac:dyDescent="0.25">
      <c r="A304">
        <v>303</v>
      </c>
      <c r="B304">
        <f>'4_3_pom'!G304</f>
        <v>0</v>
      </c>
      <c r="E304" t="str">
        <f t="shared" si="4"/>
        <v/>
      </c>
    </row>
    <row r="305" spans="1:5" x14ac:dyDescent="0.25">
      <c r="A305">
        <v>304</v>
      </c>
      <c r="B305">
        <f>'4_3_pom'!G305</f>
        <v>0</v>
      </c>
      <c r="E305" t="str">
        <f t="shared" si="4"/>
        <v/>
      </c>
    </row>
    <row r="306" spans="1:5" x14ac:dyDescent="0.25">
      <c r="A306">
        <v>305</v>
      </c>
      <c r="B306">
        <f>'4_3_pom'!G306</f>
        <v>0</v>
      </c>
      <c r="E306" t="str">
        <f t="shared" si="4"/>
        <v/>
      </c>
    </row>
    <row r="307" spans="1:5" x14ac:dyDescent="0.25">
      <c r="A307">
        <v>306</v>
      </c>
      <c r="B307">
        <f>'4_3_pom'!G307</f>
        <v>0</v>
      </c>
      <c r="E307" t="str">
        <f t="shared" si="4"/>
        <v/>
      </c>
    </row>
    <row r="308" spans="1:5" x14ac:dyDescent="0.25">
      <c r="A308">
        <v>307</v>
      </c>
      <c r="B308">
        <f>'4_3_pom'!G308</f>
        <v>0</v>
      </c>
      <c r="E308" t="str">
        <f t="shared" si="4"/>
        <v/>
      </c>
    </row>
    <row r="309" spans="1:5" x14ac:dyDescent="0.25">
      <c r="A309">
        <v>308</v>
      </c>
      <c r="B309">
        <f>'4_3_pom'!G309</f>
        <v>0</v>
      </c>
      <c r="E309" t="str">
        <f t="shared" si="4"/>
        <v/>
      </c>
    </row>
    <row r="310" spans="1:5" x14ac:dyDescent="0.25">
      <c r="A310">
        <v>309</v>
      </c>
      <c r="B310">
        <f>'4_3_pom'!G310</f>
        <v>0</v>
      </c>
      <c r="E310" t="str">
        <f t="shared" si="4"/>
        <v/>
      </c>
    </row>
    <row r="311" spans="1:5" x14ac:dyDescent="0.25">
      <c r="A311">
        <v>310</v>
      </c>
      <c r="B311">
        <f>'4_3_pom'!G311</f>
        <v>0</v>
      </c>
      <c r="E311" t="str">
        <f t="shared" si="4"/>
        <v/>
      </c>
    </row>
    <row r="312" spans="1:5" x14ac:dyDescent="0.25">
      <c r="A312">
        <v>311</v>
      </c>
      <c r="B312">
        <f>'4_3_pom'!G312</f>
        <v>0</v>
      </c>
      <c r="E312" t="str">
        <f t="shared" si="4"/>
        <v/>
      </c>
    </row>
    <row r="313" spans="1:5" x14ac:dyDescent="0.25">
      <c r="A313">
        <v>312</v>
      </c>
      <c r="B313">
        <f>'4_3_pom'!G313</f>
        <v>0</v>
      </c>
      <c r="E313" t="str">
        <f t="shared" si="4"/>
        <v/>
      </c>
    </row>
    <row r="314" spans="1:5" x14ac:dyDescent="0.25">
      <c r="A314">
        <v>313</v>
      </c>
      <c r="B314">
        <f>'4_3_pom'!G314</f>
        <v>0</v>
      </c>
      <c r="E314" t="str">
        <f t="shared" si="4"/>
        <v/>
      </c>
    </row>
    <row r="315" spans="1:5" x14ac:dyDescent="0.25">
      <c r="A315">
        <v>314</v>
      </c>
      <c r="B315">
        <f>'4_3_pom'!G315</f>
        <v>0</v>
      </c>
      <c r="E315" t="str">
        <f t="shared" si="4"/>
        <v/>
      </c>
    </row>
    <row r="316" spans="1:5" x14ac:dyDescent="0.25">
      <c r="A316">
        <v>315</v>
      </c>
      <c r="B316">
        <f>'4_3_pom'!G316</f>
        <v>0</v>
      </c>
      <c r="E316" t="str">
        <f t="shared" si="4"/>
        <v/>
      </c>
    </row>
    <row r="317" spans="1:5" x14ac:dyDescent="0.25">
      <c r="A317">
        <v>316</v>
      </c>
      <c r="B317">
        <f>'4_3_pom'!G317</f>
        <v>0</v>
      </c>
      <c r="E317" t="str">
        <f t="shared" si="4"/>
        <v/>
      </c>
    </row>
    <row r="318" spans="1:5" x14ac:dyDescent="0.25">
      <c r="A318">
        <v>317</v>
      </c>
      <c r="B318">
        <f>'4_3_pom'!G318</f>
        <v>0</v>
      </c>
      <c r="E318" t="str">
        <f t="shared" si="4"/>
        <v/>
      </c>
    </row>
    <row r="319" spans="1:5" x14ac:dyDescent="0.25">
      <c r="A319">
        <v>318</v>
      </c>
      <c r="B319">
        <f>'4_3_pom'!G319</f>
        <v>0</v>
      </c>
      <c r="E319" t="str">
        <f t="shared" si="4"/>
        <v/>
      </c>
    </row>
    <row r="320" spans="1:5" x14ac:dyDescent="0.25">
      <c r="A320">
        <v>319</v>
      </c>
      <c r="B320">
        <f>'4_3_pom'!G320</f>
        <v>0</v>
      </c>
      <c r="E320" t="str">
        <f t="shared" si="4"/>
        <v/>
      </c>
    </row>
    <row r="321" spans="1:5" x14ac:dyDescent="0.25">
      <c r="A321">
        <v>320</v>
      </c>
      <c r="B321">
        <f>'4_3_pom'!G321</f>
        <v>0</v>
      </c>
      <c r="E321" t="str">
        <f t="shared" si="4"/>
        <v/>
      </c>
    </row>
    <row r="322" spans="1:5" x14ac:dyDescent="0.25">
      <c r="A322">
        <v>321</v>
      </c>
      <c r="B322">
        <f>'4_3_pom'!G322</f>
        <v>0</v>
      </c>
      <c r="E322" t="str">
        <f t="shared" si="4"/>
        <v/>
      </c>
    </row>
    <row r="323" spans="1:5" x14ac:dyDescent="0.25">
      <c r="A323">
        <v>322</v>
      </c>
      <c r="B323">
        <f>'4_3_pom'!G323</f>
        <v>0</v>
      </c>
      <c r="E323" t="str">
        <f t="shared" ref="E323:E386" si="5">IF(B323=1,A323,"")</f>
        <v/>
      </c>
    </row>
    <row r="324" spans="1:5" x14ac:dyDescent="0.25">
      <c r="A324">
        <v>323</v>
      </c>
      <c r="B324">
        <f>'4_3_pom'!G324</f>
        <v>0</v>
      </c>
      <c r="E324" t="str">
        <f t="shared" si="5"/>
        <v/>
      </c>
    </row>
    <row r="325" spans="1:5" x14ac:dyDescent="0.25">
      <c r="A325">
        <v>324</v>
      </c>
      <c r="B325">
        <f>'4_3_pom'!G325</f>
        <v>0</v>
      </c>
      <c r="E325" t="str">
        <f t="shared" si="5"/>
        <v/>
      </c>
    </row>
    <row r="326" spans="1:5" x14ac:dyDescent="0.25">
      <c r="A326">
        <v>325</v>
      </c>
      <c r="B326">
        <f>'4_3_pom'!G326</f>
        <v>0</v>
      </c>
      <c r="E326" t="str">
        <f t="shared" si="5"/>
        <v/>
      </c>
    </row>
    <row r="327" spans="1:5" x14ac:dyDescent="0.25">
      <c r="A327">
        <v>326</v>
      </c>
      <c r="B327">
        <f>'4_3_pom'!G327</f>
        <v>0</v>
      </c>
      <c r="E327" t="str">
        <f t="shared" si="5"/>
        <v/>
      </c>
    </row>
    <row r="328" spans="1:5" x14ac:dyDescent="0.25">
      <c r="A328">
        <v>327</v>
      </c>
      <c r="B328">
        <f>'4_3_pom'!G328</f>
        <v>0</v>
      </c>
      <c r="E328" t="str">
        <f t="shared" si="5"/>
        <v/>
      </c>
    </row>
    <row r="329" spans="1:5" x14ac:dyDescent="0.25">
      <c r="A329">
        <v>328</v>
      </c>
      <c r="B329">
        <f>'4_3_pom'!G329</f>
        <v>0</v>
      </c>
      <c r="E329" t="str">
        <f t="shared" si="5"/>
        <v/>
      </c>
    </row>
    <row r="330" spans="1:5" x14ac:dyDescent="0.25">
      <c r="A330">
        <v>329</v>
      </c>
      <c r="B330">
        <f>'4_3_pom'!G330</f>
        <v>0</v>
      </c>
      <c r="E330" t="str">
        <f t="shared" si="5"/>
        <v/>
      </c>
    </row>
    <row r="331" spans="1:5" x14ac:dyDescent="0.25">
      <c r="A331">
        <v>330</v>
      </c>
      <c r="B331">
        <f>'4_3_pom'!G331</f>
        <v>0</v>
      </c>
      <c r="E331" t="str">
        <f t="shared" si="5"/>
        <v/>
      </c>
    </row>
    <row r="332" spans="1:5" x14ac:dyDescent="0.25">
      <c r="A332">
        <v>331</v>
      </c>
      <c r="B332">
        <f>'4_3_pom'!G332</f>
        <v>0</v>
      </c>
      <c r="E332" t="str">
        <f t="shared" si="5"/>
        <v/>
      </c>
    </row>
    <row r="333" spans="1:5" x14ac:dyDescent="0.25">
      <c r="A333">
        <v>332</v>
      </c>
      <c r="B333">
        <f>'4_3_pom'!G333</f>
        <v>0</v>
      </c>
      <c r="E333" t="str">
        <f t="shared" si="5"/>
        <v/>
      </c>
    </row>
    <row r="334" spans="1:5" x14ac:dyDescent="0.25">
      <c r="A334">
        <v>333</v>
      </c>
      <c r="B334">
        <f>'4_3_pom'!G334</f>
        <v>0</v>
      </c>
      <c r="E334" t="str">
        <f t="shared" si="5"/>
        <v/>
      </c>
    </row>
    <row r="335" spans="1:5" x14ac:dyDescent="0.25">
      <c r="A335">
        <v>334</v>
      </c>
      <c r="B335">
        <f>'4_3_pom'!G335</f>
        <v>0</v>
      </c>
      <c r="E335" t="str">
        <f t="shared" si="5"/>
        <v/>
      </c>
    </row>
    <row r="336" spans="1:5" x14ac:dyDescent="0.25">
      <c r="A336">
        <v>335</v>
      </c>
      <c r="B336">
        <f>'4_3_pom'!G336</f>
        <v>0</v>
      </c>
      <c r="E336" t="str">
        <f t="shared" si="5"/>
        <v/>
      </c>
    </row>
    <row r="337" spans="1:5" x14ac:dyDescent="0.25">
      <c r="A337">
        <v>336</v>
      </c>
      <c r="B337">
        <f>'4_3_pom'!G337</f>
        <v>0</v>
      </c>
      <c r="E337" t="str">
        <f t="shared" si="5"/>
        <v/>
      </c>
    </row>
    <row r="338" spans="1:5" x14ac:dyDescent="0.25">
      <c r="A338">
        <v>337</v>
      </c>
      <c r="B338">
        <f>'4_3_pom'!G338</f>
        <v>0</v>
      </c>
      <c r="E338" t="str">
        <f t="shared" si="5"/>
        <v/>
      </c>
    </row>
    <row r="339" spans="1:5" x14ac:dyDescent="0.25">
      <c r="A339">
        <v>338</v>
      </c>
      <c r="B339">
        <f>'4_3_pom'!G339</f>
        <v>0</v>
      </c>
      <c r="E339" t="str">
        <f t="shared" si="5"/>
        <v/>
      </c>
    </row>
    <row r="340" spans="1:5" x14ac:dyDescent="0.25">
      <c r="A340">
        <v>339</v>
      </c>
      <c r="B340">
        <f>'4_3_pom'!G340</f>
        <v>0</v>
      </c>
      <c r="E340" t="str">
        <f t="shared" si="5"/>
        <v/>
      </c>
    </row>
    <row r="341" spans="1:5" x14ac:dyDescent="0.25">
      <c r="A341">
        <v>340</v>
      </c>
      <c r="B341">
        <f>'4_3_pom'!G341</f>
        <v>0</v>
      </c>
      <c r="E341" t="str">
        <f t="shared" si="5"/>
        <v/>
      </c>
    </row>
    <row r="342" spans="1:5" x14ac:dyDescent="0.25">
      <c r="A342">
        <v>341</v>
      </c>
      <c r="B342">
        <f>'4_3_pom'!G342</f>
        <v>0</v>
      </c>
      <c r="E342" t="str">
        <f t="shared" si="5"/>
        <v/>
      </c>
    </row>
    <row r="343" spans="1:5" x14ac:dyDescent="0.25">
      <c r="A343">
        <v>342</v>
      </c>
      <c r="B343">
        <f>'4_3_pom'!G343</f>
        <v>0</v>
      </c>
      <c r="E343" t="str">
        <f t="shared" si="5"/>
        <v/>
      </c>
    </row>
    <row r="344" spans="1:5" x14ac:dyDescent="0.25">
      <c r="A344">
        <v>343</v>
      </c>
      <c r="B344">
        <f>'4_3_pom'!G344</f>
        <v>0</v>
      </c>
      <c r="E344" t="str">
        <f t="shared" si="5"/>
        <v/>
      </c>
    </row>
    <row r="345" spans="1:5" x14ac:dyDescent="0.25">
      <c r="A345">
        <v>344</v>
      </c>
      <c r="B345">
        <f>'4_3_pom'!G345</f>
        <v>0</v>
      </c>
      <c r="E345" t="str">
        <f t="shared" si="5"/>
        <v/>
      </c>
    </row>
    <row r="346" spans="1:5" x14ac:dyDescent="0.25">
      <c r="A346">
        <v>345</v>
      </c>
      <c r="B346">
        <f>'4_3_pom'!G346</f>
        <v>0</v>
      </c>
      <c r="E346" t="str">
        <f t="shared" si="5"/>
        <v/>
      </c>
    </row>
    <row r="347" spans="1:5" x14ac:dyDescent="0.25">
      <c r="A347">
        <v>346</v>
      </c>
      <c r="B347">
        <f>'4_3_pom'!G347</f>
        <v>0</v>
      </c>
      <c r="E347" t="str">
        <f t="shared" si="5"/>
        <v/>
      </c>
    </row>
    <row r="348" spans="1:5" x14ac:dyDescent="0.25">
      <c r="A348">
        <v>347</v>
      </c>
      <c r="B348">
        <f>'4_3_pom'!G348</f>
        <v>0</v>
      </c>
      <c r="E348" t="str">
        <f t="shared" si="5"/>
        <v/>
      </c>
    </row>
    <row r="349" spans="1:5" x14ac:dyDescent="0.25">
      <c r="A349">
        <v>348</v>
      </c>
      <c r="B349">
        <f>'4_3_pom'!G349</f>
        <v>0</v>
      </c>
      <c r="E349" t="str">
        <f t="shared" si="5"/>
        <v/>
      </c>
    </row>
    <row r="350" spans="1:5" x14ac:dyDescent="0.25">
      <c r="A350">
        <v>349</v>
      </c>
      <c r="B350">
        <f>'4_3_pom'!G350</f>
        <v>0</v>
      </c>
      <c r="E350" t="str">
        <f t="shared" si="5"/>
        <v/>
      </c>
    </row>
    <row r="351" spans="1:5" x14ac:dyDescent="0.25">
      <c r="A351">
        <v>350</v>
      </c>
      <c r="B351">
        <f>'4_3_pom'!G351</f>
        <v>0</v>
      </c>
      <c r="E351" t="str">
        <f t="shared" si="5"/>
        <v/>
      </c>
    </row>
    <row r="352" spans="1:5" x14ac:dyDescent="0.25">
      <c r="A352">
        <v>351</v>
      </c>
      <c r="B352">
        <f>'4_3_pom'!G352</f>
        <v>0</v>
      </c>
      <c r="E352" t="str">
        <f t="shared" si="5"/>
        <v/>
      </c>
    </row>
    <row r="353" spans="1:5" x14ac:dyDescent="0.25">
      <c r="A353">
        <v>352</v>
      </c>
      <c r="B353">
        <f>'4_3_pom'!G353</f>
        <v>0</v>
      </c>
      <c r="E353" t="str">
        <f t="shared" si="5"/>
        <v/>
      </c>
    </row>
    <row r="354" spans="1:5" x14ac:dyDescent="0.25">
      <c r="A354">
        <v>353</v>
      </c>
      <c r="B354">
        <f>'4_3_pom'!G354</f>
        <v>0</v>
      </c>
      <c r="E354" t="str">
        <f t="shared" si="5"/>
        <v/>
      </c>
    </row>
    <row r="355" spans="1:5" x14ac:dyDescent="0.25">
      <c r="A355">
        <v>354</v>
      </c>
      <c r="B355">
        <f>'4_3_pom'!G355</f>
        <v>0</v>
      </c>
      <c r="E355" t="str">
        <f t="shared" si="5"/>
        <v/>
      </c>
    </row>
    <row r="356" spans="1:5" x14ac:dyDescent="0.25">
      <c r="A356">
        <v>355</v>
      </c>
      <c r="B356">
        <f>'4_3_pom'!G356</f>
        <v>0</v>
      </c>
      <c r="E356" t="str">
        <f t="shared" si="5"/>
        <v/>
      </c>
    </row>
    <row r="357" spans="1:5" x14ac:dyDescent="0.25">
      <c r="A357">
        <v>356</v>
      </c>
      <c r="B357">
        <f>'4_3_pom'!G357</f>
        <v>0</v>
      </c>
      <c r="E357" t="str">
        <f t="shared" si="5"/>
        <v/>
      </c>
    </row>
    <row r="358" spans="1:5" x14ac:dyDescent="0.25">
      <c r="A358">
        <v>357</v>
      </c>
      <c r="B358">
        <f>'4_3_pom'!G358</f>
        <v>0</v>
      </c>
      <c r="E358" t="str">
        <f t="shared" si="5"/>
        <v/>
      </c>
    </row>
    <row r="359" spans="1:5" x14ac:dyDescent="0.25">
      <c r="A359">
        <v>358</v>
      </c>
      <c r="B359">
        <f>'4_3_pom'!G359</f>
        <v>0</v>
      </c>
      <c r="E359" t="str">
        <f t="shared" si="5"/>
        <v/>
      </c>
    </row>
    <row r="360" spans="1:5" x14ac:dyDescent="0.25">
      <c r="A360">
        <v>359</v>
      </c>
      <c r="B360">
        <f>'4_3_pom'!G360</f>
        <v>0</v>
      </c>
      <c r="E360" t="str">
        <f t="shared" si="5"/>
        <v/>
      </c>
    </row>
    <row r="361" spans="1:5" x14ac:dyDescent="0.25">
      <c r="A361">
        <v>360</v>
      </c>
      <c r="B361">
        <f>'4_3_pom'!G361</f>
        <v>0</v>
      </c>
      <c r="E361" t="str">
        <f t="shared" si="5"/>
        <v/>
      </c>
    </row>
    <row r="362" spans="1:5" x14ac:dyDescent="0.25">
      <c r="A362">
        <v>361</v>
      </c>
      <c r="B362">
        <f>'4_3_pom'!G362</f>
        <v>0</v>
      </c>
      <c r="E362" t="str">
        <f t="shared" si="5"/>
        <v/>
      </c>
    </row>
    <row r="363" spans="1:5" x14ac:dyDescent="0.25">
      <c r="A363">
        <v>362</v>
      </c>
      <c r="B363">
        <f>'4_3_pom'!G363</f>
        <v>0</v>
      </c>
      <c r="E363" t="str">
        <f t="shared" si="5"/>
        <v/>
      </c>
    </row>
    <row r="364" spans="1:5" x14ac:dyDescent="0.25">
      <c r="A364">
        <v>363</v>
      </c>
      <c r="B364">
        <f>'4_3_pom'!G364</f>
        <v>0</v>
      </c>
      <c r="E364" t="str">
        <f t="shared" si="5"/>
        <v/>
      </c>
    </row>
    <row r="365" spans="1:5" x14ac:dyDescent="0.25">
      <c r="A365">
        <v>364</v>
      </c>
      <c r="B365">
        <f>'4_3_pom'!G365</f>
        <v>0</v>
      </c>
      <c r="E365" t="str">
        <f t="shared" si="5"/>
        <v/>
      </c>
    </row>
    <row r="366" spans="1:5" x14ac:dyDescent="0.25">
      <c r="A366">
        <v>365</v>
      </c>
      <c r="B366">
        <f>'4_3_pom'!G366</f>
        <v>0</v>
      </c>
      <c r="E366" t="str">
        <f t="shared" si="5"/>
        <v/>
      </c>
    </row>
    <row r="367" spans="1:5" x14ac:dyDescent="0.25">
      <c r="A367">
        <v>366</v>
      </c>
      <c r="B367">
        <f>'4_3_pom'!G367</f>
        <v>0</v>
      </c>
      <c r="E367" t="str">
        <f t="shared" si="5"/>
        <v/>
      </c>
    </row>
    <row r="368" spans="1:5" x14ac:dyDescent="0.25">
      <c r="A368">
        <v>367</v>
      </c>
      <c r="B368">
        <f>'4_3_pom'!G368</f>
        <v>0</v>
      </c>
      <c r="E368" t="str">
        <f t="shared" si="5"/>
        <v/>
      </c>
    </row>
    <row r="369" spans="1:5" x14ac:dyDescent="0.25">
      <c r="A369">
        <v>368</v>
      </c>
      <c r="B369">
        <f>'4_3_pom'!G369</f>
        <v>0</v>
      </c>
      <c r="E369" t="str">
        <f t="shared" si="5"/>
        <v/>
      </c>
    </row>
    <row r="370" spans="1:5" x14ac:dyDescent="0.25">
      <c r="A370">
        <v>369</v>
      </c>
      <c r="B370">
        <f>'4_3_pom'!G370</f>
        <v>0</v>
      </c>
      <c r="E370" t="str">
        <f t="shared" si="5"/>
        <v/>
      </c>
    </row>
    <row r="371" spans="1:5" x14ac:dyDescent="0.25">
      <c r="A371">
        <v>370</v>
      </c>
      <c r="B371">
        <f>'4_3_pom'!G371</f>
        <v>0</v>
      </c>
      <c r="E371" t="str">
        <f t="shared" si="5"/>
        <v/>
      </c>
    </row>
    <row r="372" spans="1:5" x14ac:dyDescent="0.25">
      <c r="A372">
        <v>371</v>
      </c>
      <c r="B372">
        <f>'4_3_pom'!G372</f>
        <v>0</v>
      </c>
      <c r="E372" t="str">
        <f t="shared" si="5"/>
        <v/>
      </c>
    </row>
    <row r="373" spans="1:5" x14ac:dyDescent="0.25">
      <c r="A373">
        <v>372</v>
      </c>
      <c r="B373">
        <f>'4_3_pom'!G373</f>
        <v>0</v>
      </c>
      <c r="E373" t="str">
        <f t="shared" si="5"/>
        <v/>
      </c>
    </row>
    <row r="374" spans="1:5" x14ac:dyDescent="0.25">
      <c r="A374">
        <v>373</v>
      </c>
      <c r="B374">
        <f>'4_3_pom'!G374</f>
        <v>0</v>
      </c>
      <c r="E374" t="str">
        <f t="shared" si="5"/>
        <v/>
      </c>
    </row>
    <row r="375" spans="1:5" x14ac:dyDescent="0.25">
      <c r="A375">
        <v>374</v>
      </c>
      <c r="B375">
        <f>'4_3_pom'!G375</f>
        <v>0</v>
      </c>
      <c r="E375" t="str">
        <f t="shared" si="5"/>
        <v/>
      </c>
    </row>
    <row r="376" spans="1:5" x14ac:dyDescent="0.25">
      <c r="A376">
        <v>375</v>
      </c>
      <c r="B376">
        <f>'4_3_pom'!G376</f>
        <v>0</v>
      </c>
      <c r="E376" t="str">
        <f t="shared" si="5"/>
        <v/>
      </c>
    </row>
    <row r="377" spans="1:5" x14ac:dyDescent="0.25">
      <c r="A377">
        <v>376</v>
      </c>
      <c r="B377">
        <f>'4_3_pom'!G377</f>
        <v>0</v>
      </c>
      <c r="E377" t="str">
        <f t="shared" si="5"/>
        <v/>
      </c>
    </row>
    <row r="378" spans="1:5" x14ac:dyDescent="0.25">
      <c r="A378">
        <v>377</v>
      </c>
      <c r="B378">
        <f>'4_3_pom'!G378</f>
        <v>0</v>
      </c>
      <c r="E378" t="str">
        <f t="shared" si="5"/>
        <v/>
      </c>
    </row>
    <row r="379" spans="1:5" x14ac:dyDescent="0.25">
      <c r="A379">
        <v>378</v>
      </c>
      <c r="B379">
        <f>'4_3_pom'!G379</f>
        <v>0</v>
      </c>
      <c r="E379" t="str">
        <f t="shared" si="5"/>
        <v/>
      </c>
    </row>
    <row r="380" spans="1:5" x14ac:dyDescent="0.25">
      <c r="A380">
        <v>379</v>
      </c>
      <c r="B380">
        <f>'4_3_pom'!G380</f>
        <v>0</v>
      </c>
      <c r="E380" t="str">
        <f t="shared" si="5"/>
        <v/>
      </c>
    </row>
    <row r="381" spans="1:5" x14ac:dyDescent="0.25">
      <c r="A381">
        <v>380</v>
      </c>
      <c r="B381">
        <f>'4_3_pom'!G381</f>
        <v>0</v>
      </c>
      <c r="E381" t="str">
        <f t="shared" si="5"/>
        <v/>
      </c>
    </row>
    <row r="382" spans="1:5" x14ac:dyDescent="0.25">
      <c r="A382">
        <v>381</v>
      </c>
      <c r="B382">
        <f>'4_3_pom'!G382</f>
        <v>0</v>
      </c>
      <c r="E382" t="str">
        <f t="shared" si="5"/>
        <v/>
      </c>
    </row>
    <row r="383" spans="1:5" x14ac:dyDescent="0.25">
      <c r="A383">
        <v>382</v>
      </c>
      <c r="B383">
        <f>'4_3_pom'!G383</f>
        <v>0</v>
      </c>
      <c r="E383" t="str">
        <f t="shared" si="5"/>
        <v/>
      </c>
    </row>
    <row r="384" spans="1:5" x14ac:dyDescent="0.25">
      <c r="A384">
        <v>383</v>
      </c>
      <c r="B384">
        <f>'4_3_pom'!G384</f>
        <v>0</v>
      </c>
      <c r="E384" t="str">
        <f t="shared" si="5"/>
        <v/>
      </c>
    </row>
    <row r="385" spans="1:5" x14ac:dyDescent="0.25">
      <c r="A385">
        <v>384</v>
      </c>
      <c r="B385">
        <f>'4_3_pom'!G385</f>
        <v>0</v>
      </c>
      <c r="E385" t="str">
        <f t="shared" si="5"/>
        <v/>
      </c>
    </row>
    <row r="386" spans="1:5" x14ac:dyDescent="0.25">
      <c r="A386">
        <v>385</v>
      </c>
      <c r="B386">
        <f>'4_3_pom'!G386</f>
        <v>0</v>
      </c>
      <c r="E386" t="str">
        <f t="shared" si="5"/>
        <v/>
      </c>
    </row>
    <row r="387" spans="1:5" x14ac:dyDescent="0.25">
      <c r="A387">
        <v>386</v>
      </c>
      <c r="B387">
        <f>'4_3_pom'!G387</f>
        <v>0</v>
      </c>
      <c r="E387" t="str">
        <f t="shared" ref="E387:E450" si="6">IF(B387=1,A387,"")</f>
        <v/>
      </c>
    </row>
    <row r="388" spans="1:5" x14ac:dyDescent="0.25">
      <c r="A388">
        <v>387</v>
      </c>
      <c r="B388">
        <f>'4_3_pom'!G388</f>
        <v>0</v>
      </c>
      <c r="E388" t="str">
        <f t="shared" si="6"/>
        <v/>
      </c>
    </row>
    <row r="389" spans="1:5" x14ac:dyDescent="0.25">
      <c r="A389">
        <v>388</v>
      </c>
      <c r="B389">
        <f>'4_3_pom'!G389</f>
        <v>0</v>
      </c>
      <c r="E389" t="str">
        <f t="shared" si="6"/>
        <v/>
      </c>
    </row>
    <row r="390" spans="1:5" x14ac:dyDescent="0.25">
      <c r="A390">
        <v>389</v>
      </c>
      <c r="B390">
        <f>'4_3_pom'!G390</f>
        <v>0</v>
      </c>
      <c r="E390" t="str">
        <f t="shared" si="6"/>
        <v/>
      </c>
    </row>
    <row r="391" spans="1:5" x14ac:dyDescent="0.25">
      <c r="A391">
        <v>390</v>
      </c>
      <c r="B391">
        <f>'4_3_pom'!G391</f>
        <v>0</v>
      </c>
      <c r="E391" t="str">
        <f t="shared" si="6"/>
        <v/>
      </c>
    </row>
    <row r="392" spans="1:5" x14ac:dyDescent="0.25">
      <c r="A392">
        <v>391</v>
      </c>
      <c r="B392">
        <f>'4_3_pom'!G392</f>
        <v>0</v>
      </c>
      <c r="E392" t="str">
        <f t="shared" si="6"/>
        <v/>
      </c>
    </row>
    <row r="393" spans="1:5" x14ac:dyDescent="0.25">
      <c r="A393">
        <v>392</v>
      </c>
      <c r="B393">
        <f>'4_3_pom'!G393</f>
        <v>0</v>
      </c>
      <c r="E393" t="str">
        <f t="shared" si="6"/>
        <v/>
      </c>
    </row>
    <row r="394" spans="1:5" x14ac:dyDescent="0.25">
      <c r="A394">
        <v>393</v>
      </c>
      <c r="B394">
        <f>'4_3_pom'!G394</f>
        <v>0</v>
      </c>
      <c r="E394" t="str">
        <f t="shared" si="6"/>
        <v/>
      </c>
    </row>
    <row r="395" spans="1:5" x14ac:dyDescent="0.25">
      <c r="A395">
        <v>394</v>
      </c>
      <c r="B395">
        <f>'4_3_pom'!G395</f>
        <v>0</v>
      </c>
      <c r="E395" t="str">
        <f t="shared" si="6"/>
        <v/>
      </c>
    </row>
    <row r="396" spans="1:5" x14ac:dyDescent="0.25">
      <c r="A396">
        <v>395</v>
      </c>
      <c r="B396">
        <f>'4_3_pom'!G396</f>
        <v>0</v>
      </c>
      <c r="E396" t="str">
        <f t="shared" si="6"/>
        <v/>
      </c>
    </row>
    <row r="397" spans="1:5" x14ac:dyDescent="0.25">
      <c r="A397">
        <v>396</v>
      </c>
      <c r="B397">
        <f>'4_3_pom'!G397</f>
        <v>0</v>
      </c>
      <c r="E397" t="str">
        <f t="shared" si="6"/>
        <v/>
      </c>
    </row>
    <row r="398" spans="1:5" x14ac:dyDescent="0.25">
      <c r="A398">
        <v>397</v>
      </c>
      <c r="B398">
        <f>'4_3_pom'!G398</f>
        <v>0</v>
      </c>
      <c r="E398" t="str">
        <f t="shared" si="6"/>
        <v/>
      </c>
    </row>
    <row r="399" spans="1:5" x14ac:dyDescent="0.25">
      <c r="A399">
        <v>398</v>
      </c>
      <c r="B399">
        <f>'4_3_pom'!G399</f>
        <v>0</v>
      </c>
      <c r="E399" t="str">
        <f t="shared" si="6"/>
        <v/>
      </c>
    </row>
    <row r="400" spans="1:5" x14ac:dyDescent="0.25">
      <c r="A400">
        <v>399</v>
      </c>
      <c r="B400">
        <f>'4_3_pom'!G400</f>
        <v>0</v>
      </c>
      <c r="E400" t="str">
        <f t="shared" si="6"/>
        <v/>
      </c>
    </row>
    <row r="401" spans="1:5" x14ac:dyDescent="0.25">
      <c r="A401">
        <v>400</v>
      </c>
      <c r="B401">
        <f>'4_3_pom'!G401</f>
        <v>0</v>
      </c>
      <c r="E401" t="str">
        <f t="shared" si="6"/>
        <v/>
      </c>
    </row>
    <row r="402" spans="1:5" x14ac:dyDescent="0.25">
      <c r="A402">
        <v>401</v>
      </c>
      <c r="B402">
        <f>'4_3_pom'!G402</f>
        <v>0</v>
      </c>
      <c r="E402" t="str">
        <f t="shared" si="6"/>
        <v/>
      </c>
    </row>
    <row r="403" spans="1:5" x14ac:dyDescent="0.25">
      <c r="A403">
        <v>402</v>
      </c>
      <c r="B403">
        <f>'4_3_pom'!G403</f>
        <v>0</v>
      </c>
      <c r="E403" t="str">
        <f t="shared" si="6"/>
        <v/>
      </c>
    </row>
    <row r="404" spans="1:5" x14ac:dyDescent="0.25">
      <c r="A404">
        <v>403</v>
      </c>
      <c r="B404">
        <f>'4_3_pom'!G404</f>
        <v>0</v>
      </c>
      <c r="E404" t="str">
        <f t="shared" si="6"/>
        <v/>
      </c>
    </row>
    <row r="405" spans="1:5" x14ac:dyDescent="0.25">
      <c r="A405">
        <v>404</v>
      </c>
      <c r="B405">
        <f>'4_3_pom'!G405</f>
        <v>0</v>
      </c>
      <c r="E405" t="str">
        <f t="shared" si="6"/>
        <v/>
      </c>
    </row>
    <row r="406" spans="1:5" x14ac:dyDescent="0.25">
      <c r="A406">
        <v>405</v>
      </c>
      <c r="B406">
        <f>'4_3_pom'!G406</f>
        <v>0</v>
      </c>
      <c r="E406" t="str">
        <f t="shared" si="6"/>
        <v/>
      </c>
    </row>
    <row r="407" spans="1:5" x14ac:dyDescent="0.25">
      <c r="A407">
        <v>406</v>
      </c>
      <c r="B407">
        <f>'4_3_pom'!G407</f>
        <v>0</v>
      </c>
      <c r="E407" t="str">
        <f t="shared" si="6"/>
        <v/>
      </c>
    </row>
    <row r="408" spans="1:5" x14ac:dyDescent="0.25">
      <c r="A408">
        <v>407</v>
      </c>
      <c r="B408">
        <f>'4_3_pom'!G408</f>
        <v>0</v>
      </c>
      <c r="E408" t="str">
        <f t="shared" si="6"/>
        <v/>
      </c>
    </row>
    <row r="409" spans="1:5" x14ac:dyDescent="0.25">
      <c r="A409">
        <v>408</v>
      </c>
      <c r="B409">
        <f>'4_3_pom'!G409</f>
        <v>0</v>
      </c>
      <c r="E409" t="str">
        <f t="shared" si="6"/>
        <v/>
      </c>
    </row>
    <row r="410" spans="1:5" x14ac:dyDescent="0.25">
      <c r="A410">
        <v>409</v>
      </c>
      <c r="B410">
        <f>'4_3_pom'!G410</f>
        <v>0</v>
      </c>
      <c r="E410" t="str">
        <f t="shared" si="6"/>
        <v/>
      </c>
    </row>
    <row r="411" spans="1:5" x14ac:dyDescent="0.25">
      <c r="A411">
        <v>410</v>
      </c>
      <c r="B411">
        <f>'4_3_pom'!G411</f>
        <v>0</v>
      </c>
      <c r="E411" t="str">
        <f t="shared" si="6"/>
        <v/>
      </c>
    </row>
    <row r="412" spans="1:5" x14ac:dyDescent="0.25">
      <c r="A412">
        <v>411</v>
      </c>
      <c r="B412">
        <f>'4_3_pom'!G412</f>
        <v>0</v>
      </c>
      <c r="E412" t="str">
        <f t="shared" si="6"/>
        <v/>
      </c>
    </row>
    <row r="413" spans="1:5" x14ac:dyDescent="0.25">
      <c r="A413">
        <v>412</v>
      </c>
      <c r="B413">
        <f>'4_3_pom'!G413</f>
        <v>0</v>
      </c>
      <c r="E413" t="str">
        <f t="shared" si="6"/>
        <v/>
      </c>
    </row>
    <row r="414" spans="1:5" x14ac:dyDescent="0.25">
      <c r="A414">
        <v>413</v>
      </c>
      <c r="B414">
        <f>'4_3_pom'!G414</f>
        <v>0</v>
      </c>
      <c r="E414" t="str">
        <f t="shared" si="6"/>
        <v/>
      </c>
    </row>
    <row r="415" spans="1:5" x14ac:dyDescent="0.25">
      <c r="A415">
        <v>414</v>
      </c>
      <c r="B415">
        <f>'4_3_pom'!G415</f>
        <v>0</v>
      </c>
      <c r="E415" t="str">
        <f t="shared" si="6"/>
        <v/>
      </c>
    </row>
    <row r="416" spans="1:5" x14ac:dyDescent="0.25">
      <c r="A416">
        <v>415</v>
      </c>
      <c r="B416">
        <f>'4_3_pom'!G416</f>
        <v>0</v>
      </c>
      <c r="E416" t="str">
        <f t="shared" si="6"/>
        <v/>
      </c>
    </row>
    <row r="417" spans="1:5" x14ac:dyDescent="0.25">
      <c r="A417">
        <v>416</v>
      </c>
      <c r="B417">
        <f>'4_3_pom'!G417</f>
        <v>0</v>
      </c>
      <c r="E417" t="str">
        <f t="shared" si="6"/>
        <v/>
      </c>
    </row>
    <row r="418" spans="1:5" x14ac:dyDescent="0.25">
      <c r="A418">
        <v>417</v>
      </c>
      <c r="B418">
        <f>'4_3_pom'!G418</f>
        <v>0</v>
      </c>
      <c r="E418" t="str">
        <f t="shared" si="6"/>
        <v/>
      </c>
    </row>
    <row r="419" spans="1:5" x14ac:dyDescent="0.25">
      <c r="A419">
        <v>418</v>
      </c>
      <c r="B419">
        <f>'4_3_pom'!G419</f>
        <v>0</v>
      </c>
      <c r="E419" t="str">
        <f t="shared" si="6"/>
        <v/>
      </c>
    </row>
    <row r="420" spans="1:5" x14ac:dyDescent="0.25">
      <c r="A420">
        <v>419</v>
      </c>
      <c r="B420">
        <f>'4_3_pom'!G420</f>
        <v>0</v>
      </c>
      <c r="E420" t="str">
        <f t="shared" si="6"/>
        <v/>
      </c>
    </row>
    <row r="421" spans="1:5" x14ac:dyDescent="0.25">
      <c r="A421">
        <v>420</v>
      </c>
      <c r="B421">
        <f>'4_3_pom'!G421</f>
        <v>0</v>
      </c>
      <c r="E421" t="str">
        <f t="shared" si="6"/>
        <v/>
      </c>
    </row>
    <row r="422" spans="1:5" x14ac:dyDescent="0.25">
      <c r="A422">
        <v>421</v>
      </c>
      <c r="B422">
        <f>'4_3_pom'!G422</f>
        <v>0</v>
      </c>
      <c r="E422" t="str">
        <f t="shared" si="6"/>
        <v/>
      </c>
    </row>
    <row r="423" spans="1:5" x14ac:dyDescent="0.25">
      <c r="A423">
        <v>422</v>
      </c>
      <c r="B423">
        <f>'4_3_pom'!G423</f>
        <v>0</v>
      </c>
      <c r="E423" t="str">
        <f t="shared" si="6"/>
        <v/>
      </c>
    </row>
    <row r="424" spans="1:5" x14ac:dyDescent="0.25">
      <c r="A424">
        <v>423</v>
      </c>
      <c r="B424">
        <f>'4_3_pom'!G424</f>
        <v>0</v>
      </c>
      <c r="E424" t="str">
        <f t="shared" si="6"/>
        <v/>
      </c>
    </row>
    <row r="425" spans="1:5" x14ac:dyDescent="0.25">
      <c r="A425">
        <v>424</v>
      </c>
      <c r="B425">
        <f>'4_3_pom'!G425</f>
        <v>0</v>
      </c>
      <c r="E425" t="str">
        <f t="shared" si="6"/>
        <v/>
      </c>
    </row>
    <row r="426" spans="1:5" x14ac:dyDescent="0.25">
      <c r="A426">
        <v>425</v>
      </c>
      <c r="B426">
        <f>'4_3_pom'!G426</f>
        <v>0</v>
      </c>
      <c r="E426" t="str">
        <f t="shared" si="6"/>
        <v/>
      </c>
    </row>
    <row r="427" spans="1:5" x14ac:dyDescent="0.25">
      <c r="A427">
        <v>426</v>
      </c>
      <c r="B427">
        <f>'4_3_pom'!G427</f>
        <v>0</v>
      </c>
      <c r="E427" t="str">
        <f t="shared" si="6"/>
        <v/>
      </c>
    </row>
    <row r="428" spans="1:5" x14ac:dyDescent="0.25">
      <c r="A428">
        <v>427</v>
      </c>
      <c r="B428">
        <f>'4_3_pom'!G428</f>
        <v>0</v>
      </c>
      <c r="E428" t="str">
        <f t="shared" si="6"/>
        <v/>
      </c>
    </row>
    <row r="429" spans="1:5" x14ac:dyDescent="0.25">
      <c r="A429">
        <v>428</v>
      </c>
      <c r="B429">
        <f>'4_3_pom'!G429</f>
        <v>0</v>
      </c>
      <c r="E429" t="str">
        <f t="shared" si="6"/>
        <v/>
      </c>
    </row>
    <row r="430" spans="1:5" x14ac:dyDescent="0.25">
      <c r="A430">
        <v>429</v>
      </c>
      <c r="B430">
        <f>'4_3_pom'!G430</f>
        <v>0</v>
      </c>
      <c r="E430" t="str">
        <f t="shared" si="6"/>
        <v/>
      </c>
    </row>
    <row r="431" spans="1:5" x14ac:dyDescent="0.25">
      <c r="A431">
        <v>430</v>
      </c>
      <c r="B431">
        <f>'4_3_pom'!G431</f>
        <v>0</v>
      </c>
      <c r="E431" t="str">
        <f t="shared" si="6"/>
        <v/>
      </c>
    </row>
    <row r="432" spans="1:5" x14ac:dyDescent="0.25">
      <c r="A432">
        <v>431</v>
      </c>
      <c r="B432">
        <f>'4_3_pom'!G432</f>
        <v>0</v>
      </c>
      <c r="E432" t="str">
        <f t="shared" si="6"/>
        <v/>
      </c>
    </row>
    <row r="433" spans="1:5" x14ac:dyDescent="0.25">
      <c r="A433">
        <v>432</v>
      </c>
      <c r="B433">
        <f>'4_3_pom'!G433</f>
        <v>0</v>
      </c>
      <c r="E433" t="str">
        <f t="shared" si="6"/>
        <v/>
      </c>
    </row>
    <row r="434" spans="1:5" x14ac:dyDescent="0.25">
      <c r="A434">
        <v>433</v>
      </c>
      <c r="B434">
        <f>'4_3_pom'!G434</f>
        <v>0</v>
      </c>
      <c r="E434" t="str">
        <f t="shared" si="6"/>
        <v/>
      </c>
    </row>
    <row r="435" spans="1:5" x14ac:dyDescent="0.25">
      <c r="A435">
        <v>434</v>
      </c>
      <c r="B435">
        <f>'4_3_pom'!G435</f>
        <v>0</v>
      </c>
      <c r="E435" t="str">
        <f t="shared" si="6"/>
        <v/>
      </c>
    </row>
    <row r="436" spans="1:5" x14ac:dyDescent="0.25">
      <c r="A436">
        <v>435</v>
      </c>
      <c r="B436">
        <f>'4_3_pom'!G436</f>
        <v>0</v>
      </c>
      <c r="E436" t="str">
        <f t="shared" si="6"/>
        <v/>
      </c>
    </row>
    <row r="437" spans="1:5" x14ac:dyDescent="0.25">
      <c r="A437">
        <v>436</v>
      </c>
      <c r="B437">
        <f>'4_3_pom'!G437</f>
        <v>0</v>
      </c>
      <c r="E437" t="str">
        <f t="shared" si="6"/>
        <v/>
      </c>
    </row>
    <row r="438" spans="1:5" x14ac:dyDescent="0.25">
      <c r="A438">
        <v>437</v>
      </c>
      <c r="B438">
        <f>'4_3_pom'!G438</f>
        <v>0</v>
      </c>
      <c r="E438" t="str">
        <f t="shared" si="6"/>
        <v/>
      </c>
    </row>
    <row r="439" spans="1:5" x14ac:dyDescent="0.25">
      <c r="A439">
        <v>438</v>
      </c>
      <c r="B439">
        <f>'4_3_pom'!G439</f>
        <v>0</v>
      </c>
      <c r="E439" t="str">
        <f t="shared" si="6"/>
        <v/>
      </c>
    </row>
    <row r="440" spans="1:5" x14ac:dyDescent="0.25">
      <c r="A440">
        <v>439</v>
      </c>
      <c r="B440">
        <f>'4_3_pom'!G440</f>
        <v>0</v>
      </c>
      <c r="E440" t="str">
        <f t="shared" si="6"/>
        <v/>
      </c>
    </row>
    <row r="441" spans="1:5" x14ac:dyDescent="0.25">
      <c r="A441">
        <v>440</v>
      </c>
      <c r="B441">
        <f>'4_3_pom'!G441</f>
        <v>0</v>
      </c>
      <c r="E441" t="str">
        <f t="shared" si="6"/>
        <v/>
      </c>
    </row>
    <row r="442" spans="1:5" x14ac:dyDescent="0.25">
      <c r="A442">
        <v>441</v>
      </c>
      <c r="B442">
        <f>'4_3_pom'!G442</f>
        <v>0</v>
      </c>
      <c r="E442" t="str">
        <f t="shared" si="6"/>
        <v/>
      </c>
    </row>
    <row r="443" spans="1:5" x14ac:dyDescent="0.25">
      <c r="A443">
        <v>442</v>
      </c>
      <c r="B443">
        <f>'4_3_pom'!G443</f>
        <v>0</v>
      </c>
      <c r="E443" t="str">
        <f t="shared" si="6"/>
        <v/>
      </c>
    </row>
    <row r="444" spans="1:5" x14ac:dyDescent="0.25">
      <c r="A444">
        <v>443</v>
      </c>
      <c r="B444">
        <f>'4_3_pom'!G444</f>
        <v>0</v>
      </c>
      <c r="E444" t="str">
        <f t="shared" si="6"/>
        <v/>
      </c>
    </row>
    <row r="445" spans="1:5" x14ac:dyDescent="0.25">
      <c r="A445">
        <v>444</v>
      </c>
      <c r="B445">
        <f>'4_3_pom'!G445</f>
        <v>0</v>
      </c>
      <c r="E445" t="str">
        <f t="shared" si="6"/>
        <v/>
      </c>
    </row>
    <row r="446" spans="1:5" x14ac:dyDescent="0.25">
      <c r="A446">
        <v>445</v>
      </c>
      <c r="B446">
        <f>'4_3_pom'!G446</f>
        <v>0</v>
      </c>
      <c r="E446" t="str">
        <f t="shared" si="6"/>
        <v/>
      </c>
    </row>
    <row r="447" spans="1:5" x14ac:dyDescent="0.25">
      <c r="A447">
        <v>446</v>
      </c>
      <c r="B447">
        <f>'4_3_pom'!G447</f>
        <v>0</v>
      </c>
      <c r="E447" t="str">
        <f t="shared" si="6"/>
        <v/>
      </c>
    </row>
    <row r="448" spans="1:5" x14ac:dyDescent="0.25">
      <c r="A448">
        <v>447</v>
      </c>
      <c r="B448">
        <f>'4_3_pom'!G448</f>
        <v>0</v>
      </c>
      <c r="E448" t="str">
        <f t="shared" si="6"/>
        <v/>
      </c>
    </row>
    <row r="449" spans="1:5" x14ac:dyDescent="0.25">
      <c r="A449">
        <v>448</v>
      </c>
      <c r="B449">
        <f>'4_3_pom'!G449</f>
        <v>0</v>
      </c>
      <c r="E449" t="str">
        <f t="shared" si="6"/>
        <v/>
      </c>
    </row>
    <row r="450" spans="1:5" x14ac:dyDescent="0.25">
      <c r="A450">
        <v>449</v>
      </c>
      <c r="B450">
        <f>'4_3_pom'!G450</f>
        <v>0</v>
      </c>
      <c r="E450" t="str">
        <f t="shared" si="6"/>
        <v/>
      </c>
    </row>
    <row r="451" spans="1:5" x14ac:dyDescent="0.25">
      <c r="A451">
        <v>450</v>
      </c>
      <c r="B451">
        <f>'4_3_pom'!G451</f>
        <v>0</v>
      </c>
      <c r="E451" t="str">
        <f t="shared" ref="E451:E501" si="7">IF(B451=1,A451,"")</f>
        <v/>
      </c>
    </row>
    <row r="452" spans="1:5" x14ac:dyDescent="0.25">
      <c r="A452">
        <v>451</v>
      </c>
      <c r="B452">
        <f>'4_3_pom'!G452</f>
        <v>0</v>
      </c>
      <c r="E452" t="str">
        <f t="shared" si="7"/>
        <v/>
      </c>
    </row>
    <row r="453" spans="1:5" x14ac:dyDescent="0.25">
      <c r="A453">
        <v>452</v>
      </c>
      <c r="B453">
        <f>'4_3_pom'!G453</f>
        <v>0</v>
      </c>
      <c r="E453" t="str">
        <f t="shared" si="7"/>
        <v/>
      </c>
    </row>
    <row r="454" spans="1:5" x14ac:dyDescent="0.25">
      <c r="A454">
        <v>453</v>
      </c>
      <c r="B454">
        <f>'4_3_pom'!G454</f>
        <v>0</v>
      </c>
      <c r="E454" t="str">
        <f t="shared" si="7"/>
        <v/>
      </c>
    </row>
    <row r="455" spans="1:5" x14ac:dyDescent="0.25">
      <c r="A455">
        <v>454</v>
      </c>
      <c r="B455">
        <f>'4_3_pom'!G455</f>
        <v>0</v>
      </c>
      <c r="E455" t="str">
        <f t="shared" si="7"/>
        <v/>
      </c>
    </row>
    <row r="456" spans="1:5" x14ac:dyDescent="0.25">
      <c r="A456">
        <v>455</v>
      </c>
      <c r="B456">
        <f>'4_3_pom'!G456</f>
        <v>0</v>
      </c>
      <c r="E456" t="str">
        <f t="shared" si="7"/>
        <v/>
      </c>
    </row>
    <row r="457" spans="1:5" x14ac:dyDescent="0.25">
      <c r="A457">
        <v>456</v>
      </c>
      <c r="B457">
        <f>'4_3_pom'!G457</f>
        <v>0</v>
      </c>
      <c r="E457" t="str">
        <f t="shared" si="7"/>
        <v/>
      </c>
    </row>
    <row r="458" spans="1:5" x14ac:dyDescent="0.25">
      <c r="A458">
        <v>457</v>
      </c>
      <c r="B458">
        <f>'4_3_pom'!G458</f>
        <v>0</v>
      </c>
      <c r="E458" t="str">
        <f t="shared" si="7"/>
        <v/>
      </c>
    </row>
    <row r="459" spans="1:5" x14ac:dyDescent="0.25">
      <c r="A459">
        <v>458</v>
      </c>
      <c r="B459">
        <f>'4_3_pom'!G459</f>
        <v>0</v>
      </c>
      <c r="E459" t="str">
        <f t="shared" si="7"/>
        <v/>
      </c>
    </row>
    <row r="460" spans="1:5" x14ac:dyDescent="0.25">
      <c r="A460">
        <v>459</v>
      </c>
      <c r="B460">
        <f>'4_3_pom'!G460</f>
        <v>0</v>
      </c>
      <c r="E460" t="str">
        <f t="shared" si="7"/>
        <v/>
      </c>
    </row>
    <row r="461" spans="1:5" x14ac:dyDescent="0.25">
      <c r="A461">
        <v>460</v>
      </c>
      <c r="B461">
        <f>'4_3_pom'!G461</f>
        <v>0</v>
      </c>
      <c r="E461" t="str">
        <f t="shared" si="7"/>
        <v/>
      </c>
    </row>
    <row r="462" spans="1:5" x14ac:dyDescent="0.25">
      <c r="A462">
        <v>461</v>
      </c>
      <c r="B462">
        <f>'4_3_pom'!G462</f>
        <v>0</v>
      </c>
      <c r="E462" t="str">
        <f t="shared" si="7"/>
        <v/>
      </c>
    </row>
    <row r="463" spans="1:5" x14ac:dyDescent="0.25">
      <c r="A463">
        <v>462</v>
      </c>
      <c r="B463">
        <f>'4_3_pom'!G463</f>
        <v>0</v>
      </c>
      <c r="E463" t="str">
        <f t="shared" si="7"/>
        <v/>
      </c>
    </row>
    <row r="464" spans="1:5" x14ac:dyDescent="0.25">
      <c r="A464">
        <v>463</v>
      </c>
      <c r="B464">
        <f>'4_3_pom'!G464</f>
        <v>0</v>
      </c>
      <c r="E464" t="str">
        <f t="shared" si="7"/>
        <v/>
      </c>
    </row>
    <row r="465" spans="1:5" x14ac:dyDescent="0.25">
      <c r="A465">
        <v>464</v>
      </c>
      <c r="B465">
        <f>'4_3_pom'!G465</f>
        <v>0</v>
      </c>
      <c r="E465" t="str">
        <f t="shared" si="7"/>
        <v/>
      </c>
    </row>
    <row r="466" spans="1:5" x14ac:dyDescent="0.25">
      <c r="A466">
        <v>465</v>
      </c>
      <c r="B466">
        <f>'4_3_pom'!G466</f>
        <v>0</v>
      </c>
      <c r="E466" t="str">
        <f t="shared" si="7"/>
        <v/>
      </c>
    </row>
    <row r="467" spans="1:5" x14ac:dyDescent="0.25">
      <c r="A467">
        <v>466</v>
      </c>
      <c r="B467">
        <f>'4_3_pom'!G467</f>
        <v>0</v>
      </c>
      <c r="E467" t="str">
        <f t="shared" si="7"/>
        <v/>
      </c>
    </row>
    <row r="468" spans="1:5" x14ac:dyDescent="0.25">
      <c r="A468">
        <v>467</v>
      </c>
      <c r="B468">
        <f>'4_3_pom'!G468</f>
        <v>0</v>
      </c>
      <c r="E468" t="str">
        <f t="shared" si="7"/>
        <v/>
      </c>
    </row>
    <row r="469" spans="1:5" x14ac:dyDescent="0.25">
      <c r="A469">
        <v>468</v>
      </c>
      <c r="B469">
        <f>'4_3_pom'!G469</f>
        <v>0</v>
      </c>
      <c r="E469" t="str">
        <f t="shared" si="7"/>
        <v/>
      </c>
    </row>
    <row r="470" spans="1:5" x14ac:dyDescent="0.25">
      <c r="A470">
        <v>469</v>
      </c>
      <c r="B470">
        <f>'4_3_pom'!G470</f>
        <v>0</v>
      </c>
      <c r="E470" t="str">
        <f t="shared" si="7"/>
        <v/>
      </c>
    </row>
    <row r="471" spans="1:5" x14ac:dyDescent="0.25">
      <c r="A471">
        <v>470</v>
      </c>
      <c r="B471">
        <f>'4_3_pom'!G471</f>
        <v>0</v>
      </c>
      <c r="E471" t="str">
        <f t="shared" si="7"/>
        <v/>
      </c>
    </row>
    <row r="472" spans="1:5" x14ac:dyDescent="0.25">
      <c r="A472">
        <v>471</v>
      </c>
      <c r="B472">
        <f>'4_3_pom'!G472</f>
        <v>0</v>
      </c>
      <c r="E472" t="str">
        <f t="shared" si="7"/>
        <v/>
      </c>
    </row>
    <row r="473" spans="1:5" x14ac:dyDescent="0.25">
      <c r="A473">
        <v>472</v>
      </c>
      <c r="B473">
        <f>'4_3_pom'!G473</f>
        <v>0</v>
      </c>
      <c r="E473" t="str">
        <f t="shared" si="7"/>
        <v/>
      </c>
    </row>
    <row r="474" spans="1:5" x14ac:dyDescent="0.25">
      <c r="A474">
        <v>473</v>
      </c>
      <c r="B474">
        <f>'4_3_pom'!G474</f>
        <v>0</v>
      </c>
      <c r="E474" t="str">
        <f t="shared" si="7"/>
        <v/>
      </c>
    </row>
    <row r="475" spans="1:5" x14ac:dyDescent="0.25">
      <c r="A475">
        <v>474</v>
      </c>
      <c r="B475">
        <f>'4_3_pom'!G475</f>
        <v>0</v>
      </c>
      <c r="E475" t="str">
        <f t="shared" si="7"/>
        <v/>
      </c>
    </row>
    <row r="476" spans="1:5" x14ac:dyDescent="0.25">
      <c r="A476">
        <v>475</v>
      </c>
      <c r="B476">
        <f>'4_3_pom'!G476</f>
        <v>0</v>
      </c>
      <c r="E476" t="str">
        <f t="shared" si="7"/>
        <v/>
      </c>
    </row>
    <row r="477" spans="1:5" x14ac:dyDescent="0.25">
      <c r="A477">
        <v>476</v>
      </c>
      <c r="B477">
        <f>'4_3_pom'!G477</f>
        <v>0</v>
      </c>
      <c r="E477" t="str">
        <f t="shared" si="7"/>
        <v/>
      </c>
    </row>
    <row r="478" spans="1:5" x14ac:dyDescent="0.25">
      <c r="A478">
        <v>477</v>
      </c>
      <c r="B478">
        <f>'4_3_pom'!G478</f>
        <v>0</v>
      </c>
      <c r="E478" t="str">
        <f t="shared" si="7"/>
        <v/>
      </c>
    </row>
    <row r="479" spans="1:5" x14ac:dyDescent="0.25">
      <c r="A479">
        <v>478</v>
      </c>
      <c r="B479">
        <f>'4_3_pom'!G479</f>
        <v>0</v>
      </c>
      <c r="E479" t="str">
        <f t="shared" si="7"/>
        <v/>
      </c>
    </row>
    <row r="480" spans="1:5" x14ac:dyDescent="0.25">
      <c r="A480">
        <v>479</v>
      </c>
      <c r="B480">
        <f>'4_3_pom'!G480</f>
        <v>0</v>
      </c>
      <c r="E480" t="str">
        <f t="shared" si="7"/>
        <v/>
      </c>
    </row>
    <row r="481" spans="1:5" x14ac:dyDescent="0.25">
      <c r="A481">
        <v>480</v>
      </c>
      <c r="B481">
        <f>'4_3_pom'!G481</f>
        <v>0</v>
      </c>
      <c r="E481" t="str">
        <f t="shared" si="7"/>
        <v/>
      </c>
    </row>
    <row r="482" spans="1:5" x14ac:dyDescent="0.25">
      <c r="A482">
        <v>481</v>
      </c>
      <c r="B482">
        <f>'4_3_pom'!G482</f>
        <v>0</v>
      </c>
      <c r="E482" t="str">
        <f t="shared" si="7"/>
        <v/>
      </c>
    </row>
    <row r="483" spans="1:5" x14ac:dyDescent="0.25">
      <c r="A483">
        <v>482</v>
      </c>
      <c r="B483">
        <f>'4_3_pom'!G483</f>
        <v>0</v>
      </c>
      <c r="E483" t="str">
        <f t="shared" si="7"/>
        <v/>
      </c>
    </row>
    <row r="484" spans="1:5" x14ac:dyDescent="0.25">
      <c r="A484">
        <v>483</v>
      </c>
      <c r="B484">
        <f>'4_3_pom'!G484</f>
        <v>0</v>
      </c>
      <c r="E484" t="str">
        <f t="shared" si="7"/>
        <v/>
      </c>
    </row>
    <row r="485" spans="1:5" x14ac:dyDescent="0.25">
      <c r="A485">
        <v>484</v>
      </c>
      <c r="B485">
        <f>'4_3_pom'!G485</f>
        <v>0</v>
      </c>
      <c r="E485" t="str">
        <f t="shared" si="7"/>
        <v/>
      </c>
    </row>
    <row r="486" spans="1:5" x14ac:dyDescent="0.25">
      <c r="A486">
        <v>485</v>
      </c>
      <c r="B486">
        <f>'4_3_pom'!G486</f>
        <v>0</v>
      </c>
      <c r="E486" t="str">
        <f t="shared" si="7"/>
        <v/>
      </c>
    </row>
    <row r="487" spans="1:5" x14ac:dyDescent="0.25">
      <c r="A487">
        <v>486</v>
      </c>
      <c r="B487">
        <f>'4_3_pom'!G487</f>
        <v>0</v>
      </c>
      <c r="E487" t="str">
        <f t="shared" si="7"/>
        <v/>
      </c>
    </row>
    <row r="488" spans="1:5" x14ac:dyDescent="0.25">
      <c r="A488">
        <v>487</v>
      </c>
      <c r="B488">
        <f>'4_3_pom'!G488</f>
        <v>0</v>
      </c>
      <c r="E488" t="str">
        <f t="shared" si="7"/>
        <v/>
      </c>
    </row>
    <row r="489" spans="1:5" x14ac:dyDescent="0.25">
      <c r="A489">
        <v>488</v>
      </c>
      <c r="B489">
        <f>'4_3_pom'!G489</f>
        <v>0</v>
      </c>
      <c r="E489" t="str">
        <f t="shared" si="7"/>
        <v/>
      </c>
    </row>
    <row r="490" spans="1:5" x14ac:dyDescent="0.25">
      <c r="A490">
        <v>489</v>
      </c>
      <c r="B490">
        <f>'4_3_pom'!G490</f>
        <v>0</v>
      </c>
      <c r="E490" t="str">
        <f t="shared" si="7"/>
        <v/>
      </c>
    </row>
    <row r="491" spans="1:5" x14ac:dyDescent="0.25">
      <c r="A491">
        <v>490</v>
      </c>
      <c r="B491">
        <f>'4_3_pom'!G491</f>
        <v>0</v>
      </c>
      <c r="E491" t="str">
        <f t="shared" si="7"/>
        <v/>
      </c>
    </row>
    <row r="492" spans="1:5" x14ac:dyDescent="0.25">
      <c r="A492">
        <v>491</v>
      </c>
      <c r="B492">
        <f>'4_3_pom'!G492</f>
        <v>0</v>
      </c>
      <c r="E492" t="str">
        <f t="shared" si="7"/>
        <v/>
      </c>
    </row>
    <row r="493" spans="1:5" x14ac:dyDescent="0.25">
      <c r="A493">
        <v>492</v>
      </c>
      <c r="B493">
        <f>'4_3_pom'!G493</f>
        <v>0</v>
      </c>
      <c r="E493" t="str">
        <f t="shared" si="7"/>
        <v/>
      </c>
    </row>
    <row r="494" spans="1:5" x14ac:dyDescent="0.25">
      <c r="A494">
        <v>493</v>
      </c>
      <c r="B494">
        <f>'4_3_pom'!G494</f>
        <v>0</v>
      </c>
      <c r="E494" t="str">
        <f t="shared" si="7"/>
        <v/>
      </c>
    </row>
    <row r="495" spans="1:5" x14ac:dyDescent="0.25">
      <c r="A495">
        <v>494</v>
      </c>
      <c r="B495">
        <f>'4_3_pom'!G495</f>
        <v>0</v>
      </c>
      <c r="E495" t="str">
        <f t="shared" si="7"/>
        <v/>
      </c>
    </row>
    <row r="496" spans="1:5" x14ac:dyDescent="0.25">
      <c r="A496">
        <v>495</v>
      </c>
      <c r="B496">
        <f>'4_3_pom'!G496</f>
        <v>0</v>
      </c>
      <c r="E496" t="str">
        <f t="shared" si="7"/>
        <v/>
      </c>
    </row>
    <row r="497" spans="1:5" x14ac:dyDescent="0.25">
      <c r="A497">
        <v>496</v>
      </c>
      <c r="B497">
        <f>'4_3_pom'!G497</f>
        <v>0</v>
      </c>
      <c r="E497" t="str">
        <f t="shared" si="7"/>
        <v/>
      </c>
    </row>
    <row r="498" spans="1:5" x14ac:dyDescent="0.25">
      <c r="A498">
        <v>497</v>
      </c>
      <c r="B498">
        <f>'4_3_pom'!G498</f>
        <v>0</v>
      </c>
      <c r="E498" t="str">
        <f t="shared" si="7"/>
        <v/>
      </c>
    </row>
    <row r="499" spans="1:5" x14ac:dyDescent="0.25">
      <c r="A499">
        <v>498</v>
      </c>
      <c r="B499">
        <f>'4_3_pom'!G499</f>
        <v>0</v>
      </c>
      <c r="E499" t="str">
        <f t="shared" si="7"/>
        <v/>
      </c>
    </row>
    <row r="500" spans="1:5" x14ac:dyDescent="0.25">
      <c r="A500">
        <v>499</v>
      </c>
      <c r="B500">
        <f>'4_3_pom'!G500</f>
        <v>0</v>
      </c>
      <c r="E500" t="str">
        <f t="shared" si="7"/>
        <v/>
      </c>
    </row>
    <row r="501" spans="1:5" x14ac:dyDescent="0.25">
      <c r="A501">
        <v>500</v>
      </c>
      <c r="B501">
        <f>'4_3_pom'!G501</f>
        <v>0</v>
      </c>
      <c r="E501" t="str">
        <f t="shared" si="7"/>
        <v/>
      </c>
    </row>
  </sheetData>
  <sortState ref="A2:B501">
    <sortCondition descending="1" ref="B2:B501"/>
    <sortCondition ref="A2:A5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2E35-54AB-454E-967B-F0FEF6E7CA6F}">
  <dimension ref="A1:J502"/>
  <sheetViews>
    <sheetView tabSelected="1" workbookViewId="0">
      <selection activeCell="C11" sqref="C11"/>
    </sheetView>
  </sheetViews>
  <sheetFormatPr defaultRowHeight="15" x14ac:dyDescent="0.25"/>
  <cols>
    <col min="2" max="2" width="10.140625" style="5" bestFit="1" customWidth="1"/>
    <col min="3" max="3" width="14.140625" style="5" customWidth="1"/>
    <col min="4" max="4" width="12.5703125" customWidth="1"/>
    <col min="7" max="7" width="16.28515625" customWidth="1"/>
    <col min="8" max="8" width="20.28515625" customWidth="1"/>
    <col min="9" max="9" width="18" customWidth="1"/>
    <col min="10" max="10" width="18.5703125" customWidth="1"/>
  </cols>
  <sheetData>
    <row r="1" spans="1:10" x14ac:dyDescent="0.25">
      <c r="B1"/>
      <c r="C1" t="s">
        <v>18</v>
      </c>
      <c r="D1" t="s">
        <v>19</v>
      </c>
    </row>
    <row r="2" spans="1:10" x14ac:dyDescent="0.25">
      <c r="A2" t="s">
        <v>3</v>
      </c>
      <c r="B2" t="s">
        <v>2</v>
      </c>
      <c r="C2" s="5">
        <v>5000</v>
      </c>
      <c r="D2">
        <v>0</v>
      </c>
      <c r="E2" t="s">
        <v>24</v>
      </c>
    </row>
    <row r="3" spans="1:10" x14ac:dyDescent="0.25">
      <c r="A3">
        <v>1</v>
      </c>
      <c r="B3" s="5">
        <v>65.430000000000007</v>
      </c>
      <c r="C3" s="5">
        <f>IF($A3=1,$C$2-(ROUNDDOWN(1000/$B3,0)*$B3),IF(A3=2,C2,IF(A3&gt;3,IF(AND(B2&lt;B1,B1&lt;#REF!),IF(C2&gt;=1000,C2-(ROUNDDOWN(1000/$B3,0)*$B3),C2),IF($B2=MAX($B2:$B$3),C2+(D2*B3),C2)),IF($B2=MAX($B2:$B$3),C2+(D2*B3),C2))))</f>
        <v>4018.55</v>
      </c>
      <c r="D3">
        <f>IF($A3=1,D2+ROUNDDOWN(1000/$B3,0),IF(A3=2,D2,IF(A3&gt;3,IF(AND(B2&lt;B1,B1&lt;#REF!),IF(C2&gt;=1000,D2+ROUNDDOWN(1000/$B3,0),D2),IF($B2=MAX($B2:$B$3),0,D2)),IF($B2=MAX($B2:$B$3),0,D2))))</f>
        <v>15</v>
      </c>
      <c r="E3">
        <f>IF(D3&gt;D2,1,0)</f>
        <v>1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>
        <v>2</v>
      </c>
      <c r="B4" s="5">
        <v>67.06</v>
      </c>
      <c r="C4" s="5">
        <f>IF($A4=1,$C$2-(ROUNDDOWN(1000/$B4,0)*$B4),IF(A4=2,C3,IF(A4&gt;3,IF(AND(B3&lt;B2,B2&lt;B1),IF(C3&gt;=1000,C3-(ROUNDDOWN(1000/$B4,0)*$B4),C3),IF($B3=MAX($B$3:$B3),C3+(D3*B4),C3)),IF($B3=MAX($B$3:$B3),C3+(D3*B4),C3))))</f>
        <v>4018.55</v>
      </c>
      <c r="D4">
        <f>IF($A4=1,D3+ROUNDDOWN(1000/$B4,0),IF(A4=2,D3,IF(A4&gt;3,IF(AND(B3&lt;B2,B2&lt;B1),IF(C3&gt;=1000,D3+ROUNDDOWN(1000/$B4,0),D3),IF($B3=MAX($B$3:$B3),0,D3)),IF($B3=MAX($B$3:$B3),0,D3))))</f>
        <v>15</v>
      </c>
      <c r="E4">
        <f t="shared" ref="E4:E67" si="0">IF(D4&gt;D3,1,0)</f>
        <v>0</v>
      </c>
      <c r="G4">
        <f>MAX(D2:D502)</f>
        <v>64</v>
      </c>
      <c r="H4">
        <f>SUM(E3:E502)</f>
        <v>31</v>
      </c>
      <c r="I4" s="5">
        <f>$C$502</f>
        <v>970.77000000000203</v>
      </c>
      <c r="J4">
        <f>$D$502</f>
        <v>36</v>
      </c>
    </row>
    <row r="5" spans="1:10" x14ac:dyDescent="0.25">
      <c r="A5">
        <v>3</v>
      </c>
      <c r="B5" s="5">
        <v>68.91</v>
      </c>
      <c r="C5" s="5">
        <f>IF($A5=1,$C$2-(ROUNDDOWN(1000/$B5,0)*$B5),IF(A5=2,C4,IF(A5&gt;3,IF(AND(B4&lt;B3,B3&lt;B2),IF(C4&gt;=1000,C4-(ROUNDDOWN(1000/$B5,0)*$B5),C4),IF($B4=MAX($B$3:$B4),C4+(D4*B5),C4)),IF($B4=MAX($B$3:$B4),C4+(D4*B5),C4))))</f>
        <v>5052.2</v>
      </c>
      <c r="D5">
        <f>IF($A5=1,D4+ROUNDDOWN(1000/$B5,0),IF(A5=2,D4,IF(A5&gt;3,IF(AND(B4&lt;B3,B3&lt;B2),IF(C4&gt;=1000,D4+ROUNDDOWN(1000/$B5,0),D4),IF($B4=MAX($B$3:$B4),0,D4)),IF($B4=MAX($B$3:$B4),0,D4))))</f>
        <v>0</v>
      </c>
      <c r="E5">
        <f t="shared" si="0"/>
        <v>0</v>
      </c>
    </row>
    <row r="6" spans="1:10" x14ac:dyDescent="0.25">
      <c r="A6">
        <v>4</v>
      </c>
      <c r="B6" s="5">
        <v>70.8</v>
      </c>
      <c r="C6" s="5">
        <f>IF($A6=1,$C$2-(ROUNDDOWN(1000/$B6,0)*$B6),IF(A6=2,C5,IF(A6&gt;3,IF(AND(B5&lt;B4,B4&lt;B3),IF(C5&gt;=1000,C5-(ROUNDDOWN(1000/$B6,0)*$B6),C5),IF($B5=MAX($B$3:$B5),C5+(D5*B6),C5)),IF($B5=MAX($B$3:$B5),C5+(D5*B6),C5))))</f>
        <v>5052.2</v>
      </c>
      <c r="D6">
        <f>IF($A6=1,D5+ROUNDDOWN(1000/$B6,0),IF(A6=2,D5,IF(A6&gt;3,IF(AND(B5&lt;B4,B4&lt;B3),IF(C5&gt;=1000,D5+ROUNDDOWN(1000/$B6,0),D5),IF($B5=MAX($B$3:$B5),0,D5)),IF($B5=MAX($B$3:$B5),0,D5))))</f>
        <v>0</v>
      </c>
      <c r="E6">
        <f t="shared" si="0"/>
        <v>0</v>
      </c>
    </row>
    <row r="7" spans="1:10" x14ac:dyDescent="0.25">
      <c r="A7">
        <v>5</v>
      </c>
      <c r="B7" s="5">
        <v>72.260000000000005</v>
      </c>
      <c r="C7" s="5">
        <f>IF($A7=1,$C$2-(ROUNDDOWN(1000/$B7,0)*$B7),IF(A7=2,C6,IF(A7&gt;3,IF(AND(B6&lt;B5,B5&lt;B4),IF(C6&gt;=1000,C6-(ROUNDDOWN(1000/$B7,0)*$B7),C6),IF($B6=MAX($B$3:$B6),C6+(D6*B7),C6)),IF($B6=MAX($B$3:$B6),C6+(D6*B7),C6))))</f>
        <v>5052.2</v>
      </c>
      <c r="D7">
        <f>IF($A7=1,D6+ROUNDDOWN(1000/$B7,0),IF(A7=2,D6,IF(A7&gt;3,IF(AND(B6&lt;B5,B5&lt;B4),IF(C6&gt;=1000,D6+ROUNDDOWN(1000/$B7,0),D6),IF($B6=MAX($B$3:$B6),0,D6)),IF($B6=MAX($B$3:$B6),0,D6))))</f>
        <v>0</v>
      </c>
      <c r="E7">
        <f t="shared" si="0"/>
        <v>0</v>
      </c>
    </row>
    <row r="8" spans="1:10" x14ac:dyDescent="0.25">
      <c r="A8">
        <v>6</v>
      </c>
      <c r="B8" s="5">
        <v>73.63</v>
      </c>
      <c r="C8" s="5">
        <f>IF($A8=1,$C$2-(ROUNDDOWN(1000/$B8,0)*$B8),IF(A8=2,C7,IF(A8&gt;3,IF(AND(B7&lt;B6,B6&lt;B5),IF(C7&gt;=1000,C7-(ROUNDDOWN(1000/$B8,0)*$B8),C7),IF($B7=MAX($B$3:$B7),C7+(D7*B8),C7)),IF($B7=MAX($B$3:$B7),C7+(D7*B8),C7))))</f>
        <v>5052.2</v>
      </c>
      <c r="D8">
        <f>IF($A8=1,D7+ROUNDDOWN(1000/$B8,0),IF(A8=2,D7,IF(A8&gt;3,IF(AND(B7&lt;B6,B6&lt;B5),IF(C7&gt;=1000,D7+ROUNDDOWN(1000/$B8,0),D7),IF($B7=MAX($B$3:$B7),0,D7)),IF($B7=MAX($B$3:$B7),0,D7))))</f>
        <v>0</v>
      </c>
      <c r="E8">
        <f t="shared" si="0"/>
        <v>0</v>
      </c>
    </row>
    <row r="9" spans="1:10" x14ac:dyDescent="0.25">
      <c r="A9">
        <v>7</v>
      </c>
      <c r="B9" s="5">
        <v>73.64</v>
      </c>
      <c r="C9" s="5">
        <f>IF($A9=1,$C$2-(ROUNDDOWN(1000/$B9,0)*$B9),IF(A9=2,C8,IF(A9&gt;3,IF(AND(B8&lt;B7,B7&lt;B6),IF(C8&gt;=1000,C8-(ROUNDDOWN(1000/$B9,0)*$B9),C8),IF($B8=MAX($B$3:$B8),C8+(D8*B9),C8)),IF($B8=MAX($B$3:$B8),C8+(D8*B9),C8))))</f>
        <v>5052.2</v>
      </c>
      <c r="D9">
        <f>IF($A9=1,D8+ROUNDDOWN(1000/$B9,0),IF(A9=2,D8,IF(A9&gt;3,IF(AND(B8&lt;B7,B7&lt;B6),IF(C8&gt;=1000,D8+ROUNDDOWN(1000/$B9,0),D8),IF($B8=MAX($B$3:$B8),0,D8)),IF($B8=MAX($B$3:$B8),0,D8))))</f>
        <v>0</v>
      </c>
      <c r="E9">
        <f t="shared" si="0"/>
        <v>0</v>
      </c>
    </row>
    <row r="10" spans="1:10" x14ac:dyDescent="0.25">
      <c r="A10">
        <v>8</v>
      </c>
      <c r="B10" s="5">
        <v>71.739999999999995</v>
      </c>
      <c r="C10" s="5">
        <f>IF($A10=1,$C$2-(ROUNDDOWN(1000/$B10,0)*$B10),IF(A10=2,C9,IF(A10&gt;3,IF(AND(B9&lt;B8,B8&lt;B7),IF(C9&gt;=1000,C9-(ROUNDDOWN(1000/$B10,0)*$B10),C9),IF($B9=MAX($B$3:$B9),C9+(D9*B10),C9)),IF($B9=MAX($B$3:$B9),C9+(D9*B10),C9))))</f>
        <v>5052.2</v>
      </c>
      <c r="D10">
        <f>IF($A10=1,D9+ROUNDDOWN(1000/$B10,0),IF(A10=2,D9,IF(A10&gt;3,IF(AND(B9&lt;B8,B8&lt;B7),IF(C9&gt;=1000,D9+ROUNDDOWN(1000/$B10,0),D9),IF($B9=MAX($B$3:$B9),0,D9)),IF($B9=MAX($B$3:$B9),0,D9))))</f>
        <v>0</v>
      </c>
      <c r="E10">
        <f t="shared" si="0"/>
        <v>0</v>
      </c>
    </row>
    <row r="11" spans="1:10" x14ac:dyDescent="0.25">
      <c r="A11">
        <v>9</v>
      </c>
      <c r="B11" s="5">
        <v>72.89</v>
      </c>
      <c r="C11" s="5">
        <f>IF($A11=1,$C$2-(ROUNDDOWN(1000/$B11,0)*$B11),IF(A11=2,C10,IF(A11&gt;3,IF(AND(B10&lt;B9,B9&lt;B8),IF(C10&gt;=1000,C10-(ROUNDDOWN(1000/$B11,0)*$B11),C10),IF($B10=MAX($B$3:$B10),C10+(D10*B11),C10)),IF($B10=MAX($B$3:$B10),C10+(D10*B11),C10))))</f>
        <v>5052.2</v>
      </c>
      <c r="D11">
        <f>IF($A11=1,D10+ROUNDDOWN(1000/$B11,0),IF(A11=2,D10,IF(A11&gt;3,IF(AND(B10&lt;B9,B9&lt;B8),IF(C10&gt;=1000,D10+ROUNDDOWN(1000/$B11,0),D10),IF($B10=MAX($B$3:$B10),0,D10)),IF($B10=MAX($B$3:$B10),0,D10))))</f>
        <v>0</v>
      </c>
      <c r="E11">
        <f t="shared" si="0"/>
        <v>0</v>
      </c>
    </row>
    <row r="12" spans="1:10" x14ac:dyDescent="0.25">
      <c r="A12">
        <v>10</v>
      </c>
      <c r="B12" s="5">
        <v>74.319999999999993</v>
      </c>
      <c r="C12" s="5">
        <f>IF($A12=1,$C$2-(ROUNDDOWN(1000/$B12,0)*$B12),IF(A12=2,C11,IF(A12&gt;3,IF(AND(B11&lt;B10,B10&lt;B9),IF(C11&gt;=1000,C11-(ROUNDDOWN(1000/$B12,0)*$B12),C11),IF($B11=MAX($B$3:$B11),C11+(D11*B12),C11)),IF($B11=MAX($B$3:$B11),C11+(D11*B12),C11))))</f>
        <v>5052.2</v>
      </c>
      <c r="D12">
        <f>IF($A12=1,D11+ROUNDDOWN(1000/$B12,0),IF(A12=2,D11,IF(A12&gt;3,IF(AND(B11&lt;B10,B10&lt;B9),IF(C11&gt;=1000,D11+ROUNDDOWN(1000/$B12,0),D11),IF($B11=MAX($B$3:$B11),0,D11)),IF($B11=MAX($B$3:$B11),0,D11))))</f>
        <v>0</v>
      </c>
      <c r="E12">
        <f t="shared" si="0"/>
        <v>0</v>
      </c>
    </row>
    <row r="13" spans="1:10" x14ac:dyDescent="0.25">
      <c r="A13">
        <v>11</v>
      </c>
      <c r="B13" s="5">
        <v>75.569999999999993</v>
      </c>
      <c r="C13" s="5">
        <f>IF($A13=1,$C$2-(ROUNDDOWN(1000/$B13,0)*$B13),IF(A13=2,C12,IF(A13&gt;3,IF(AND(B12&lt;B11,B11&lt;B10),IF(C12&gt;=1000,C12-(ROUNDDOWN(1000/$B13,0)*$B13),C12),IF($B12=MAX($B$3:$B12),C12+(D12*B13),C12)),IF($B12=MAX($B$3:$B12),C12+(D12*B13),C12))))</f>
        <v>5052.2</v>
      </c>
      <c r="D13">
        <f>IF($A13=1,D12+ROUNDDOWN(1000/$B13,0),IF(A13=2,D12,IF(A13&gt;3,IF(AND(B12&lt;B11,B11&lt;B10),IF(C12&gt;=1000,D12+ROUNDDOWN(1000/$B13,0),D12),IF($B12=MAX($B$3:$B12),0,D12)),IF($B12=MAX($B$3:$B12),0,D12))))</f>
        <v>0</v>
      </c>
      <c r="E13">
        <f t="shared" si="0"/>
        <v>0</v>
      </c>
    </row>
    <row r="14" spans="1:10" x14ac:dyDescent="0.25">
      <c r="A14">
        <v>12</v>
      </c>
      <c r="B14" s="5">
        <v>77.37</v>
      </c>
      <c r="C14" s="5">
        <f>IF($A14=1,$C$2-(ROUNDDOWN(1000/$B14,0)*$B14),IF(A14=2,C13,IF(A14&gt;3,IF(AND(B13&lt;B12,B12&lt;B11),IF(C13&gt;=1000,C13-(ROUNDDOWN(1000/$B14,0)*$B14),C13),IF($B13=MAX($B$3:$B13),C13+(D13*B14),C13)),IF($B13=MAX($B$3:$B13),C13+(D13*B14),C13))))</f>
        <v>5052.2</v>
      </c>
      <c r="D14">
        <f>IF($A14=1,D13+ROUNDDOWN(1000/$B14,0),IF(A14=2,D13,IF(A14&gt;3,IF(AND(B13&lt;B12,B12&lt;B11),IF(C13&gt;=1000,D13+ROUNDDOWN(1000/$B14,0),D13),IF($B13=MAX($B$3:$B13),0,D13)),IF($B13=MAX($B$3:$B13),0,D13))))</f>
        <v>0</v>
      </c>
      <c r="E14">
        <f t="shared" si="0"/>
        <v>0</v>
      </c>
    </row>
    <row r="15" spans="1:10" x14ac:dyDescent="0.25">
      <c r="A15">
        <v>13</v>
      </c>
      <c r="B15" s="5">
        <v>75.7</v>
      </c>
      <c r="C15" s="5">
        <f>IF($A15=1,$C$2-(ROUNDDOWN(1000/$B15,0)*$B15),IF(A15=2,C14,IF(A15&gt;3,IF(AND(B14&lt;B13,B13&lt;B12),IF(C14&gt;=1000,C14-(ROUNDDOWN(1000/$B15,0)*$B15),C14),IF($B14=MAX($B$3:$B14),C14+(D14*B15),C14)),IF($B14=MAX($B$3:$B14),C14+(D14*B15),C14))))</f>
        <v>5052.2</v>
      </c>
      <c r="D15">
        <f>IF($A15=1,D14+ROUNDDOWN(1000/$B15,0),IF(A15=2,D14,IF(A15&gt;3,IF(AND(B14&lt;B13,B13&lt;B12),IF(C14&gt;=1000,D14+ROUNDDOWN(1000/$B15,0),D14),IF($B14=MAX($B$3:$B14),0,D14)),IF($B14=MAX($B$3:$B14),0,D14))))</f>
        <v>0</v>
      </c>
      <c r="E15">
        <f t="shared" si="0"/>
        <v>0</v>
      </c>
    </row>
    <row r="16" spans="1:10" x14ac:dyDescent="0.25">
      <c r="A16">
        <v>14</v>
      </c>
      <c r="B16" s="5">
        <v>75.959999999999994</v>
      </c>
      <c r="C16" s="5">
        <f>IF($A16=1,$C$2-(ROUNDDOWN(1000/$B16,0)*$B16),IF(A16=2,C15,IF(A16&gt;3,IF(AND(B15&lt;B14,B14&lt;B13),IF(C15&gt;=1000,C15-(ROUNDDOWN(1000/$B16,0)*$B16),C15),IF($B15=MAX($B$3:$B15),C15+(D15*B16),C15)),IF($B15=MAX($B$3:$B15),C15+(D15*B16),C15))))</f>
        <v>5052.2</v>
      </c>
      <c r="D16">
        <f>IF($A16=1,D15+ROUNDDOWN(1000/$B16,0),IF(A16=2,D15,IF(A16&gt;3,IF(AND(B15&lt;B14,B14&lt;B13),IF(C15&gt;=1000,D15+ROUNDDOWN(1000/$B16,0),D15),IF($B15=MAX($B$3:$B15),0,D15)),IF($B15=MAX($B$3:$B15),0,D15))))</f>
        <v>0</v>
      </c>
      <c r="E16">
        <f t="shared" si="0"/>
        <v>0</v>
      </c>
    </row>
    <row r="17" spans="1:5" x14ac:dyDescent="0.25">
      <c r="A17">
        <v>15</v>
      </c>
      <c r="B17" s="5">
        <v>78.040000000000006</v>
      </c>
      <c r="C17" s="5">
        <f>IF($A17=1,$C$2-(ROUNDDOWN(1000/$B17,0)*$B17),IF(A17=2,C16,IF(A17&gt;3,IF(AND(B16&lt;B15,B15&lt;B14),IF(C16&gt;=1000,C16-(ROUNDDOWN(1000/$B17,0)*$B17),C16),IF($B16=MAX($B$3:$B16),C16+(D16*B17),C16)),IF($B16=MAX($B$3:$B16),C16+(D16*B17),C16))))</f>
        <v>5052.2</v>
      </c>
      <c r="D17">
        <f>IF($A17=1,D16+ROUNDDOWN(1000/$B17,0),IF(A17=2,D16,IF(A17&gt;3,IF(AND(B16&lt;B15,B15&lt;B14),IF(C16&gt;=1000,D16+ROUNDDOWN(1000/$B17,0),D16),IF($B16=MAX($B$3:$B16),0,D16)),IF($B16=MAX($B$3:$B16),0,D16))))</f>
        <v>0</v>
      </c>
      <c r="E17">
        <f t="shared" si="0"/>
        <v>0</v>
      </c>
    </row>
    <row r="18" spans="1:5" x14ac:dyDescent="0.25">
      <c r="A18">
        <v>16</v>
      </c>
      <c r="B18" s="5">
        <v>78.28</v>
      </c>
      <c r="C18" s="5">
        <f>IF($A18=1,$C$2-(ROUNDDOWN(1000/$B18,0)*$B18),IF(A18=2,C17,IF(A18&gt;3,IF(AND(B17&lt;B16,B16&lt;B15),IF(C17&gt;=1000,C17-(ROUNDDOWN(1000/$B18,0)*$B18),C17),IF($B17=MAX($B$3:$B17),C17+(D17*B18),C17)),IF($B17=MAX($B$3:$B17),C17+(D17*B18),C17))))</f>
        <v>5052.2</v>
      </c>
      <c r="D18">
        <f>IF($A18=1,D17+ROUNDDOWN(1000/$B18,0),IF(A18=2,D17,IF(A18&gt;3,IF(AND(B17&lt;B16,B16&lt;B15),IF(C17&gt;=1000,D17+ROUNDDOWN(1000/$B18,0),D17),IF($B17=MAX($B$3:$B17),0,D17)),IF($B17=MAX($B$3:$B17),0,D17))))</f>
        <v>0</v>
      </c>
      <c r="E18">
        <f t="shared" si="0"/>
        <v>0</v>
      </c>
    </row>
    <row r="19" spans="1:5" x14ac:dyDescent="0.25">
      <c r="A19">
        <v>17</v>
      </c>
      <c r="B19" s="5">
        <v>79.41</v>
      </c>
      <c r="C19" s="5">
        <f>IF($A19=1,$C$2-(ROUNDDOWN(1000/$B19,0)*$B19),IF(A19=2,C18,IF(A19&gt;3,IF(AND(B18&lt;B17,B17&lt;B16),IF(C18&gt;=1000,C18-(ROUNDDOWN(1000/$B19,0)*$B19),C18),IF($B18=MAX($B$3:$B18),C18+(D18*B19),C18)),IF($B18=MAX($B$3:$B18),C18+(D18*B19),C18))))</f>
        <v>5052.2</v>
      </c>
      <c r="D19">
        <f>IF($A19=1,D18+ROUNDDOWN(1000/$B19,0),IF(A19=2,D18,IF(A19&gt;3,IF(AND(B18&lt;B17,B17&lt;B16),IF(C18&gt;=1000,D18+ROUNDDOWN(1000/$B19,0),D18),IF($B18=MAX($B$3:$B18),0,D18)),IF($B18=MAX($B$3:$B18),0,D18))))</f>
        <v>0</v>
      </c>
      <c r="E19">
        <f t="shared" si="0"/>
        <v>0</v>
      </c>
    </row>
    <row r="20" spans="1:5" x14ac:dyDescent="0.25">
      <c r="A20">
        <v>18</v>
      </c>
      <c r="B20" s="5">
        <v>77.45</v>
      </c>
      <c r="C20" s="5">
        <f>IF($A20=1,$C$2-(ROUNDDOWN(1000/$B20,0)*$B20),IF(A20=2,C19,IF(A20&gt;3,IF(AND(B19&lt;B18,B18&lt;B17),IF(C19&gt;=1000,C19-(ROUNDDOWN(1000/$B20,0)*$B20),C19),IF($B19=MAX($B$3:$B19),C19+(D19*B20),C19)),IF($B19=MAX($B$3:$B19),C19+(D19*B20),C19))))</f>
        <v>5052.2</v>
      </c>
      <c r="D20">
        <f>IF($A20=1,D19+ROUNDDOWN(1000/$B20,0),IF(A20=2,D19,IF(A20&gt;3,IF(AND(B19&lt;B18,B18&lt;B17),IF(C19&gt;=1000,D19+ROUNDDOWN(1000/$B20,0),D19),IF($B19=MAX($B$3:$B19),0,D19)),IF($B19=MAX($B$3:$B19),0,D19))))</f>
        <v>0</v>
      </c>
      <c r="E20">
        <f t="shared" si="0"/>
        <v>0</v>
      </c>
    </row>
    <row r="21" spans="1:5" x14ac:dyDescent="0.25">
      <c r="A21">
        <v>19</v>
      </c>
      <c r="B21" s="5">
        <v>76.040000000000006</v>
      </c>
      <c r="C21" s="5">
        <f>IF($A21=1,$C$2-(ROUNDDOWN(1000/$B21,0)*$B21),IF(A21=2,C20,IF(A21&gt;3,IF(AND(B20&lt;B19,B19&lt;B18),IF(C20&gt;=1000,C20-(ROUNDDOWN(1000/$B21,0)*$B21),C20),IF($B20=MAX($B$3:$B20),C20+(D20*B21),C20)),IF($B20=MAX($B$3:$B20),C20+(D20*B21),C20))))</f>
        <v>5052.2</v>
      </c>
      <c r="D21">
        <f>IF($A21=1,D20+ROUNDDOWN(1000/$B21,0),IF(A21=2,D20,IF(A21&gt;3,IF(AND(B20&lt;B19,B19&lt;B18),IF(C20&gt;=1000,D20+ROUNDDOWN(1000/$B21,0),D20),IF($B20=MAX($B$3:$B20),0,D20)),IF($B20=MAX($B$3:$B20),0,D20))))</f>
        <v>0</v>
      </c>
      <c r="E21">
        <f t="shared" si="0"/>
        <v>0</v>
      </c>
    </row>
    <row r="22" spans="1:5" x14ac:dyDescent="0.25">
      <c r="A22">
        <v>20</v>
      </c>
      <c r="B22" s="5">
        <v>77.11</v>
      </c>
      <c r="C22" s="5">
        <f>IF($A22=1,$C$2-(ROUNDDOWN(1000/$B22,0)*$B22),IF(A22=2,C21,IF(A22&gt;3,IF(AND(B21&lt;B20,B20&lt;B19),IF(C21&gt;=1000,C21-(ROUNDDOWN(1000/$B22,0)*$B22),C21),IF($B21=MAX($B$3:$B21),C21+(D21*B22),C21)),IF($B21=MAX($B$3:$B21),C21+(D21*B22),C21))))</f>
        <v>4126.88</v>
      </c>
      <c r="D22">
        <f>IF($A22=1,D21+ROUNDDOWN(1000/$B22,0),IF(A22=2,D21,IF(A22&gt;3,IF(AND(B21&lt;B20,B20&lt;B19),IF(C21&gt;=1000,D21+ROUNDDOWN(1000/$B22,0),D21),IF($B21=MAX($B$3:$B21),0,D21)),IF($B21=MAX($B$3:$B21),0,D21))))</f>
        <v>12</v>
      </c>
      <c r="E22">
        <f t="shared" si="0"/>
        <v>1</v>
      </c>
    </row>
    <row r="23" spans="1:5" x14ac:dyDescent="0.25">
      <c r="A23">
        <v>21</v>
      </c>
      <c r="B23" s="5">
        <v>78.72</v>
      </c>
      <c r="C23" s="5">
        <f>IF($A23=1,$C$2-(ROUNDDOWN(1000/$B23,0)*$B23),IF(A23=2,C22,IF(A23&gt;3,IF(AND(B22&lt;B21,B21&lt;B20),IF(C22&gt;=1000,C22-(ROUNDDOWN(1000/$B23,0)*$B23),C22),IF($B22=MAX($B$3:$B22),C22+(D22*B23),C22)),IF($B22=MAX($B$3:$B22),C22+(D22*B23),C22))))</f>
        <v>4126.88</v>
      </c>
      <c r="D23">
        <f>IF($A23=1,D22+ROUNDDOWN(1000/$B23,0),IF(A23=2,D22,IF(A23&gt;3,IF(AND(B22&lt;B21,B21&lt;B20),IF(C22&gt;=1000,D22+ROUNDDOWN(1000/$B23,0),D22),IF($B22=MAX($B$3:$B22),0,D22)),IF($B22=MAX($B$3:$B22),0,D22))))</f>
        <v>12</v>
      </c>
      <c r="E23">
        <f t="shared" si="0"/>
        <v>0</v>
      </c>
    </row>
    <row r="24" spans="1:5" x14ac:dyDescent="0.25">
      <c r="A24">
        <v>22</v>
      </c>
      <c r="B24" s="5">
        <v>77</v>
      </c>
      <c r="C24" s="5">
        <f>IF($A24=1,$C$2-(ROUNDDOWN(1000/$B24,0)*$B24),IF(A24=2,C23,IF(A24&gt;3,IF(AND(B23&lt;B22,B22&lt;B21),IF(C23&gt;=1000,C23-(ROUNDDOWN(1000/$B24,0)*$B24),C23),IF($B23=MAX($B$3:$B23),C23+(D23*B24),C23)),IF($B23=MAX($B$3:$B23),C23+(D23*B24),C23))))</f>
        <v>4126.88</v>
      </c>
      <c r="D24">
        <f>IF($A24=1,D23+ROUNDDOWN(1000/$B24,0),IF(A24=2,D23,IF(A24&gt;3,IF(AND(B23&lt;B22,B22&lt;B21),IF(C23&gt;=1000,D23+ROUNDDOWN(1000/$B24,0),D23),IF($B23=MAX($B$3:$B23),0,D23)),IF($B23=MAX($B$3:$B23),0,D23))))</f>
        <v>12</v>
      </c>
      <c r="E24">
        <f t="shared" si="0"/>
        <v>0</v>
      </c>
    </row>
    <row r="25" spans="1:5" x14ac:dyDescent="0.25">
      <c r="A25">
        <v>23</v>
      </c>
      <c r="B25" s="5">
        <v>79.03</v>
      </c>
      <c r="C25" s="5">
        <f>IF($A25=1,$C$2-(ROUNDDOWN(1000/$B25,0)*$B25),IF(A25=2,C24,IF(A25&gt;3,IF(AND(B24&lt;B23,B23&lt;B22),IF(C24&gt;=1000,C24-(ROUNDDOWN(1000/$B25,0)*$B25),C24),IF($B24=MAX($B$3:$B24),C24+(D24*B25),C24)),IF($B24=MAX($B$3:$B24),C24+(D24*B25),C24))))</f>
        <v>4126.88</v>
      </c>
      <c r="D25">
        <f>IF($A25=1,D24+ROUNDDOWN(1000/$B25,0),IF(A25=2,D24,IF(A25&gt;3,IF(AND(B24&lt;B23,B23&lt;B22),IF(C24&gt;=1000,D24+ROUNDDOWN(1000/$B25,0),D24),IF($B24=MAX($B$3:$B24),0,D24)),IF($B24=MAX($B$3:$B24),0,D24))))</f>
        <v>12</v>
      </c>
      <c r="E25">
        <f t="shared" si="0"/>
        <v>0</v>
      </c>
    </row>
    <row r="26" spans="1:5" x14ac:dyDescent="0.25">
      <c r="A26">
        <v>24</v>
      </c>
      <c r="B26" s="5">
        <v>77.540000000000006</v>
      </c>
      <c r="C26" s="5">
        <f>IF($A26=1,$C$2-(ROUNDDOWN(1000/$B26,0)*$B26),IF(A26=2,C25,IF(A26&gt;3,IF(AND(B25&lt;B24,B24&lt;B23),IF(C25&gt;=1000,C25-(ROUNDDOWN(1000/$B26,0)*$B26),C25),IF($B25=MAX($B$3:$B25),C25+(D25*B26),C25)),IF($B25=MAX($B$3:$B25),C25+(D25*B26),C25))))</f>
        <v>4126.88</v>
      </c>
      <c r="D26">
        <f>IF($A26=1,D25+ROUNDDOWN(1000/$B26,0),IF(A26=2,D25,IF(A26&gt;3,IF(AND(B25&lt;B24,B24&lt;B23),IF(C25&gt;=1000,D25+ROUNDDOWN(1000/$B26,0),D25),IF($B25=MAX($B$3:$B25),0,D25)),IF($B25=MAX($B$3:$B25),0,D25))))</f>
        <v>12</v>
      </c>
      <c r="E26">
        <f t="shared" si="0"/>
        <v>0</v>
      </c>
    </row>
    <row r="27" spans="1:5" x14ac:dyDescent="0.25">
      <c r="A27">
        <v>25</v>
      </c>
      <c r="B27" s="5">
        <v>76.08</v>
      </c>
      <c r="C27" s="5">
        <f>IF($A27=1,$C$2-(ROUNDDOWN(1000/$B27,0)*$B27),IF(A27=2,C26,IF(A27&gt;3,IF(AND(B26&lt;B25,B25&lt;B24),IF(C26&gt;=1000,C26-(ROUNDDOWN(1000/$B27,0)*$B27),C26),IF($B26=MAX($B$3:$B26),C26+(D26*B27),C26)),IF($B26=MAX($B$3:$B26),C26+(D26*B27),C26))))</f>
        <v>4126.88</v>
      </c>
      <c r="D27">
        <f>IF($A27=1,D26+ROUNDDOWN(1000/$B27,0),IF(A27=2,D26,IF(A27&gt;3,IF(AND(B26&lt;B25,B25&lt;B24),IF(C26&gt;=1000,D26+ROUNDDOWN(1000/$B27,0),D26),IF($B26=MAX($B$3:$B26),0,D26)),IF($B26=MAX($B$3:$B26),0,D26))))</f>
        <v>12</v>
      </c>
      <c r="E27">
        <f t="shared" si="0"/>
        <v>0</v>
      </c>
    </row>
    <row r="28" spans="1:5" x14ac:dyDescent="0.25">
      <c r="A28">
        <v>26</v>
      </c>
      <c r="B28" s="5">
        <v>74.11</v>
      </c>
      <c r="C28" s="5">
        <f>IF($A28=1,$C$2-(ROUNDDOWN(1000/$B28,0)*$B28),IF(A28=2,C27,IF(A28&gt;3,IF(AND(B27&lt;B26,B26&lt;B25),IF(C27&gt;=1000,C27-(ROUNDDOWN(1000/$B28,0)*$B28),C27),IF($B27=MAX($B$3:$B27),C27+(D27*B28),C27)),IF($B27=MAX($B$3:$B27),C27+(D27*B28),C27))))</f>
        <v>3163.4500000000003</v>
      </c>
      <c r="D28">
        <f>IF($A28=1,D27+ROUNDDOWN(1000/$B28,0),IF(A28=2,D27,IF(A28&gt;3,IF(AND(B27&lt;B26,B26&lt;B25),IF(C27&gt;=1000,D27+ROUNDDOWN(1000/$B28,0),D27),IF($B27=MAX($B$3:$B27),0,D27)),IF($B27=MAX($B$3:$B27),0,D27))))</f>
        <v>25</v>
      </c>
      <c r="E28">
        <f t="shared" si="0"/>
        <v>1</v>
      </c>
    </row>
    <row r="29" spans="1:5" x14ac:dyDescent="0.25">
      <c r="A29">
        <v>27</v>
      </c>
      <c r="B29" s="5">
        <v>72.23</v>
      </c>
      <c r="C29" s="5">
        <f>IF($A29=1,$C$2-(ROUNDDOWN(1000/$B29,0)*$B29),IF(A29=2,C28,IF(A29&gt;3,IF(AND(B28&lt;B27,B27&lt;B26),IF(C28&gt;=1000,C28-(ROUNDDOWN(1000/$B29,0)*$B29),C28),IF($B28=MAX($B$3:$B28),C28+(D28*B29),C28)),IF($B28=MAX($B$3:$B28),C28+(D28*B29),C28))))</f>
        <v>2224.46</v>
      </c>
      <c r="D29">
        <f>IF($A29=1,D28+ROUNDDOWN(1000/$B29,0),IF(A29=2,D28,IF(A29&gt;3,IF(AND(B28&lt;B27,B27&lt;B26),IF(C28&gt;=1000,D28+ROUNDDOWN(1000/$B29,0),D28),IF($B28=MAX($B$3:$B28),0,D28)),IF($B28=MAX($B$3:$B28),0,D28))))</f>
        <v>38</v>
      </c>
      <c r="E29">
        <f t="shared" si="0"/>
        <v>1</v>
      </c>
    </row>
    <row r="30" spans="1:5" x14ac:dyDescent="0.25">
      <c r="A30">
        <v>28</v>
      </c>
      <c r="B30" s="5">
        <v>72.239999999999995</v>
      </c>
      <c r="C30" s="5">
        <f>IF($A30=1,$C$2-(ROUNDDOWN(1000/$B30,0)*$B30),IF(A30=2,C29,IF(A30&gt;3,IF(AND(B29&lt;B28,B28&lt;B27),IF(C29&gt;=1000,C29-(ROUNDDOWN(1000/$B30,0)*$B30),C29),IF($B29=MAX($B$3:$B29),C29+(D29*B30),C29)),IF($B29=MAX($B$3:$B29),C29+(D29*B30),C29))))</f>
        <v>1285.3400000000001</v>
      </c>
      <c r="D30">
        <f>IF($A30=1,D29+ROUNDDOWN(1000/$B30,0),IF(A30=2,D29,IF(A30&gt;3,IF(AND(B29&lt;B28,B28&lt;B27),IF(C29&gt;=1000,D29+ROUNDDOWN(1000/$B30,0),D29),IF($B29=MAX($B$3:$B29),0,D29)),IF($B29=MAX($B$3:$B29),0,D29))))</f>
        <v>51</v>
      </c>
      <c r="E30">
        <f t="shared" si="0"/>
        <v>1</v>
      </c>
    </row>
    <row r="31" spans="1:5" x14ac:dyDescent="0.25">
      <c r="A31">
        <v>29</v>
      </c>
      <c r="B31" s="5">
        <v>74.19</v>
      </c>
      <c r="C31" s="5">
        <f>IF($A31=1,$C$2-(ROUNDDOWN(1000/$B31,0)*$B31),IF(A31=2,C30,IF(A31&gt;3,IF(AND(B30&lt;B29,B29&lt;B28),IF(C30&gt;=1000,C30-(ROUNDDOWN(1000/$B31,0)*$B31),C30),IF($B30=MAX($B$3:$B30),C30+(D30*B31),C30)),IF($B30=MAX($B$3:$B30),C30+(D30*B31),C30))))</f>
        <v>1285.3400000000001</v>
      </c>
      <c r="D31">
        <f>IF($A31=1,D30+ROUNDDOWN(1000/$B31,0),IF(A31=2,D30,IF(A31&gt;3,IF(AND(B30&lt;B29,B29&lt;B28),IF(C30&gt;=1000,D30+ROUNDDOWN(1000/$B31,0),D30),IF($B30=MAX($B$3:$B30),0,D30)),IF($B30=MAX($B$3:$B30),0,D30))))</f>
        <v>51</v>
      </c>
      <c r="E31">
        <f t="shared" si="0"/>
        <v>0</v>
      </c>
    </row>
    <row r="32" spans="1:5" x14ac:dyDescent="0.25">
      <c r="A32">
        <v>30</v>
      </c>
      <c r="B32" s="5">
        <v>75.75</v>
      </c>
      <c r="C32" s="5">
        <f>IF($A32=1,$C$2-(ROUNDDOWN(1000/$B32,0)*$B32),IF(A32=2,C31,IF(A32&gt;3,IF(AND(B31&lt;B30,B30&lt;B29),IF(C31&gt;=1000,C31-(ROUNDDOWN(1000/$B32,0)*$B32),C31),IF($B31=MAX($B$3:$B31),C31+(D31*B32),C31)),IF($B31=MAX($B$3:$B31),C31+(D31*B32),C31))))</f>
        <v>1285.3400000000001</v>
      </c>
      <c r="D32">
        <f>IF($A32=1,D31+ROUNDDOWN(1000/$B32,0),IF(A32=2,D31,IF(A32&gt;3,IF(AND(B31&lt;B30,B30&lt;B29),IF(C31&gt;=1000,D31+ROUNDDOWN(1000/$B32,0),D31),IF($B31=MAX($B$3:$B31),0,D31)),IF($B31=MAX($B$3:$B31),0,D31))))</f>
        <v>51</v>
      </c>
      <c r="E32">
        <f t="shared" si="0"/>
        <v>0</v>
      </c>
    </row>
    <row r="33" spans="1:5" x14ac:dyDescent="0.25">
      <c r="A33">
        <v>31</v>
      </c>
      <c r="B33" s="5">
        <v>74.11</v>
      </c>
      <c r="C33" s="5">
        <f>IF($A33=1,$C$2-(ROUNDDOWN(1000/$B33,0)*$B33),IF(A33=2,C32,IF(A33&gt;3,IF(AND(B32&lt;B31,B31&lt;B30),IF(C32&gt;=1000,C32-(ROUNDDOWN(1000/$B33,0)*$B33),C32),IF($B32=MAX($B$3:$B32),C32+(D32*B33),C32)),IF($B32=MAX($B$3:$B32),C32+(D32*B33),C32))))</f>
        <v>1285.3400000000001</v>
      </c>
      <c r="D33">
        <f>IF($A33=1,D32+ROUNDDOWN(1000/$B33,0),IF(A33=2,D32,IF(A33&gt;3,IF(AND(B32&lt;B31,B31&lt;B30),IF(C32&gt;=1000,D32+ROUNDDOWN(1000/$B33,0),D32),IF($B32=MAX($B$3:$B32),0,D32)),IF($B32=MAX($B$3:$B32),0,D32))))</f>
        <v>51</v>
      </c>
      <c r="E33">
        <f t="shared" si="0"/>
        <v>0</v>
      </c>
    </row>
    <row r="34" spans="1:5" x14ac:dyDescent="0.25">
      <c r="A34">
        <v>32</v>
      </c>
      <c r="B34" s="5">
        <v>74.75</v>
      </c>
      <c r="C34" s="5">
        <f>IF($A34=1,$C$2-(ROUNDDOWN(1000/$B34,0)*$B34),IF(A34=2,C33,IF(A34&gt;3,IF(AND(B33&lt;B32,B32&lt;B31),IF(C33&gt;=1000,C33-(ROUNDDOWN(1000/$B34,0)*$B34),C33),IF($B33=MAX($B$3:$B33),C33+(D33*B34),C33)),IF($B33=MAX($B$3:$B33),C33+(D33*B34),C33))))</f>
        <v>1285.3400000000001</v>
      </c>
      <c r="D34">
        <f>IF($A34=1,D33+ROUNDDOWN(1000/$B34,0),IF(A34=2,D33,IF(A34&gt;3,IF(AND(B33&lt;B32,B32&lt;B31),IF(C33&gt;=1000,D33+ROUNDDOWN(1000/$B34,0),D33),IF($B33=MAX($B$3:$B33),0,D33)),IF($B33=MAX($B$3:$B33),0,D33))))</f>
        <v>51</v>
      </c>
      <c r="E34">
        <f t="shared" si="0"/>
        <v>0</v>
      </c>
    </row>
    <row r="35" spans="1:5" x14ac:dyDescent="0.25">
      <c r="A35">
        <v>33</v>
      </c>
      <c r="B35" s="5">
        <v>72.89</v>
      </c>
      <c r="C35" s="5">
        <f>IF($A35=1,$C$2-(ROUNDDOWN(1000/$B35,0)*$B35),IF(A35=2,C34,IF(A35&gt;3,IF(AND(B34&lt;B33,B33&lt;B32),IF(C34&gt;=1000,C34-(ROUNDDOWN(1000/$B35,0)*$B35),C34),IF($B34=MAX($B$3:$B34),C34+(D34*B35),C34)),IF($B34=MAX($B$3:$B34),C34+(D34*B35),C34))))</f>
        <v>1285.3400000000001</v>
      </c>
      <c r="D35">
        <f>IF($A35=1,D34+ROUNDDOWN(1000/$B35,0),IF(A35=2,D34,IF(A35&gt;3,IF(AND(B34&lt;B33,B33&lt;B32),IF(C34&gt;=1000,D34+ROUNDDOWN(1000/$B35,0),D34),IF($B34=MAX($B$3:$B34),0,D34)),IF($B34=MAX($B$3:$B34),0,D34))))</f>
        <v>51</v>
      </c>
      <c r="E35">
        <f t="shared" si="0"/>
        <v>0</v>
      </c>
    </row>
    <row r="36" spans="1:5" x14ac:dyDescent="0.25">
      <c r="A36">
        <v>34</v>
      </c>
      <c r="B36" s="5">
        <v>71.260000000000005</v>
      </c>
      <c r="C36" s="5">
        <f>IF($A36=1,$C$2-(ROUNDDOWN(1000/$B36,0)*$B36),IF(A36=2,C35,IF(A36&gt;3,IF(AND(B35&lt;B34,B34&lt;B33),IF(C35&gt;=1000,C35-(ROUNDDOWN(1000/$B36,0)*$B36),C35),IF($B35=MAX($B$3:$B35),C35+(D35*B36),C35)),IF($B35=MAX($B$3:$B35),C35+(D35*B36),C35))))</f>
        <v>1285.3400000000001</v>
      </c>
      <c r="D36">
        <f>IF($A36=1,D35+ROUNDDOWN(1000/$B36,0),IF(A36=2,D35,IF(A36&gt;3,IF(AND(B35&lt;B34,B34&lt;B33),IF(C35&gt;=1000,D35+ROUNDDOWN(1000/$B36,0),D35),IF($B35=MAX($B$3:$B35),0,D35)),IF($B35=MAX($B$3:$B35),0,D35))))</f>
        <v>51</v>
      </c>
      <c r="E36">
        <f t="shared" si="0"/>
        <v>0</v>
      </c>
    </row>
    <row r="37" spans="1:5" x14ac:dyDescent="0.25">
      <c r="A37">
        <v>35</v>
      </c>
      <c r="B37" s="5">
        <v>72.92</v>
      </c>
      <c r="C37" s="5">
        <f>IF($A37=1,$C$2-(ROUNDDOWN(1000/$B37,0)*$B37),IF(A37=2,C36,IF(A37&gt;3,IF(AND(B36&lt;B35,B35&lt;B34),IF(C36&gt;=1000,C36-(ROUNDDOWN(1000/$B37,0)*$B37),C36),IF($B36=MAX($B$3:$B36),C36+(D36*B37),C36)),IF($B36=MAX($B$3:$B36),C36+(D36*B37),C36))))</f>
        <v>337.38000000000011</v>
      </c>
      <c r="D37">
        <f>IF($A37=1,D36+ROUNDDOWN(1000/$B37,0),IF(A37=2,D36,IF(A37&gt;3,IF(AND(B36&lt;B35,B35&lt;B34),IF(C36&gt;=1000,D36+ROUNDDOWN(1000/$B37,0),D36),IF($B36=MAX($B$3:$B36),0,D36)),IF($B36=MAX($B$3:$B36),0,D36))))</f>
        <v>64</v>
      </c>
      <c r="E37">
        <f t="shared" si="0"/>
        <v>1</v>
      </c>
    </row>
    <row r="38" spans="1:5" x14ac:dyDescent="0.25">
      <c r="A38">
        <v>36</v>
      </c>
      <c r="B38" s="5">
        <v>73.63</v>
      </c>
      <c r="C38" s="5">
        <f>IF($A38=1,$C$2-(ROUNDDOWN(1000/$B38,0)*$B38),IF(A38=2,C37,IF(A38&gt;3,IF(AND(B37&lt;B36,B36&lt;B35),IF(C37&gt;=1000,C37-(ROUNDDOWN(1000/$B38,0)*$B38),C37),IF($B37=MAX($B$3:$B37),C37+(D37*B38),C37)),IF($B37=MAX($B$3:$B37),C37+(D37*B38),C37))))</f>
        <v>337.38000000000011</v>
      </c>
      <c r="D38">
        <f>IF($A38=1,D37+ROUNDDOWN(1000/$B38,0),IF(A38=2,D37,IF(A38&gt;3,IF(AND(B37&lt;B36,B36&lt;B35),IF(C37&gt;=1000,D37+ROUNDDOWN(1000/$B38,0),D37),IF($B37=MAX($B$3:$B37),0,D37)),IF($B37=MAX($B$3:$B37),0,D37))))</f>
        <v>64</v>
      </c>
      <c r="E38">
        <f t="shared" si="0"/>
        <v>0</v>
      </c>
    </row>
    <row r="39" spans="1:5" x14ac:dyDescent="0.25">
      <c r="A39">
        <v>37</v>
      </c>
      <c r="B39" s="5">
        <v>72.040000000000006</v>
      </c>
      <c r="C39" s="5">
        <f>IF($A39=1,$C$2-(ROUNDDOWN(1000/$B39,0)*$B39),IF(A39=2,C38,IF(A39&gt;3,IF(AND(B38&lt;B37,B37&lt;B36),IF(C38&gt;=1000,C38-(ROUNDDOWN(1000/$B39,0)*$B39),C38),IF($B38=MAX($B$3:$B38),C38+(D38*B39),C38)),IF($B38=MAX($B$3:$B38),C38+(D38*B39),C38))))</f>
        <v>337.38000000000011</v>
      </c>
      <c r="D39">
        <f>IF($A39=1,D38+ROUNDDOWN(1000/$B39,0),IF(A39=2,D38,IF(A39&gt;3,IF(AND(B38&lt;B37,B37&lt;B36),IF(C38&gt;=1000,D38+ROUNDDOWN(1000/$B39,0),D38),IF($B38=MAX($B$3:$B38),0,D38)),IF($B38=MAX($B$3:$B38),0,D38))))</f>
        <v>64</v>
      </c>
      <c r="E39">
        <f t="shared" si="0"/>
        <v>0</v>
      </c>
    </row>
    <row r="40" spans="1:5" x14ac:dyDescent="0.25">
      <c r="A40">
        <v>38</v>
      </c>
      <c r="B40" s="5">
        <v>70.16</v>
      </c>
      <c r="C40" s="5">
        <f>IF($A40=1,$C$2-(ROUNDDOWN(1000/$B40,0)*$B40),IF(A40=2,C39,IF(A40&gt;3,IF(AND(B39&lt;B38,B38&lt;B37),IF(C39&gt;=1000,C39-(ROUNDDOWN(1000/$B40,0)*$B40),C39),IF($B39=MAX($B$3:$B39),C39+(D39*B40),C39)),IF($B39=MAX($B$3:$B39),C39+(D39*B40),C39))))</f>
        <v>337.38000000000011</v>
      </c>
      <c r="D40">
        <f>IF($A40=1,D39+ROUNDDOWN(1000/$B40,0),IF(A40=2,D39,IF(A40&gt;3,IF(AND(B39&lt;B38,B38&lt;B37),IF(C39&gt;=1000,D39+ROUNDDOWN(1000/$B40,0),D39),IF($B39=MAX($B$3:$B39),0,D39)),IF($B39=MAX($B$3:$B39),0,D39))))</f>
        <v>64</v>
      </c>
      <c r="E40">
        <f t="shared" si="0"/>
        <v>0</v>
      </c>
    </row>
    <row r="41" spans="1:5" x14ac:dyDescent="0.25">
      <c r="A41">
        <v>39</v>
      </c>
      <c r="B41" s="5">
        <v>72.239999999999995</v>
      </c>
      <c r="C41" s="5">
        <f>IF($A41=1,$C$2-(ROUNDDOWN(1000/$B41,0)*$B41),IF(A41=2,C40,IF(A41&gt;3,IF(AND(B40&lt;B39,B39&lt;B38),IF(C40&gt;=1000,C40-(ROUNDDOWN(1000/$B41,0)*$B41),C40),IF($B40=MAX($B$3:$B40),C40+(D40*B41),C40)),IF($B40=MAX($B$3:$B40),C40+(D40*B41),C40))))</f>
        <v>337.38000000000011</v>
      </c>
      <c r="D41">
        <f>IF($A41=1,D40+ROUNDDOWN(1000/$B41,0),IF(A41=2,D40,IF(A41&gt;3,IF(AND(B40&lt;B39,B39&lt;B38),IF(C40&gt;=1000,D40+ROUNDDOWN(1000/$B41,0),D40),IF($B40=MAX($B$3:$B40),0,D40)),IF($B40=MAX($B$3:$B40),0,D40))))</f>
        <v>64</v>
      </c>
      <c r="E41">
        <f t="shared" si="0"/>
        <v>0</v>
      </c>
    </row>
    <row r="42" spans="1:5" x14ac:dyDescent="0.25">
      <c r="A42">
        <v>40</v>
      </c>
      <c r="B42" s="5">
        <v>70.25</v>
      </c>
      <c r="C42" s="5">
        <f>IF($A42=1,$C$2-(ROUNDDOWN(1000/$B42,0)*$B42),IF(A42=2,C41,IF(A42&gt;3,IF(AND(B41&lt;B40,B40&lt;B39),IF(C41&gt;=1000,C41-(ROUNDDOWN(1000/$B42,0)*$B42),C41),IF($B41=MAX($B$3:$B41),C41+(D41*B42),C41)),IF($B41=MAX($B$3:$B41),C41+(D41*B42),C41))))</f>
        <v>337.38000000000011</v>
      </c>
      <c r="D42">
        <f>IF($A42=1,D41+ROUNDDOWN(1000/$B42,0),IF(A42=2,D41,IF(A42&gt;3,IF(AND(B41&lt;B40,B40&lt;B39),IF(C41&gt;=1000,D41+ROUNDDOWN(1000/$B42,0),D41),IF($B41=MAX($B$3:$B41),0,D41)),IF($B41=MAX($B$3:$B41),0,D41))))</f>
        <v>64</v>
      </c>
      <c r="E42">
        <f t="shared" si="0"/>
        <v>0</v>
      </c>
    </row>
    <row r="43" spans="1:5" x14ac:dyDescent="0.25">
      <c r="A43">
        <v>41</v>
      </c>
      <c r="B43" s="5">
        <v>71.67</v>
      </c>
      <c r="C43" s="5">
        <f>IF($A43=1,$C$2-(ROUNDDOWN(1000/$B43,0)*$B43),IF(A43=2,C42,IF(A43&gt;3,IF(AND(B42&lt;B41,B41&lt;B40),IF(C42&gt;=1000,C42-(ROUNDDOWN(1000/$B43,0)*$B43),C42),IF($B42=MAX($B$3:$B42),C42+(D42*B43),C42)),IF($B42=MAX($B$3:$B42),C42+(D42*B43),C42))))</f>
        <v>337.38000000000011</v>
      </c>
      <c r="D43">
        <f>IF($A43=1,D42+ROUNDDOWN(1000/$B43,0),IF(A43=2,D42,IF(A43&gt;3,IF(AND(B42&lt;B41,B41&lt;B40),IF(C42&gt;=1000,D42+ROUNDDOWN(1000/$B43,0),D42),IF($B42=MAX($B$3:$B42),0,D42)),IF($B42=MAX($B$3:$B42),0,D42))))</f>
        <v>64</v>
      </c>
      <c r="E43">
        <f t="shared" si="0"/>
        <v>0</v>
      </c>
    </row>
    <row r="44" spans="1:5" x14ac:dyDescent="0.25">
      <c r="A44">
        <v>42</v>
      </c>
      <c r="B44" s="5">
        <v>73.099999999999994</v>
      </c>
      <c r="C44" s="5">
        <f>IF($A44=1,$C$2-(ROUNDDOWN(1000/$B44,0)*$B44),IF(A44=2,C43,IF(A44&gt;3,IF(AND(B43&lt;B42,B42&lt;B41),IF(C43&gt;=1000,C43-(ROUNDDOWN(1000/$B44,0)*$B44),C43),IF($B43=MAX($B$3:$B43),C43+(D43*B44),C43)),IF($B43=MAX($B$3:$B43),C43+(D43*B44),C43))))</f>
        <v>337.38000000000011</v>
      </c>
      <c r="D44">
        <f>IF($A44=1,D43+ROUNDDOWN(1000/$B44,0),IF(A44=2,D43,IF(A44&gt;3,IF(AND(B43&lt;B42,B42&lt;B41),IF(C43&gt;=1000,D43+ROUNDDOWN(1000/$B44,0),D43),IF($B43=MAX($B$3:$B43),0,D43)),IF($B43=MAX($B$3:$B43),0,D43))))</f>
        <v>64</v>
      </c>
      <c r="E44">
        <f t="shared" si="0"/>
        <v>0</v>
      </c>
    </row>
    <row r="45" spans="1:5" x14ac:dyDescent="0.25">
      <c r="A45">
        <v>43</v>
      </c>
      <c r="B45" s="5">
        <v>74.36</v>
      </c>
      <c r="C45" s="5">
        <f>IF($A45=1,$C$2-(ROUNDDOWN(1000/$B45,0)*$B45),IF(A45=2,C44,IF(A45&gt;3,IF(AND(B44&lt;B43,B43&lt;B42),IF(C44&gt;=1000,C44-(ROUNDDOWN(1000/$B45,0)*$B45),C44),IF($B44=MAX($B$3:$B44),C44+(D44*B45),C44)),IF($B44=MAX($B$3:$B44),C44+(D44*B45),C44))))</f>
        <v>337.38000000000011</v>
      </c>
      <c r="D45">
        <f>IF($A45=1,D44+ROUNDDOWN(1000/$B45,0),IF(A45=2,D44,IF(A45&gt;3,IF(AND(B44&lt;B43,B43&lt;B42),IF(C44&gt;=1000,D44+ROUNDDOWN(1000/$B45,0),D44),IF($B44=MAX($B$3:$B44),0,D44)),IF($B44=MAX($B$3:$B44),0,D44))))</f>
        <v>64</v>
      </c>
      <c r="E45">
        <f t="shared" si="0"/>
        <v>0</v>
      </c>
    </row>
    <row r="46" spans="1:5" x14ac:dyDescent="0.25">
      <c r="A46">
        <v>44</v>
      </c>
      <c r="B46" s="5">
        <v>72.81</v>
      </c>
      <c r="C46" s="5">
        <f>IF($A46=1,$C$2-(ROUNDDOWN(1000/$B46,0)*$B46),IF(A46=2,C45,IF(A46&gt;3,IF(AND(B45&lt;B44,B44&lt;B43),IF(C45&gt;=1000,C45-(ROUNDDOWN(1000/$B46,0)*$B46),C45),IF($B45=MAX($B$3:$B45),C45+(D45*B46),C45)),IF($B45=MAX($B$3:$B45),C45+(D45*B46),C45))))</f>
        <v>337.38000000000011</v>
      </c>
      <c r="D46">
        <f>IF($A46=1,D45+ROUNDDOWN(1000/$B46,0),IF(A46=2,D45,IF(A46&gt;3,IF(AND(B45&lt;B44,B44&lt;B43),IF(C45&gt;=1000,D45+ROUNDDOWN(1000/$B46,0),D45),IF($B45=MAX($B$3:$B45),0,D45)),IF($B45=MAX($B$3:$B45),0,D45))))</f>
        <v>64</v>
      </c>
      <c r="E46">
        <f t="shared" si="0"/>
        <v>0</v>
      </c>
    </row>
    <row r="47" spans="1:5" x14ac:dyDescent="0.25">
      <c r="A47">
        <v>45</v>
      </c>
      <c r="B47" s="5">
        <v>71.02</v>
      </c>
      <c r="C47" s="5">
        <f>IF($A47=1,$C$2-(ROUNDDOWN(1000/$B47,0)*$B47),IF(A47=2,C46,IF(A47&gt;3,IF(AND(B46&lt;B45,B45&lt;B44),IF(C46&gt;=1000,C46-(ROUNDDOWN(1000/$B47,0)*$B47),C46),IF($B46=MAX($B$3:$B46),C46+(D46*B47),C46)),IF($B46=MAX($B$3:$B46),C46+(D46*B47),C46))))</f>
        <v>337.38000000000011</v>
      </c>
      <c r="D47">
        <f>IF($A47=1,D46+ROUNDDOWN(1000/$B47,0),IF(A47=2,D46,IF(A47&gt;3,IF(AND(B46&lt;B45,B45&lt;B44),IF(C46&gt;=1000,D46+ROUNDDOWN(1000/$B47,0),D46),IF($B46=MAX($B$3:$B46),0,D46)),IF($B46=MAX($B$3:$B46),0,D46))))</f>
        <v>64</v>
      </c>
      <c r="E47">
        <f t="shared" si="0"/>
        <v>0</v>
      </c>
    </row>
    <row r="48" spans="1:5" x14ac:dyDescent="0.25">
      <c r="A48">
        <v>46</v>
      </c>
      <c r="B48" s="5">
        <v>72.37</v>
      </c>
      <c r="C48" s="5">
        <f>IF($A48=1,$C$2-(ROUNDDOWN(1000/$B48,0)*$B48),IF(A48=2,C47,IF(A48&gt;3,IF(AND(B47&lt;B46,B46&lt;B45),IF(C47&gt;=1000,C47-(ROUNDDOWN(1000/$B48,0)*$B48),C47),IF($B47=MAX($B$3:$B47),C47+(D47*B48),C47)),IF($B47=MAX($B$3:$B47),C47+(D47*B48),C47))))</f>
        <v>337.38000000000011</v>
      </c>
      <c r="D48">
        <f>IF($A48=1,D47+ROUNDDOWN(1000/$B48,0),IF(A48=2,D47,IF(A48&gt;3,IF(AND(B47&lt;B46,B46&lt;B45),IF(C47&gt;=1000,D47+ROUNDDOWN(1000/$B48,0),D47),IF($B47=MAX($B$3:$B47),0,D47)),IF($B47=MAX($B$3:$B47),0,D47))))</f>
        <v>64</v>
      </c>
      <c r="E48">
        <f t="shared" si="0"/>
        <v>0</v>
      </c>
    </row>
    <row r="49" spans="1:5" x14ac:dyDescent="0.25">
      <c r="A49">
        <v>47</v>
      </c>
      <c r="B49" s="5">
        <v>72.58</v>
      </c>
      <c r="C49" s="5">
        <f>IF($A49=1,$C$2-(ROUNDDOWN(1000/$B49,0)*$B49),IF(A49=2,C48,IF(A49&gt;3,IF(AND(B48&lt;B47,B47&lt;B46),IF(C48&gt;=1000,C48-(ROUNDDOWN(1000/$B49,0)*$B49),C48),IF($B48=MAX($B$3:$B48),C48+(D48*B49),C48)),IF($B48=MAX($B$3:$B48),C48+(D48*B49),C48))))</f>
        <v>337.38000000000011</v>
      </c>
      <c r="D49">
        <f>IF($A49=1,D48+ROUNDDOWN(1000/$B49,0),IF(A49=2,D48,IF(A49&gt;3,IF(AND(B48&lt;B47,B47&lt;B46),IF(C48&gt;=1000,D48+ROUNDDOWN(1000/$B49,0),D48),IF($B48=MAX($B$3:$B48),0,D48)),IF($B48=MAX($B$3:$B48),0,D48))))</f>
        <v>64</v>
      </c>
      <c r="E49">
        <f t="shared" si="0"/>
        <v>0</v>
      </c>
    </row>
    <row r="50" spans="1:5" x14ac:dyDescent="0.25">
      <c r="A50">
        <v>48</v>
      </c>
      <c r="B50" s="5">
        <v>70.73</v>
      </c>
      <c r="C50" s="5">
        <f>IF($A50=1,$C$2-(ROUNDDOWN(1000/$B50,0)*$B50),IF(A50=2,C49,IF(A50&gt;3,IF(AND(B49&lt;B48,B48&lt;B47),IF(C49&gt;=1000,C49-(ROUNDDOWN(1000/$B50,0)*$B50),C49),IF($B49=MAX($B$3:$B49),C49+(D49*B50),C49)),IF($B49=MAX($B$3:$B49),C49+(D49*B50),C49))))</f>
        <v>337.38000000000011</v>
      </c>
      <c r="D50">
        <f>IF($A50=1,D49+ROUNDDOWN(1000/$B50,0),IF(A50=2,D49,IF(A50&gt;3,IF(AND(B49&lt;B48,B48&lt;B47),IF(C49&gt;=1000,D49+ROUNDDOWN(1000/$B50,0),D49),IF($B49=MAX($B$3:$B49),0,D49)),IF($B49=MAX($B$3:$B49),0,D49))))</f>
        <v>64</v>
      </c>
      <c r="E50">
        <f t="shared" si="0"/>
        <v>0</v>
      </c>
    </row>
    <row r="51" spans="1:5" x14ac:dyDescent="0.25">
      <c r="A51">
        <v>49</v>
      </c>
      <c r="B51" s="5">
        <v>69.03</v>
      </c>
      <c r="C51" s="5">
        <f>IF($A51=1,$C$2-(ROUNDDOWN(1000/$B51,0)*$B51),IF(A51=2,C50,IF(A51&gt;3,IF(AND(B50&lt;B49,B49&lt;B48),IF(C50&gt;=1000,C50-(ROUNDDOWN(1000/$B51,0)*$B51),C50),IF($B50=MAX($B$3:$B50),C50+(D50*B51),C50)),IF($B50=MAX($B$3:$B50),C50+(D50*B51),C50))))</f>
        <v>337.38000000000011</v>
      </c>
      <c r="D51">
        <f>IF($A51=1,D50+ROUNDDOWN(1000/$B51,0),IF(A51=2,D50,IF(A51&gt;3,IF(AND(B50&lt;B49,B49&lt;B48),IF(C50&gt;=1000,D50+ROUNDDOWN(1000/$B51,0),D50),IF($B50=MAX($B$3:$B50),0,D50)),IF($B50=MAX($B$3:$B50),0,D50))))</f>
        <v>64</v>
      </c>
      <c r="E51">
        <f t="shared" si="0"/>
        <v>0</v>
      </c>
    </row>
    <row r="52" spans="1:5" x14ac:dyDescent="0.25">
      <c r="A52">
        <v>50</v>
      </c>
      <c r="B52" s="5">
        <v>70</v>
      </c>
      <c r="C52" s="5">
        <f>IF($A52=1,$C$2-(ROUNDDOWN(1000/$B52,0)*$B52),IF(A52=2,C51,IF(A52&gt;3,IF(AND(B51&lt;B50,B50&lt;B49),IF(C51&gt;=1000,C51-(ROUNDDOWN(1000/$B52,0)*$B52),C51),IF($B51=MAX($B$3:$B51),C51+(D51*B52),C51)),IF($B51=MAX($B$3:$B51),C51+(D51*B52),C51))))</f>
        <v>337.38000000000011</v>
      </c>
      <c r="D52">
        <f>IF($A52=1,D51+ROUNDDOWN(1000/$B52,0),IF(A52=2,D51,IF(A52&gt;3,IF(AND(B51&lt;B50,B50&lt;B49),IF(C51&gt;=1000,D51+ROUNDDOWN(1000/$B52,0),D51),IF($B51=MAX($B$3:$B51),0,D51)),IF($B51=MAX($B$3:$B51),0,D51))))</f>
        <v>64</v>
      </c>
      <c r="E52">
        <f t="shared" si="0"/>
        <v>0</v>
      </c>
    </row>
    <row r="53" spans="1:5" x14ac:dyDescent="0.25">
      <c r="A53">
        <v>51</v>
      </c>
      <c r="B53" s="5">
        <v>68.27</v>
      </c>
      <c r="C53" s="5">
        <f>IF($A53=1,$C$2-(ROUNDDOWN(1000/$B53,0)*$B53),IF(A53=2,C52,IF(A53&gt;3,IF(AND(B52&lt;B51,B51&lt;B50),IF(C52&gt;=1000,C52-(ROUNDDOWN(1000/$B53,0)*$B53),C52),IF($B52=MAX($B$3:$B52),C52+(D52*B53),C52)),IF($B52=MAX($B$3:$B52),C52+(D52*B53),C52))))</f>
        <v>337.38000000000011</v>
      </c>
      <c r="D53">
        <f>IF($A53=1,D52+ROUNDDOWN(1000/$B53,0),IF(A53=2,D52,IF(A53&gt;3,IF(AND(B52&lt;B51,B51&lt;B50),IF(C52&gt;=1000,D52+ROUNDDOWN(1000/$B53,0),D52),IF($B52=MAX($B$3:$B52),0,D52)),IF($B52=MAX($B$3:$B52),0,D52))))</f>
        <v>64</v>
      </c>
      <c r="E53">
        <f t="shared" si="0"/>
        <v>0</v>
      </c>
    </row>
    <row r="54" spans="1:5" x14ac:dyDescent="0.25">
      <c r="A54">
        <v>52</v>
      </c>
      <c r="B54" s="5">
        <v>68.97</v>
      </c>
      <c r="C54" s="5">
        <f>IF($A54=1,$C$2-(ROUNDDOWN(1000/$B54,0)*$B54),IF(A54=2,C53,IF(A54&gt;3,IF(AND(B53&lt;B52,B52&lt;B51),IF(C53&gt;=1000,C53-(ROUNDDOWN(1000/$B54,0)*$B54),C53),IF($B53=MAX($B$3:$B53),C53+(D53*B54),C53)),IF($B53=MAX($B$3:$B53),C53+(D53*B54),C53))))</f>
        <v>337.38000000000011</v>
      </c>
      <c r="D54">
        <f>IF($A54=1,D53+ROUNDDOWN(1000/$B54,0),IF(A54=2,D53,IF(A54&gt;3,IF(AND(B53&lt;B52,B52&lt;B51),IF(C53&gt;=1000,D53+ROUNDDOWN(1000/$B54,0),D53),IF($B53=MAX($B$3:$B53),0,D53)),IF($B53=MAX($B$3:$B53),0,D53))))</f>
        <v>64</v>
      </c>
      <c r="E54">
        <f t="shared" si="0"/>
        <v>0</v>
      </c>
    </row>
    <row r="55" spans="1:5" x14ac:dyDescent="0.25">
      <c r="A55">
        <v>53</v>
      </c>
      <c r="B55" s="5">
        <v>67.489999999999995</v>
      </c>
      <c r="C55" s="5">
        <f>IF($A55=1,$C$2-(ROUNDDOWN(1000/$B55,0)*$B55),IF(A55=2,C54,IF(A55&gt;3,IF(AND(B54&lt;B53,B53&lt;B52),IF(C54&gt;=1000,C54-(ROUNDDOWN(1000/$B55,0)*$B55),C54),IF($B54=MAX($B$3:$B54),C54+(D54*B55),C54)),IF($B54=MAX($B$3:$B54),C54+(D54*B55),C54))))</f>
        <v>337.38000000000011</v>
      </c>
      <c r="D55">
        <f>IF($A55=1,D54+ROUNDDOWN(1000/$B55,0),IF(A55=2,D54,IF(A55&gt;3,IF(AND(B54&lt;B53,B53&lt;B52),IF(C54&gt;=1000,D54+ROUNDDOWN(1000/$B55,0),D54),IF($B54=MAX($B$3:$B54),0,D54)),IF($B54=MAX($B$3:$B54),0,D54))))</f>
        <v>64</v>
      </c>
      <c r="E55">
        <f t="shared" si="0"/>
        <v>0</v>
      </c>
    </row>
    <row r="56" spans="1:5" x14ac:dyDescent="0.25">
      <c r="A56">
        <v>54</v>
      </c>
      <c r="B56" s="5">
        <v>67.790000000000006</v>
      </c>
      <c r="C56" s="5">
        <f>IF($A56=1,$C$2-(ROUNDDOWN(1000/$B56,0)*$B56),IF(A56=2,C55,IF(A56&gt;3,IF(AND(B55&lt;B54,B54&lt;B53),IF(C55&gt;=1000,C55-(ROUNDDOWN(1000/$B56,0)*$B56),C55),IF($B55=MAX($B$3:$B55),C55+(D55*B56),C55)),IF($B55=MAX($B$3:$B55),C55+(D55*B56),C55))))</f>
        <v>337.38000000000011</v>
      </c>
      <c r="D56">
        <f>IF($A56=1,D55+ROUNDDOWN(1000/$B56,0),IF(A56=2,D55,IF(A56&gt;3,IF(AND(B55&lt;B54,B54&lt;B53),IF(C55&gt;=1000,D55+ROUNDDOWN(1000/$B56,0),D55),IF($B55=MAX($B$3:$B55),0,D55)),IF($B55=MAX($B$3:$B55),0,D55))))</f>
        <v>64</v>
      </c>
      <c r="E56">
        <f t="shared" si="0"/>
        <v>0</v>
      </c>
    </row>
    <row r="57" spans="1:5" x14ac:dyDescent="0.25">
      <c r="A57">
        <v>55</v>
      </c>
      <c r="B57" s="5">
        <v>68.91</v>
      </c>
      <c r="C57" s="5">
        <f>IF($A57=1,$C$2-(ROUNDDOWN(1000/$B57,0)*$B57),IF(A57=2,C56,IF(A57&gt;3,IF(AND(B56&lt;B55,B55&lt;B54),IF(C56&gt;=1000,C56-(ROUNDDOWN(1000/$B57,0)*$B57),C56),IF($B56=MAX($B$3:$B56),C56+(D56*B57),C56)),IF($B56=MAX($B$3:$B56),C56+(D56*B57),C56))))</f>
        <v>337.38000000000011</v>
      </c>
      <c r="D57">
        <f>IF($A57=1,D56+ROUNDDOWN(1000/$B57,0),IF(A57=2,D56,IF(A57&gt;3,IF(AND(B56&lt;B55,B55&lt;B54),IF(C56&gt;=1000,D56+ROUNDDOWN(1000/$B57,0),D56),IF($B56=MAX($B$3:$B56),0,D56)),IF($B56=MAX($B$3:$B56),0,D56))))</f>
        <v>64</v>
      </c>
      <c r="E57">
        <f t="shared" si="0"/>
        <v>0</v>
      </c>
    </row>
    <row r="58" spans="1:5" x14ac:dyDescent="0.25">
      <c r="A58">
        <v>56</v>
      </c>
      <c r="B58" s="5">
        <v>69.81</v>
      </c>
      <c r="C58" s="5">
        <f>IF($A58=1,$C$2-(ROUNDDOWN(1000/$B58,0)*$B58),IF(A58=2,C57,IF(A58&gt;3,IF(AND(B57&lt;B56,B56&lt;B55),IF(C57&gt;=1000,C57-(ROUNDDOWN(1000/$B58,0)*$B58),C57),IF($B57=MAX($B$3:$B57),C57+(D57*B58),C57)),IF($B57=MAX($B$3:$B57),C57+(D57*B58),C57))))</f>
        <v>337.38000000000011</v>
      </c>
      <c r="D58">
        <f>IF($A58=1,D57+ROUNDDOWN(1000/$B58,0),IF(A58=2,D57,IF(A58&gt;3,IF(AND(B57&lt;B56,B56&lt;B55),IF(C57&gt;=1000,D57+ROUNDDOWN(1000/$B58,0),D57),IF($B57=MAX($B$3:$B57),0,D57)),IF($B57=MAX($B$3:$B57),0,D57))))</f>
        <v>64</v>
      </c>
      <c r="E58">
        <f t="shared" si="0"/>
        <v>0</v>
      </c>
    </row>
    <row r="59" spans="1:5" x14ac:dyDescent="0.25">
      <c r="A59">
        <v>57</v>
      </c>
      <c r="B59" s="5">
        <v>67.84</v>
      </c>
      <c r="C59" s="5">
        <f>IF($A59=1,$C$2-(ROUNDDOWN(1000/$B59,0)*$B59),IF(A59=2,C58,IF(A59&gt;3,IF(AND(B58&lt;B57,B57&lt;B56),IF(C58&gt;=1000,C58-(ROUNDDOWN(1000/$B59,0)*$B59),C58),IF($B58=MAX($B$3:$B58),C58+(D58*B59),C58)),IF($B58=MAX($B$3:$B58),C58+(D58*B59),C58))))</f>
        <v>337.38000000000011</v>
      </c>
      <c r="D59">
        <f>IF($A59=1,D58+ROUNDDOWN(1000/$B59,0),IF(A59=2,D58,IF(A59&gt;3,IF(AND(B58&lt;B57,B57&lt;B56),IF(C58&gt;=1000,D58+ROUNDDOWN(1000/$B59,0),D58),IF($B58=MAX($B$3:$B58),0,D58)),IF($B58=MAX($B$3:$B58),0,D58))))</f>
        <v>64</v>
      </c>
      <c r="E59">
        <f t="shared" si="0"/>
        <v>0</v>
      </c>
    </row>
    <row r="60" spans="1:5" x14ac:dyDescent="0.25">
      <c r="A60">
        <v>58</v>
      </c>
      <c r="B60" s="5">
        <v>69.349999999999994</v>
      </c>
      <c r="C60" s="5">
        <f>IF($A60=1,$C$2-(ROUNDDOWN(1000/$B60,0)*$B60),IF(A60=2,C59,IF(A60&gt;3,IF(AND(B59&lt;B58,B58&lt;B57),IF(C59&gt;=1000,C59-(ROUNDDOWN(1000/$B60,0)*$B60),C59),IF($B59=MAX($B$3:$B59),C59+(D59*B60),C59)),IF($B59=MAX($B$3:$B59),C59+(D59*B60),C59))))</f>
        <v>337.38000000000011</v>
      </c>
      <c r="D60">
        <f>IF($A60=1,D59+ROUNDDOWN(1000/$B60,0),IF(A60=2,D59,IF(A60&gt;3,IF(AND(B59&lt;B58,B58&lt;B57),IF(C59&gt;=1000,D59+ROUNDDOWN(1000/$B60,0),D59),IF($B59=MAX($B$3:$B59),0,D59)),IF($B59=MAX($B$3:$B59),0,D59))))</f>
        <v>64</v>
      </c>
      <c r="E60">
        <f t="shared" si="0"/>
        <v>0</v>
      </c>
    </row>
    <row r="61" spans="1:5" x14ac:dyDescent="0.25">
      <c r="A61">
        <v>59</v>
      </c>
      <c r="B61" s="5">
        <v>69.709999999999994</v>
      </c>
      <c r="C61" s="5">
        <f>IF($A61=1,$C$2-(ROUNDDOWN(1000/$B61,0)*$B61),IF(A61=2,C60,IF(A61&gt;3,IF(AND(B60&lt;B59,B59&lt;B58),IF(C60&gt;=1000,C60-(ROUNDDOWN(1000/$B61,0)*$B61),C60),IF($B60=MAX($B$3:$B60),C60+(D60*B61),C60)),IF($B60=MAX($B$3:$B60),C60+(D60*B61),C60))))</f>
        <v>337.38000000000011</v>
      </c>
      <c r="D61">
        <f>IF($A61=1,D60+ROUNDDOWN(1000/$B61,0),IF(A61=2,D60,IF(A61&gt;3,IF(AND(B60&lt;B59,B59&lt;B58),IF(C60&gt;=1000,D60+ROUNDDOWN(1000/$B61,0),D60),IF($B60=MAX($B$3:$B60),0,D60)),IF($B60=MAX($B$3:$B60),0,D60))))</f>
        <v>64</v>
      </c>
      <c r="E61">
        <f t="shared" si="0"/>
        <v>0</v>
      </c>
    </row>
    <row r="62" spans="1:5" x14ac:dyDescent="0.25">
      <c r="A62">
        <v>60</v>
      </c>
      <c r="B62" s="5">
        <v>67.77</v>
      </c>
      <c r="C62" s="5">
        <f>IF($A62=1,$C$2-(ROUNDDOWN(1000/$B62,0)*$B62),IF(A62=2,C61,IF(A62&gt;3,IF(AND(B61&lt;B60,B60&lt;B59),IF(C61&gt;=1000,C61-(ROUNDDOWN(1000/$B62,0)*$B62),C61),IF($B61=MAX($B$3:$B61),C61+(D61*B62),C61)),IF($B61=MAX($B$3:$B61),C61+(D61*B62),C61))))</f>
        <v>337.38000000000011</v>
      </c>
      <c r="D62">
        <f>IF($A62=1,D61+ROUNDDOWN(1000/$B62,0),IF(A62=2,D61,IF(A62&gt;3,IF(AND(B61&lt;B60,B60&lt;B59),IF(C61&gt;=1000,D61+ROUNDDOWN(1000/$B62,0),D61),IF($B61=MAX($B$3:$B61),0,D61)),IF($B61=MAX($B$3:$B61),0,D61))))</f>
        <v>64</v>
      </c>
      <c r="E62">
        <f t="shared" si="0"/>
        <v>0</v>
      </c>
    </row>
    <row r="63" spans="1:5" x14ac:dyDescent="0.25">
      <c r="A63">
        <v>61</v>
      </c>
      <c r="B63" s="5">
        <v>69.61</v>
      </c>
      <c r="C63" s="5">
        <f>IF($A63=1,$C$2-(ROUNDDOWN(1000/$B63,0)*$B63),IF(A63=2,C62,IF(A63&gt;3,IF(AND(B62&lt;B61,B61&lt;B60),IF(C62&gt;=1000,C62-(ROUNDDOWN(1000/$B63,0)*$B63),C62),IF($B62=MAX($B$3:$B62),C62+(D62*B63),C62)),IF($B62=MAX($B$3:$B62),C62+(D62*B63),C62))))</f>
        <v>337.38000000000011</v>
      </c>
      <c r="D63">
        <f>IF($A63=1,D62+ROUNDDOWN(1000/$B63,0),IF(A63=2,D62,IF(A63&gt;3,IF(AND(B62&lt;B61,B61&lt;B60),IF(C62&gt;=1000,D62+ROUNDDOWN(1000/$B63,0),D62),IF($B62=MAX($B$3:$B62),0,D62)),IF($B62=MAX($B$3:$B62),0,D62))))</f>
        <v>64</v>
      </c>
      <c r="E63">
        <f t="shared" si="0"/>
        <v>0</v>
      </c>
    </row>
    <row r="64" spans="1:5" x14ac:dyDescent="0.25">
      <c r="A64">
        <v>62</v>
      </c>
      <c r="B64" s="5">
        <v>71.64</v>
      </c>
      <c r="C64" s="5">
        <f>IF($A64=1,$C$2-(ROUNDDOWN(1000/$B64,0)*$B64),IF(A64=2,C63,IF(A64&gt;3,IF(AND(B63&lt;B62,B62&lt;B61),IF(C63&gt;=1000,C63-(ROUNDDOWN(1000/$B64,0)*$B64),C63),IF($B63=MAX($B$3:$B63),C63+(D63*B64),C63)),IF($B63=MAX($B$3:$B63),C63+(D63*B64),C63))))</f>
        <v>337.38000000000011</v>
      </c>
      <c r="D64">
        <f>IF($A64=1,D63+ROUNDDOWN(1000/$B64,0),IF(A64=2,D63,IF(A64&gt;3,IF(AND(B63&lt;B62,B62&lt;B61),IF(C63&gt;=1000,D63+ROUNDDOWN(1000/$B64,0),D63),IF($B63=MAX($B$3:$B63),0,D63)),IF($B63=MAX($B$3:$B63),0,D63))))</f>
        <v>64</v>
      </c>
      <c r="E64">
        <f t="shared" si="0"/>
        <v>0</v>
      </c>
    </row>
    <row r="65" spans="1:5" x14ac:dyDescent="0.25">
      <c r="A65">
        <v>63</v>
      </c>
      <c r="B65" s="5">
        <v>73.260000000000005</v>
      </c>
      <c r="C65" s="5">
        <f>IF($A65=1,$C$2-(ROUNDDOWN(1000/$B65,0)*$B65),IF(A65=2,C64,IF(A65&gt;3,IF(AND(B64&lt;B63,B63&lt;B62),IF(C64&gt;=1000,C64-(ROUNDDOWN(1000/$B65,0)*$B65),C64),IF($B64=MAX($B$3:$B64),C64+(D64*B65),C64)),IF($B64=MAX($B$3:$B64),C64+(D64*B65),C64))))</f>
        <v>337.38000000000011</v>
      </c>
      <c r="D65">
        <f>IF($A65=1,D64+ROUNDDOWN(1000/$B65,0),IF(A65=2,D64,IF(A65&gt;3,IF(AND(B64&lt;B63,B63&lt;B62),IF(C64&gt;=1000,D64+ROUNDDOWN(1000/$B65,0),D64),IF($B64=MAX($B$3:$B64),0,D64)),IF($B64=MAX($B$3:$B64),0,D64))))</f>
        <v>64</v>
      </c>
      <c r="E65">
        <f t="shared" si="0"/>
        <v>0</v>
      </c>
    </row>
    <row r="66" spans="1:5" x14ac:dyDescent="0.25">
      <c r="A66">
        <v>64</v>
      </c>
      <c r="B66" s="5">
        <v>73.27</v>
      </c>
      <c r="C66" s="5">
        <f>IF($A66=1,$C$2-(ROUNDDOWN(1000/$B66,0)*$B66),IF(A66=2,C65,IF(A66&gt;3,IF(AND(B65&lt;B64,B64&lt;B63),IF(C65&gt;=1000,C65-(ROUNDDOWN(1000/$B66,0)*$B66),C65),IF($B65=MAX($B$3:$B65),C65+(D65*B66),C65)),IF($B65=MAX($B$3:$B65),C65+(D65*B66),C65))))</f>
        <v>337.38000000000011</v>
      </c>
      <c r="D66">
        <f>IF($A66=1,D65+ROUNDDOWN(1000/$B66,0),IF(A66=2,D65,IF(A66&gt;3,IF(AND(B65&lt;B64,B64&lt;B63),IF(C65&gt;=1000,D65+ROUNDDOWN(1000/$B66,0),D65),IF($B65=MAX($B$3:$B65),0,D65)),IF($B65=MAX($B$3:$B65),0,D65))))</f>
        <v>64</v>
      </c>
      <c r="E66">
        <f t="shared" si="0"/>
        <v>0</v>
      </c>
    </row>
    <row r="67" spans="1:5" x14ac:dyDescent="0.25">
      <c r="A67">
        <v>65</v>
      </c>
      <c r="B67" s="5">
        <v>74.290000000000006</v>
      </c>
      <c r="C67" s="5">
        <f>IF($A67=1,$C$2-(ROUNDDOWN(1000/$B67,0)*$B67),IF(A67=2,C66,IF(A67&gt;3,IF(AND(B66&lt;B65,B65&lt;B64),IF(C66&gt;=1000,C66-(ROUNDDOWN(1000/$B67,0)*$B67),C66),IF($B66=MAX($B$3:$B66),C66+(D66*B67),C66)),IF($B66=MAX($B$3:$B66),C66+(D66*B67),C66))))</f>
        <v>337.38000000000011</v>
      </c>
      <c r="D67">
        <f>IF($A67=1,D66+ROUNDDOWN(1000/$B67,0),IF(A67=2,D66,IF(A67&gt;3,IF(AND(B66&lt;B65,B65&lt;B64),IF(C66&gt;=1000,D66+ROUNDDOWN(1000/$B67,0),D66),IF($B66=MAX($B$3:$B66),0,D66)),IF($B66=MAX($B$3:$B66),0,D66))))</f>
        <v>64</v>
      </c>
      <c r="E67">
        <f t="shared" si="0"/>
        <v>0</v>
      </c>
    </row>
    <row r="68" spans="1:5" x14ac:dyDescent="0.25">
      <c r="A68">
        <v>66</v>
      </c>
      <c r="B68" s="5">
        <v>75.55</v>
      </c>
      <c r="C68" s="5">
        <f>IF($A68=1,$C$2-(ROUNDDOWN(1000/$B68,0)*$B68),IF(A68=2,C67,IF(A68&gt;3,IF(AND(B67&lt;B66,B66&lt;B65),IF(C67&gt;=1000,C67-(ROUNDDOWN(1000/$B68,0)*$B68),C67),IF($B67=MAX($B$3:$B67),C67+(D67*B68),C67)),IF($B67=MAX($B$3:$B67),C67+(D67*B68),C67))))</f>
        <v>337.38000000000011</v>
      </c>
      <c r="D68">
        <f>IF($A68=1,D67+ROUNDDOWN(1000/$B68,0),IF(A68=2,D67,IF(A68&gt;3,IF(AND(B67&lt;B66,B66&lt;B65),IF(C67&gt;=1000,D67+ROUNDDOWN(1000/$B68,0),D67),IF($B67=MAX($B$3:$B67),0,D67)),IF($B67=MAX($B$3:$B67),0,D67))))</f>
        <v>64</v>
      </c>
      <c r="E68">
        <f t="shared" ref="E68:E131" si="1">IF(D68&gt;D67,1,0)</f>
        <v>0</v>
      </c>
    </row>
    <row r="69" spans="1:5" x14ac:dyDescent="0.25">
      <c r="A69">
        <v>67</v>
      </c>
      <c r="B69" s="5">
        <v>76.38</v>
      </c>
      <c r="C69" s="5">
        <f>IF($A69=1,$C$2-(ROUNDDOWN(1000/$B69,0)*$B69),IF(A69=2,C68,IF(A69&gt;3,IF(AND(B68&lt;B67,B67&lt;B66),IF(C68&gt;=1000,C68-(ROUNDDOWN(1000/$B69,0)*$B69),C68),IF($B68=MAX($B$3:$B68),C68+(D68*B69),C68)),IF($B68=MAX($B$3:$B68),C68+(D68*B69),C68))))</f>
        <v>337.38000000000011</v>
      </c>
      <c r="D69">
        <f>IF($A69=1,D68+ROUNDDOWN(1000/$B69,0),IF(A69=2,D68,IF(A69&gt;3,IF(AND(B68&lt;B67,B67&lt;B66),IF(C68&gt;=1000,D68+ROUNDDOWN(1000/$B69,0),D68),IF($B68=MAX($B$3:$B68),0,D68)),IF($B68=MAX($B$3:$B68),0,D68))))</f>
        <v>64</v>
      </c>
      <c r="E69">
        <f t="shared" si="1"/>
        <v>0</v>
      </c>
    </row>
    <row r="70" spans="1:5" x14ac:dyDescent="0.25">
      <c r="A70">
        <v>68</v>
      </c>
      <c r="B70" s="5">
        <v>76.709999999999994</v>
      </c>
      <c r="C70" s="5">
        <f>IF($A70=1,$C$2-(ROUNDDOWN(1000/$B70,0)*$B70),IF(A70=2,C69,IF(A70&gt;3,IF(AND(B69&lt;B68,B68&lt;B67),IF(C69&gt;=1000,C69-(ROUNDDOWN(1000/$B70,0)*$B70),C69),IF($B69=MAX($B$3:$B69),C69+(D69*B70),C69)),IF($B69=MAX($B$3:$B69),C69+(D69*B70),C69))))</f>
        <v>337.38000000000011</v>
      </c>
      <c r="D70">
        <f>IF($A70=1,D69+ROUNDDOWN(1000/$B70,0),IF(A70=2,D69,IF(A70&gt;3,IF(AND(B69&lt;B68,B68&lt;B67),IF(C69&gt;=1000,D69+ROUNDDOWN(1000/$B70,0),D69),IF($B69=MAX($B$3:$B69),0,D69)),IF($B69=MAX($B$3:$B69),0,D69))))</f>
        <v>64</v>
      </c>
      <c r="E70">
        <f t="shared" si="1"/>
        <v>0</v>
      </c>
    </row>
    <row r="71" spans="1:5" x14ac:dyDescent="0.25">
      <c r="A71">
        <v>69</v>
      </c>
      <c r="B71" s="5">
        <v>78.13</v>
      </c>
      <c r="C71" s="5">
        <f>IF($A71=1,$C$2-(ROUNDDOWN(1000/$B71,0)*$B71),IF(A71=2,C70,IF(A71&gt;3,IF(AND(B70&lt;B69,B69&lt;B68),IF(C70&gt;=1000,C70-(ROUNDDOWN(1000/$B71,0)*$B71),C70),IF($B70=MAX($B$3:$B70),C70+(D70*B71),C70)),IF($B70=MAX($B$3:$B70),C70+(D70*B71),C70))))</f>
        <v>337.38000000000011</v>
      </c>
      <c r="D71">
        <f>IF($A71=1,D70+ROUNDDOWN(1000/$B71,0),IF(A71=2,D70,IF(A71&gt;3,IF(AND(B70&lt;B69,B69&lt;B68),IF(C70&gt;=1000,D70+ROUNDDOWN(1000/$B71,0),D70),IF($B70=MAX($B$3:$B70),0,D70)),IF($B70=MAX($B$3:$B70),0,D70))))</f>
        <v>64</v>
      </c>
      <c r="E71">
        <f t="shared" si="1"/>
        <v>0</v>
      </c>
    </row>
    <row r="72" spans="1:5" x14ac:dyDescent="0.25">
      <c r="A72">
        <v>70</v>
      </c>
      <c r="B72" s="5">
        <v>79.709999999999994</v>
      </c>
      <c r="C72" s="5">
        <f>IF($A72=1,$C$2-(ROUNDDOWN(1000/$B72,0)*$B72),IF(A72=2,C71,IF(A72&gt;3,IF(AND(B71&lt;B70,B70&lt;B69),IF(C71&gt;=1000,C71-(ROUNDDOWN(1000/$B72,0)*$B72),C71),IF($B71=MAX($B$3:$B71),C71+(D71*B72),C71)),IF($B71=MAX($B$3:$B71),C71+(D71*B72),C71))))</f>
        <v>337.38000000000011</v>
      </c>
      <c r="D72">
        <f>IF($A72=1,D71+ROUNDDOWN(1000/$B72,0),IF(A72=2,D71,IF(A72&gt;3,IF(AND(B71&lt;B70,B70&lt;B69),IF(C71&gt;=1000,D71+ROUNDDOWN(1000/$B72,0),D71),IF($B71=MAX($B$3:$B71),0,D71)),IF($B71=MAX($B$3:$B71),0,D71))))</f>
        <v>64</v>
      </c>
      <c r="E72">
        <f t="shared" si="1"/>
        <v>0</v>
      </c>
    </row>
    <row r="73" spans="1:5" x14ac:dyDescent="0.25">
      <c r="A73">
        <v>71</v>
      </c>
      <c r="B73" s="5">
        <v>81.349999999999994</v>
      </c>
      <c r="C73" s="5">
        <f>IF($A73=1,$C$2-(ROUNDDOWN(1000/$B73,0)*$B73),IF(A73=2,C72,IF(A73&gt;3,IF(AND(B72&lt;B71,B71&lt;B70),IF(C72&gt;=1000,C72-(ROUNDDOWN(1000/$B73,0)*$B73),C72),IF($B72=MAX($B$3:$B72),C72+(D72*B73),C72)),IF($B72=MAX($B$3:$B72),C72+(D72*B73),C72))))</f>
        <v>5543.78</v>
      </c>
      <c r="D73">
        <f>IF($A73=1,D72+ROUNDDOWN(1000/$B73,0),IF(A73=2,D72,IF(A73&gt;3,IF(AND(B72&lt;B71,B71&lt;B70),IF(C72&gt;=1000,D72+ROUNDDOWN(1000/$B73,0),D72),IF($B72=MAX($B$3:$B72),0,D72)),IF($B72=MAX($B$3:$B72),0,D72))))</f>
        <v>0</v>
      </c>
      <c r="E73">
        <f t="shared" si="1"/>
        <v>0</v>
      </c>
    </row>
    <row r="74" spans="1:5" x14ac:dyDescent="0.25">
      <c r="A74">
        <v>72</v>
      </c>
      <c r="B74" s="5">
        <v>79.41</v>
      </c>
      <c r="C74" s="5">
        <f>IF($A74=1,$C$2-(ROUNDDOWN(1000/$B74,0)*$B74),IF(A74=2,C73,IF(A74&gt;3,IF(AND(B73&lt;B72,B72&lt;B71),IF(C73&gt;=1000,C73-(ROUNDDOWN(1000/$B74,0)*$B74),C73),IF($B73=MAX($B$3:$B73),C73+(D73*B74),C73)),IF($B73=MAX($B$3:$B73),C73+(D73*B74),C73))))</f>
        <v>5543.78</v>
      </c>
      <c r="D74">
        <f>IF($A74=1,D73+ROUNDDOWN(1000/$B74,0),IF(A74=2,D73,IF(A74&gt;3,IF(AND(B73&lt;B72,B72&lt;B71),IF(C73&gt;=1000,D73+ROUNDDOWN(1000/$B74,0),D73),IF($B73=MAX($B$3:$B73),0,D73)),IF($B73=MAX($B$3:$B73),0,D73))))</f>
        <v>0</v>
      </c>
      <c r="E74">
        <f t="shared" si="1"/>
        <v>0</v>
      </c>
    </row>
    <row r="75" spans="1:5" x14ac:dyDescent="0.25">
      <c r="A75">
        <v>73</v>
      </c>
      <c r="B75" s="5">
        <v>77.7</v>
      </c>
      <c r="C75" s="5">
        <f>IF($A75=1,$C$2-(ROUNDDOWN(1000/$B75,0)*$B75),IF(A75=2,C74,IF(A75&gt;3,IF(AND(B74&lt;B73,B73&lt;B72),IF(C74&gt;=1000,C74-(ROUNDDOWN(1000/$B75,0)*$B75),C74),IF($B74=MAX($B$3:$B74),C74+(D74*B75),C74)),IF($B74=MAX($B$3:$B74),C74+(D74*B75),C74))))</f>
        <v>5543.78</v>
      </c>
      <c r="D75">
        <f>IF($A75=1,D74+ROUNDDOWN(1000/$B75,0),IF(A75=2,D74,IF(A75&gt;3,IF(AND(B74&lt;B73,B73&lt;B72),IF(C74&gt;=1000,D74+ROUNDDOWN(1000/$B75,0),D74),IF($B74=MAX($B$3:$B74),0,D74)),IF($B74=MAX($B$3:$B74),0,D74))))</f>
        <v>0</v>
      </c>
      <c r="E75">
        <f t="shared" si="1"/>
        <v>0</v>
      </c>
    </row>
    <row r="76" spans="1:5" x14ac:dyDescent="0.25">
      <c r="A76">
        <v>74</v>
      </c>
      <c r="B76" s="5">
        <v>78.58</v>
      </c>
      <c r="C76" s="5">
        <f>IF($A76=1,$C$2-(ROUNDDOWN(1000/$B76,0)*$B76),IF(A76=2,C75,IF(A76&gt;3,IF(AND(B75&lt;B74,B74&lt;B73),IF(C75&gt;=1000,C75-(ROUNDDOWN(1000/$B76,0)*$B76),C75),IF($B75=MAX($B$3:$B75),C75+(D75*B76),C75)),IF($B75=MAX($B$3:$B75),C75+(D75*B76),C75))))</f>
        <v>4600.82</v>
      </c>
      <c r="D76">
        <f>IF($A76=1,D75+ROUNDDOWN(1000/$B76,0),IF(A76=2,D75,IF(A76&gt;3,IF(AND(B75&lt;B74,B74&lt;B73),IF(C75&gt;=1000,D75+ROUNDDOWN(1000/$B76,0),D75),IF($B75=MAX($B$3:$B75),0,D75)),IF($B75=MAX($B$3:$B75),0,D75))))</f>
        <v>12</v>
      </c>
      <c r="E76">
        <f t="shared" si="1"/>
        <v>1</v>
      </c>
    </row>
    <row r="77" spans="1:5" x14ac:dyDescent="0.25">
      <c r="A77">
        <v>75</v>
      </c>
      <c r="B77" s="5">
        <v>77.02</v>
      </c>
      <c r="C77" s="5">
        <f>IF($A77=1,$C$2-(ROUNDDOWN(1000/$B77,0)*$B77),IF(A77=2,C76,IF(A77&gt;3,IF(AND(B76&lt;B75,B75&lt;B74),IF(C76&gt;=1000,C76-(ROUNDDOWN(1000/$B77,0)*$B77),C76),IF($B76=MAX($B$3:$B76),C76+(D76*B77),C76)),IF($B76=MAX($B$3:$B76),C76+(D76*B77),C76))))</f>
        <v>4600.82</v>
      </c>
      <c r="D77">
        <f>IF($A77=1,D76+ROUNDDOWN(1000/$B77,0),IF(A77=2,D76,IF(A77&gt;3,IF(AND(B76&lt;B75,B75&lt;B74),IF(C76&gt;=1000,D76+ROUNDDOWN(1000/$B77,0),D76),IF($B76=MAX($B$3:$B76),0,D76)),IF($B76=MAX($B$3:$B76),0,D76))))</f>
        <v>12</v>
      </c>
      <c r="E77">
        <f t="shared" si="1"/>
        <v>0</v>
      </c>
    </row>
    <row r="78" spans="1:5" x14ac:dyDescent="0.25">
      <c r="A78">
        <v>76</v>
      </c>
      <c r="B78" s="5">
        <v>75.13</v>
      </c>
      <c r="C78" s="5">
        <f>IF($A78=1,$C$2-(ROUNDDOWN(1000/$B78,0)*$B78),IF(A78=2,C77,IF(A78&gt;3,IF(AND(B77&lt;B76,B76&lt;B75),IF(C77&gt;=1000,C77-(ROUNDDOWN(1000/$B78,0)*$B78),C77),IF($B77=MAX($B$3:$B77),C77+(D77*B78),C77)),IF($B77=MAX($B$3:$B77),C77+(D77*B78),C77))))</f>
        <v>4600.82</v>
      </c>
      <c r="D78">
        <f>IF($A78=1,D77+ROUNDDOWN(1000/$B78,0),IF(A78=2,D77,IF(A78&gt;3,IF(AND(B77&lt;B76,B76&lt;B75),IF(C77&gt;=1000,D77+ROUNDDOWN(1000/$B78,0),D77),IF($B77=MAX($B$3:$B77),0,D77)),IF($B77=MAX($B$3:$B77),0,D77))))</f>
        <v>12</v>
      </c>
      <c r="E78">
        <f t="shared" si="1"/>
        <v>0</v>
      </c>
    </row>
    <row r="79" spans="1:5" x14ac:dyDescent="0.25">
      <c r="A79">
        <v>77</v>
      </c>
      <c r="B79" s="5">
        <v>73.45</v>
      </c>
      <c r="C79" s="5">
        <f>IF($A79=1,$C$2-(ROUNDDOWN(1000/$B79,0)*$B79),IF(A79=2,C78,IF(A79&gt;3,IF(AND(B78&lt;B77,B77&lt;B76),IF(C78&gt;=1000,C78-(ROUNDDOWN(1000/$B79,0)*$B79),C78),IF($B78=MAX($B$3:$B78),C78+(D78*B79),C78)),IF($B78=MAX($B$3:$B78),C78+(D78*B79),C78))))</f>
        <v>3645.97</v>
      </c>
      <c r="D79">
        <f>IF($A79=1,D78+ROUNDDOWN(1000/$B79,0),IF(A79=2,D78,IF(A79&gt;3,IF(AND(B78&lt;B77,B77&lt;B76),IF(C78&gt;=1000,D78+ROUNDDOWN(1000/$B79,0),D78),IF($B78=MAX($B$3:$B78),0,D78)),IF($B78=MAX($B$3:$B78),0,D78))))</f>
        <v>25</v>
      </c>
      <c r="E79">
        <f t="shared" si="1"/>
        <v>1</v>
      </c>
    </row>
    <row r="80" spans="1:5" x14ac:dyDescent="0.25">
      <c r="A80">
        <v>78</v>
      </c>
      <c r="B80" s="5">
        <v>71.930000000000007</v>
      </c>
      <c r="C80" s="5">
        <f>IF($A80=1,$C$2-(ROUNDDOWN(1000/$B80,0)*$B80),IF(A80=2,C79,IF(A80&gt;3,IF(AND(B79&lt;B78,B78&lt;B77),IF(C79&gt;=1000,C79-(ROUNDDOWN(1000/$B80,0)*$B80),C79),IF($B79=MAX($B$3:$B79),C79+(D79*B80),C79)),IF($B79=MAX($B$3:$B79),C79+(D79*B80),C79))))</f>
        <v>2710.8799999999997</v>
      </c>
      <c r="D80">
        <f>IF($A80=1,D79+ROUNDDOWN(1000/$B80,0),IF(A80=2,D79,IF(A80&gt;3,IF(AND(B79&lt;B78,B78&lt;B77),IF(C79&gt;=1000,D79+ROUNDDOWN(1000/$B80,0),D79),IF($B79=MAX($B$3:$B79),0,D79)),IF($B79=MAX($B$3:$B79),0,D79))))</f>
        <v>38</v>
      </c>
      <c r="E80">
        <f t="shared" si="1"/>
        <v>1</v>
      </c>
    </row>
    <row r="81" spans="1:5" x14ac:dyDescent="0.25">
      <c r="A81">
        <v>79</v>
      </c>
      <c r="B81" s="5">
        <v>72.959999999999994</v>
      </c>
      <c r="C81" s="5">
        <f>IF($A81=1,$C$2-(ROUNDDOWN(1000/$B81,0)*$B81),IF(A81=2,C80,IF(A81&gt;3,IF(AND(B80&lt;B79,B79&lt;B78),IF(C80&gt;=1000,C80-(ROUNDDOWN(1000/$B81,0)*$B81),C80),IF($B80=MAX($B$3:$B80),C80+(D80*B81),C80)),IF($B80=MAX($B$3:$B80),C80+(D80*B81),C80))))</f>
        <v>1762.3999999999996</v>
      </c>
      <c r="D81">
        <f>IF($A81=1,D80+ROUNDDOWN(1000/$B81,0),IF(A81=2,D80,IF(A81&gt;3,IF(AND(B80&lt;B79,B79&lt;B78),IF(C80&gt;=1000,D80+ROUNDDOWN(1000/$B81,0),D80),IF($B80=MAX($B$3:$B80),0,D80)),IF($B80=MAX($B$3:$B80),0,D80))))</f>
        <v>51</v>
      </c>
      <c r="E81">
        <f t="shared" si="1"/>
        <v>1</v>
      </c>
    </row>
    <row r="82" spans="1:5" x14ac:dyDescent="0.25">
      <c r="A82">
        <v>80</v>
      </c>
      <c r="B82" s="5">
        <v>74.28</v>
      </c>
      <c r="C82" s="5">
        <f>IF($A82=1,$C$2-(ROUNDDOWN(1000/$B82,0)*$B82),IF(A82=2,C81,IF(A82&gt;3,IF(AND(B81&lt;B80,B80&lt;B79),IF(C81&gt;=1000,C81-(ROUNDDOWN(1000/$B82,0)*$B82),C81),IF($B81=MAX($B$3:$B81),C81+(D81*B82),C81)),IF($B81=MAX($B$3:$B81),C81+(D81*B82),C81))))</f>
        <v>1762.3999999999996</v>
      </c>
      <c r="D82">
        <f>IF($A82=1,D81+ROUNDDOWN(1000/$B82,0),IF(A82=2,D81,IF(A82&gt;3,IF(AND(B81&lt;B80,B80&lt;B79),IF(C81&gt;=1000,D81+ROUNDDOWN(1000/$B82,0),D81),IF($B81=MAX($B$3:$B81),0,D81)),IF($B81=MAX($B$3:$B81),0,D81))))</f>
        <v>51</v>
      </c>
      <c r="E82">
        <f t="shared" si="1"/>
        <v>0</v>
      </c>
    </row>
    <row r="83" spans="1:5" x14ac:dyDescent="0.25">
      <c r="A83">
        <v>81</v>
      </c>
      <c r="B83" s="5">
        <v>75.78</v>
      </c>
      <c r="C83" s="5">
        <f>IF($A83=1,$C$2-(ROUNDDOWN(1000/$B83,0)*$B83),IF(A83=2,C82,IF(A83&gt;3,IF(AND(B82&lt;B81,B81&lt;B80),IF(C82&gt;=1000,C82-(ROUNDDOWN(1000/$B83,0)*$B83),C82),IF($B82=MAX($B$3:$B82),C82+(D82*B83),C82)),IF($B82=MAX($B$3:$B82),C82+(D82*B83),C82))))</f>
        <v>1762.3999999999996</v>
      </c>
      <c r="D83">
        <f>IF($A83=1,D82+ROUNDDOWN(1000/$B83,0),IF(A83=2,D82,IF(A83&gt;3,IF(AND(B82&lt;B81,B81&lt;B80),IF(C82&gt;=1000,D82+ROUNDDOWN(1000/$B83,0),D82),IF($B82=MAX($B$3:$B82),0,D82)),IF($B82=MAX($B$3:$B82),0,D82))))</f>
        <v>51</v>
      </c>
      <c r="E83">
        <f t="shared" si="1"/>
        <v>0</v>
      </c>
    </row>
    <row r="84" spans="1:5" x14ac:dyDescent="0.25">
      <c r="A84">
        <v>82</v>
      </c>
      <c r="B84" s="5">
        <v>76.88</v>
      </c>
      <c r="C84" s="5">
        <f>IF($A84=1,$C$2-(ROUNDDOWN(1000/$B84,0)*$B84),IF(A84=2,C83,IF(A84&gt;3,IF(AND(B83&lt;B82,B82&lt;B81),IF(C83&gt;=1000,C83-(ROUNDDOWN(1000/$B84,0)*$B84),C83),IF($B83=MAX($B$3:$B83),C83+(D83*B84),C83)),IF($B83=MAX($B$3:$B83),C83+(D83*B84),C83))))</f>
        <v>1762.3999999999996</v>
      </c>
      <c r="D84">
        <f>IF($A84=1,D83+ROUNDDOWN(1000/$B84,0),IF(A84=2,D83,IF(A84&gt;3,IF(AND(B83&lt;B82,B82&lt;B81),IF(C83&gt;=1000,D83+ROUNDDOWN(1000/$B84,0),D83),IF($B83=MAX($B$3:$B83),0,D83)),IF($B83=MAX($B$3:$B83),0,D83))))</f>
        <v>51</v>
      </c>
      <c r="E84">
        <f t="shared" si="1"/>
        <v>0</v>
      </c>
    </row>
    <row r="85" spans="1:5" x14ac:dyDescent="0.25">
      <c r="A85">
        <v>83</v>
      </c>
      <c r="B85" s="5">
        <v>77.36</v>
      </c>
      <c r="C85" s="5">
        <f>IF($A85=1,$C$2-(ROUNDDOWN(1000/$B85,0)*$B85),IF(A85=2,C84,IF(A85&gt;3,IF(AND(B84&lt;B83,B83&lt;B82),IF(C84&gt;=1000,C84-(ROUNDDOWN(1000/$B85,0)*$B85),C84),IF($B84=MAX($B$3:$B84),C84+(D84*B85),C84)),IF($B84=MAX($B$3:$B84),C84+(D84*B85),C84))))</f>
        <v>1762.3999999999996</v>
      </c>
      <c r="D85">
        <f>IF($A85=1,D84+ROUNDDOWN(1000/$B85,0),IF(A85=2,D84,IF(A85&gt;3,IF(AND(B84&lt;B83,B83&lt;B82),IF(C84&gt;=1000,D84+ROUNDDOWN(1000/$B85,0),D84),IF($B84=MAX($B$3:$B84),0,D84)),IF($B84=MAX($B$3:$B84),0,D84))))</f>
        <v>51</v>
      </c>
      <c r="E85">
        <f t="shared" si="1"/>
        <v>0</v>
      </c>
    </row>
    <row r="86" spans="1:5" x14ac:dyDescent="0.25">
      <c r="A86">
        <v>84</v>
      </c>
      <c r="B86" s="5">
        <v>75.790000000000006</v>
      </c>
      <c r="C86" s="5">
        <f>IF($A86=1,$C$2-(ROUNDDOWN(1000/$B86,0)*$B86),IF(A86=2,C85,IF(A86&gt;3,IF(AND(B85&lt;B84,B84&lt;B83),IF(C85&gt;=1000,C85-(ROUNDDOWN(1000/$B86,0)*$B86),C85),IF($B85=MAX($B$3:$B85),C85+(D85*B86),C85)),IF($B85=MAX($B$3:$B85),C85+(D85*B86),C85))))</f>
        <v>1762.3999999999996</v>
      </c>
      <c r="D86">
        <f>IF($A86=1,D85+ROUNDDOWN(1000/$B86,0),IF(A86=2,D85,IF(A86&gt;3,IF(AND(B85&lt;B84,B84&lt;B83),IF(C85&gt;=1000,D85+ROUNDDOWN(1000/$B86,0),D85),IF($B85=MAX($B$3:$B85),0,D85)),IF($B85=MAX($B$3:$B85),0,D85))))</f>
        <v>51</v>
      </c>
      <c r="E86">
        <f t="shared" si="1"/>
        <v>0</v>
      </c>
    </row>
    <row r="87" spans="1:5" x14ac:dyDescent="0.25">
      <c r="A87">
        <v>85</v>
      </c>
      <c r="B87" s="5">
        <v>77.34</v>
      </c>
      <c r="C87" s="5">
        <f>IF($A87=1,$C$2-(ROUNDDOWN(1000/$B87,0)*$B87),IF(A87=2,C86,IF(A87&gt;3,IF(AND(B86&lt;B85,B85&lt;B84),IF(C86&gt;=1000,C86-(ROUNDDOWN(1000/$B87,0)*$B87),C86),IF($B86=MAX($B$3:$B86),C86+(D86*B87),C86)),IF($B86=MAX($B$3:$B86),C86+(D86*B87),C86))))</f>
        <v>1762.3999999999996</v>
      </c>
      <c r="D87">
        <f>IF($A87=1,D86+ROUNDDOWN(1000/$B87,0),IF(A87=2,D86,IF(A87&gt;3,IF(AND(B86&lt;B85,B85&lt;B84),IF(C86&gt;=1000,D86+ROUNDDOWN(1000/$B87,0),D86),IF($B86=MAX($B$3:$B86),0,D86)),IF($B86=MAX($B$3:$B86),0,D86))))</f>
        <v>51</v>
      </c>
      <c r="E87">
        <f t="shared" si="1"/>
        <v>0</v>
      </c>
    </row>
    <row r="88" spans="1:5" x14ac:dyDescent="0.25">
      <c r="A88">
        <v>86</v>
      </c>
      <c r="B88" s="5">
        <v>79.17</v>
      </c>
      <c r="C88" s="5">
        <f>IF($A88=1,$C$2-(ROUNDDOWN(1000/$B88,0)*$B88),IF(A88=2,C87,IF(A88&gt;3,IF(AND(B87&lt;B86,B86&lt;B85),IF(C87&gt;=1000,C87-(ROUNDDOWN(1000/$B88,0)*$B88),C87),IF($B87=MAX($B$3:$B87),C87+(D87*B88),C87)),IF($B87=MAX($B$3:$B87),C87+(D87*B88),C87))))</f>
        <v>1762.3999999999996</v>
      </c>
      <c r="D88">
        <f>IF($A88=1,D87+ROUNDDOWN(1000/$B88,0),IF(A88=2,D87,IF(A88&gt;3,IF(AND(B87&lt;B86,B86&lt;B85),IF(C87&gt;=1000,D87+ROUNDDOWN(1000/$B88,0),D87),IF($B87=MAX($B$3:$B87),0,D87)),IF($B87=MAX($B$3:$B87),0,D87))))</f>
        <v>51</v>
      </c>
      <c r="E88">
        <f t="shared" si="1"/>
        <v>0</v>
      </c>
    </row>
    <row r="89" spans="1:5" x14ac:dyDescent="0.25">
      <c r="A89">
        <v>87</v>
      </c>
      <c r="B89" s="5">
        <v>80.760000000000005</v>
      </c>
      <c r="C89" s="5">
        <f>IF($A89=1,$C$2-(ROUNDDOWN(1000/$B89,0)*$B89),IF(A89=2,C88,IF(A89&gt;3,IF(AND(B88&lt;B87,B87&lt;B86),IF(C88&gt;=1000,C88-(ROUNDDOWN(1000/$B89,0)*$B89),C88),IF($B88=MAX($B$3:$B88),C88+(D88*B89),C88)),IF($B88=MAX($B$3:$B88),C88+(D88*B89),C88))))</f>
        <v>1762.3999999999996</v>
      </c>
      <c r="D89">
        <f>IF($A89=1,D88+ROUNDDOWN(1000/$B89,0),IF(A89=2,D88,IF(A89&gt;3,IF(AND(B88&lt;B87,B87&lt;B86),IF(C88&gt;=1000,D88+ROUNDDOWN(1000/$B89,0),D88),IF($B88=MAX($B$3:$B88),0,D88)),IF($B88=MAX($B$3:$B88),0,D88))))</f>
        <v>51</v>
      </c>
      <c r="E89">
        <f t="shared" si="1"/>
        <v>0</v>
      </c>
    </row>
    <row r="90" spans="1:5" x14ac:dyDescent="0.25">
      <c r="A90">
        <v>88</v>
      </c>
      <c r="B90" s="5">
        <v>79.02</v>
      </c>
      <c r="C90" s="5">
        <f>IF($A90=1,$C$2-(ROUNDDOWN(1000/$B90,0)*$B90),IF(A90=2,C89,IF(A90&gt;3,IF(AND(B89&lt;B88,B88&lt;B87),IF(C89&gt;=1000,C89-(ROUNDDOWN(1000/$B90,0)*$B90),C89),IF($B89=MAX($B$3:$B89),C89+(D89*B90),C89)),IF($B89=MAX($B$3:$B89),C89+(D89*B90),C89))))</f>
        <v>1762.3999999999996</v>
      </c>
      <c r="D90">
        <f>IF($A90=1,D89+ROUNDDOWN(1000/$B90,0),IF(A90=2,D89,IF(A90&gt;3,IF(AND(B89&lt;B88,B88&lt;B87),IF(C89&gt;=1000,D89+ROUNDDOWN(1000/$B90,0),D89),IF($B89=MAX($B$3:$B89),0,D89)),IF($B89=MAX($B$3:$B89),0,D89))))</f>
        <v>51</v>
      </c>
      <c r="E90">
        <f t="shared" si="1"/>
        <v>0</v>
      </c>
    </row>
    <row r="91" spans="1:5" x14ac:dyDescent="0.25">
      <c r="A91">
        <v>89</v>
      </c>
      <c r="B91" s="5">
        <v>79.25</v>
      </c>
      <c r="C91" s="5">
        <f>IF($A91=1,$C$2-(ROUNDDOWN(1000/$B91,0)*$B91),IF(A91=2,C90,IF(A91&gt;3,IF(AND(B90&lt;B89,B89&lt;B88),IF(C90&gt;=1000,C90-(ROUNDDOWN(1000/$B91,0)*$B91),C90),IF($B90=MAX($B$3:$B90),C90+(D90*B91),C90)),IF($B90=MAX($B$3:$B90),C90+(D90*B91),C90))))</f>
        <v>1762.3999999999996</v>
      </c>
      <c r="D91">
        <f>IF($A91=1,D90+ROUNDDOWN(1000/$B91,0),IF(A91=2,D90,IF(A91&gt;3,IF(AND(B90&lt;B89,B89&lt;B88),IF(C90&gt;=1000,D90+ROUNDDOWN(1000/$B91,0),D90),IF($B90=MAX($B$3:$B90),0,D90)),IF($B90=MAX($B$3:$B90),0,D90))))</f>
        <v>51</v>
      </c>
      <c r="E91">
        <f t="shared" si="1"/>
        <v>0</v>
      </c>
    </row>
    <row r="92" spans="1:5" x14ac:dyDescent="0.25">
      <c r="A92">
        <v>90</v>
      </c>
      <c r="B92" s="5">
        <v>80.260000000000005</v>
      </c>
      <c r="C92" s="5">
        <f>IF($A92=1,$C$2-(ROUNDDOWN(1000/$B92,0)*$B92),IF(A92=2,C91,IF(A92&gt;3,IF(AND(B91&lt;B90,B90&lt;B89),IF(C91&gt;=1000,C91-(ROUNDDOWN(1000/$B92,0)*$B92),C91),IF($B91=MAX($B$3:$B91),C91+(D91*B92),C91)),IF($B91=MAX($B$3:$B91),C91+(D91*B92),C91))))</f>
        <v>1762.3999999999996</v>
      </c>
      <c r="D92">
        <f>IF($A92=1,D91+ROUNDDOWN(1000/$B92,0),IF(A92=2,D91,IF(A92&gt;3,IF(AND(B91&lt;B90,B90&lt;B89),IF(C91&gt;=1000,D91+ROUNDDOWN(1000/$B92,0),D91),IF($B91=MAX($B$3:$B91),0,D91)),IF($B91=MAX($B$3:$B91),0,D91))))</f>
        <v>51</v>
      </c>
      <c r="E92">
        <f t="shared" si="1"/>
        <v>0</v>
      </c>
    </row>
    <row r="93" spans="1:5" x14ac:dyDescent="0.25">
      <c r="A93">
        <v>91</v>
      </c>
      <c r="B93" s="5">
        <v>81.260000000000005</v>
      </c>
      <c r="C93" s="5">
        <f>IF($A93=1,$C$2-(ROUNDDOWN(1000/$B93,0)*$B93),IF(A93=2,C92,IF(A93&gt;3,IF(AND(B92&lt;B91,B91&lt;B90),IF(C92&gt;=1000,C92-(ROUNDDOWN(1000/$B93,0)*$B93),C92),IF($B92=MAX($B$3:$B92),C92+(D92*B93),C92)),IF($B92=MAX($B$3:$B92),C92+(D92*B93),C92))))</f>
        <v>1762.3999999999996</v>
      </c>
      <c r="D93">
        <f>IF($A93=1,D92+ROUNDDOWN(1000/$B93,0),IF(A93=2,D92,IF(A93&gt;3,IF(AND(B92&lt;B91,B91&lt;B90),IF(C92&gt;=1000,D92+ROUNDDOWN(1000/$B93,0),D92),IF($B92=MAX($B$3:$B92),0,D92)),IF($B92=MAX($B$3:$B92),0,D92))))</f>
        <v>51</v>
      </c>
      <c r="E93">
        <f t="shared" si="1"/>
        <v>0</v>
      </c>
    </row>
    <row r="94" spans="1:5" x14ac:dyDescent="0.25">
      <c r="A94">
        <v>92</v>
      </c>
      <c r="B94" s="5">
        <v>81.64</v>
      </c>
      <c r="C94" s="5">
        <f>IF($A94=1,$C$2-(ROUNDDOWN(1000/$B94,0)*$B94),IF(A94=2,C93,IF(A94&gt;3,IF(AND(B93&lt;B92,B92&lt;B91),IF(C93&gt;=1000,C93-(ROUNDDOWN(1000/$B94,0)*$B94),C93),IF($B93=MAX($B$3:$B93),C93+(D93*B94),C93)),IF($B93=MAX($B$3:$B93),C93+(D93*B94),C93))))</f>
        <v>1762.3999999999996</v>
      </c>
      <c r="D94">
        <f>IF($A94=1,D93+ROUNDDOWN(1000/$B94,0),IF(A94=2,D93,IF(A94&gt;3,IF(AND(B93&lt;B92,B92&lt;B91),IF(C93&gt;=1000,D93+ROUNDDOWN(1000/$B94,0),D93),IF($B93=MAX($B$3:$B93),0,D93)),IF($B93=MAX($B$3:$B93),0,D93))))</f>
        <v>51</v>
      </c>
      <c r="E94">
        <f t="shared" si="1"/>
        <v>0</v>
      </c>
    </row>
    <row r="95" spans="1:5" x14ac:dyDescent="0.25">
      <c r="A95">
        <v>93</v>
      </c>
      <c r="B95" s="5">
        <v>79.849999999999994</v>
      </c>
      <c r="C95" s="5">
        <f>IF($A95=1,$C$2-(ROUNDDOWN(1000/$B95,0)*$B95),IF(A95=2,C94,IF(A95&gt;3,IF(AND(B94&lt;B93,B93&lt;B92),IF(C94&gt;=1000,C94-(ROUNDDOWN(1000/$B95,0)*$B95),C94),IF($B94=MAX($B$3:$B94),C94+(D94*B95),C94)),IF($B94=MAX($B$3:$B94),C94+(D94*B95),C94))))</f>
        <v>5834.75</v>
      </c>
      <c r="D95">
        <f>IF($A95=1,D94+ROUNDDOWN(1000/$B95,0),IF(A95=2,D94,IF(A95&gt;3,IF(AND(B94&lt;B93,B93&lt;B92),IF(C94&gt;=1000,D94+ROUNDDOWN(1000/$B95,0),D94),IF($B94=MAX($B$3:$B94),0,D94)),IF($B94=MAX($B$3:$B94),0,D94))))</f>
        <v>0</v>
      </c>
      <c r="E95">
        <f t="shared" si="1"/>
        <v>0</v>
      </c>
    </row>
    <row r="96" spans="1:5" x14ac:dyDescent="0.25">
      <c r="A96">
        <v>94</v>
      </c>
      <c r="B96" s="5">
        <v>81.540000000000006</v>
      </c>
      <c r="C96" s="5">
        <f>IF($A96=1,$C$2-(ROUNDDOWN(1000/$B96,0)*$B96),IF(A96=2,C95,IF(A96&gt;3,IF(AND(B95&lt;B94,B94&lt;B93),IF(C95&gt;=1000,C95-(ROUNDDOWN(1000/$B96,0)*$B96),C95),IF($B95=MAX($B$3:$B95),C95+(D95*B96),C95)),IF($B95=MAX($B$3:$B95),C95+(D95*B96),C95))))</f>
        <v>5834.75</v>
      </c>
      <c r="D96">
        <f>IF($A96=1,D95+ROUNDDOWN(1000/$B96,0),IF(A96=2,D95,IF(A96&gt;3,IF(AND(B95&lt;B94,B94&lt;B93),IF(C95&gt;=1000,D95+ROUNDDOWN(1000/$B96,0),D95),IF($B95=MAX($B$3:$B95),0,D95)),IF($B95=MAX($B$3:$B95),0,D95))))</f>
        <v>0</v>
      </c>
      <c r="E96">
        <f t="shared" si="1"/>
        <v>0</v>
      </c>
    </row>
    <row r="97" spans="1:5" x14ac:dyDescent="0.25">
      <c r="A97">
        <v>95</v>
      </c>
      <c r="B97" s="5">
        <v>79.87</v>
      </c>
      <c r="C97" s="5">
        <f>IF($A97=1,$C$2-(ROUNDDOWN(1000/$B97,0)*$B97),IF(A97=2,C96,IF(A97&gt;3,IF(AND(B96&lt;B95,B95&lt;B94),IF(C96&gt;=1000,C96-(ROUNDDOWN(1000/$B97,0)*$B97),C96),IF($B96=MAX($B$3:$B96),C96+(D96*B97),C96)),IF($B96=MAX($B$3:$B96),C96+(D96*B97),C96))))</f>
        <v>5834.75</v>
      </c>
      <c r="D97">
        <f>IF($A97=1,D96+ROUNDDOWN(1000/$B97,0),IF(A97=2,D96,IF(A97&gt;3,IF(AND(B96&lt;B95,B95&lt;B94),IF(C96&gt;=1000,D96+ROUNDDOWN(1000/$B97,0),D96),IF($B96=MAX($B$3:$B96),0,D96)),IF($B96=MAX($B$3:$B96),0,D96))))</f>
        <v>0</v>
      </c>
      <c r="E97">
        <f t="shared" si="1"/>
        <v>0</v>
      </c>
    </row>
    <row r="98" spans="1:5" x14ac:dyDescent="0.25">
      <c r="A98">
        <v>96</v>
      </c>
      <c r="B98" s="5">
        <v>80</v>
      </c>
      <c r="C98" s="5">
        <f>IF($A98=1,$C$2-(ROUNDDOWN(1000/$B98,0)*$B98),IF(A98=2,C97,IF(A98&gt;3,IF(AND(B97&lt;B96,B96&lt;B95),IF(C97&gt;=1000,C97-(ROUNDDOWN(1000/$B98,0)*$B98),C97),IF($B97=MAX($B$3:$B97),C97+(D97*B98),C97)),IF($B97=MAX($B$3:$B97),C97+(D97*B98),C97))))</f>
        <v>5834.75</v>
      </c>
      <c r="D98">
        <f>IF($A98=1,D97+ROUNDDOWN(1000/$B98,0),IF(A98=2,D97,IF(A98&gt;3,IF(AND(B97&lt;B96,B96&lt;B95),IF(C97&gt;=1000,D97+ROUNDDOWN(1000/$B98,0),D97),IF($B97=MAX($B$3:$B97),0,D97)),IF($B97=MAX($B$3:$B97),0,D97))))</f>
        <v>0</v>
      </c>
      <c r="E98">
        <f t="shared" si="1"/>
        <v>0</v>
      </c>
    </row>
    <row r="99" spans="1:5" x14ac:dyDescent="0.25">
      <c r="A99">
        <v>97</v>
      </c>
      <c r="B99" s="5">
        <v>81.010000000000005</v>
      </c>
      <c r="C99" s="5">
        <f>IF($A99=1,$C$2-(ROUNDDOWN(1000/$B99,0)*$B99),IF(A99=2,C98,IF(A99&gt;3,IF(AND(B98&lt;B97,B97&lt;B96),IF(C98&gt;=1000,C98-(ROUNDDOWN(1000/$B99,0)*$B99),C98),IF($B98=MAX($B$3:$B98),C98+(D98*B99),C98)),IF($B98=MAX($B$3:$B98),C98+(D98*B99),C98))))</f>
        <v>5834.75</v>
      </c>
      <c r="D99">
        <f>IF($A99=1,D98+ROUNDDOWN(1000/$B99,0),IF(A99=2,D98,IF(A99&gt;3,IF(AND(B98&lt;B97,B97&lt;B96),IF(C98&gt;=1000,D98+ROUNDDOWN(1000/$B99,0),D98),IF($B98=MAX($B$3:$B98),0,D98)),IF($B98=MAX($B$3:$B98),0,D98))))</f>
        <v>0</v>
      </c>
      <c r="E99">
        <f t="shared" si="1"/>
        <v>0</v>
      </c>
    </row>
    <row r="100" spans="1:5" x14ac:dyDescent="0.25">
      <c r="A100">
        <v>98</v>
      </c>
      <c r="B100" s="5">
        <v>79.17</v>
      </c>
      <c r="C100" s="5">
        <f>IF($A100=1,$C$2-(ROUNDDOWN(1000/$B100,0)*$B100),IF(A100=2,C99,IF(A100&gt;3,IF(AND(B99&lt;B98,B98&lt;B97),IF(C99&gt;=1000,C99-(ROUNDDOWN(1000/$B100,0)*$B100),C99),IF($B99=MAX($B$3:$B99),C99+(D99*B100),C99)),IF($B99=MAX($B$3:$B99),C99+(D99*B100),C99))))</f>
        <v>5834.75</v>
      </c>
      <c r="D100">
        <f>IF($A100=1,D99+ROUNDDOWN(1000/$B100,0),IF(A100=2,D99,IF(A100&gt;3,IF(AND(B99&lt;B98,B98&lt;B97),IF(C99&gt;=1000,D99+ROUNDDOWN(1000/$B100,0),D99),IF($B99=MAX($B$3:$B99),0,D99)),IF($B99=MAX($B$3:$B99),0,D99))))</f>
        <v>0</v>
      </c>
      <c r="E100">
        <f t="shared" si="1"/>
        <v>0</v>
      </c>
    </row>
    <row r="101" spans="1:5" x14ac:dyDescent="0.25">
      <c r="A101">
        <v>99</v>
      </c>
      <c r="B101" s="5">
        <v>80.290000000000006</v>
      </c>
      <c r="C101" s="5">
        <f>IF($A101=1,$C$2-(ROUNDDOWN(1000/$B101,0)*$B101),IF(A101=2,C100,IF(A101&gt;3,IF(AND(B100&lt;B99,B99&lt;B98),IF(C100&gt;=1000,C100-(ROUNDDOWN(1000/$B101,0)*$B101),C100),IF($B100=MAX($B$3:$B100),C100+(D100*B101),C100)),IF($B100=MAX($B$3:$B100),C100+(D100*B101),C100))))</f>
        <v>5834.75</v>
      </c>
      <c r="D101">
        <f>IF($A101=1,D100+ROUNDDOWN(1000/$B101,0),IF(A101=2,D100,IF(A101&gt;3,IF(AND(B100&lt;B99,B99&lt;B98),IF(C100&gt;=1000,D100+ROUNDDOWN(1000/$B101,0),D100),IF($B100=MAX($B$3:$B100),0,D100)),IF($B100=MAX($B$3:$B100),0,D100))))</f>
        <v>0</v>
      </c>
      <c r="E101">
        <f t="shared" si="1"/>
        <v>0</v>
      </c>
    </row>
    <row r="102" spans="1:5" x14ac:dyDescent="0.25">
      <c r="A102">
        <v>100</v>
      </c>
      <c r="B102" s="5">
        <v>81.599999999999994</v>
      </c>
      <c r="C102" s="5">
        <f>IF($A102=1,$C$2-(ROUNDDOWN(1000/$B102,0)*$B102),IF(A102=2,C101,IF(A102&gt;3,IF(AND(B101&lt;B100,B100&lt;B99),IF(C101&gt;=1000,C101-(ROUNDDOWN(1000/$B102,0)*$B102),C101),IF($B101=MAX($B$3:$B101),C101+(D101*B102),C101)),IF($B101=MAX($B$3:$B101),C101+(D101*B102),C101))))</f>
        <v>5834.75</v>
      </c>
      <c r="D102">
        <f>IF($A102=1,D101+ROUNDDOWN(1000/$B102,0),IF(A102=2,D101,IF(A102&gt;3,IF(AND(B101&lt;B100,B100&lt;B99),IF(C101&gt;=1000,D101+ROUNDDOWN(1000/$B102,0),D101),IF($B101=MAX($B$3:$B101),0,D101)),IF($B101=MAX($B$3:$B101),0,D101))))</f>
        <v>0</v>
      </c>
      <c r="E102">
        <f t="shared" si="1"/>
        <v>0</v>
      </c>
    </row>
    <row r="103" spans="1:5" x14ac:dyDescent="0.25">
      <c r="A103">
        <v>101</v>
      </c>
      <c r="B103" s="5">
        <v>82.75</v>
      </c>
      <c r="C103" s="5">
        <f>IF($A103=1,$C$2-(ROUNDDOWN(1000/$B103,0)*$B103),IF(A103=2,C102,IF(A103&gt;3,IF(AND(B102&lt;B101,B101&lt;B100),IF(C102&gt;=1000,C102-(ROUNDDOWN(1000/$B103,0)*$B103),C102),IF($B102=MAX($B$3:$B102),C102+(D102*B103),C102)),IF($B102=MAX($B$3:$B102),C102+(D102*B103),C102))))</f>
        <v>5834.75</v>
      </c>
      <c r="D103">
        <f>IF($A103=1,D102+ROUNDDOWN(1000/$B103,0),IF(A103=2,D102,IF(A103&gt;3,IF(AND(B102&lt;B101,B101&lt;B100),IF(C102&gt;=1000,D102+ROUNDDOWN(1000/$B103,0),D102),IF($B102=MAX($B$3:$B102),0,D102)),IF($B102=MAX($B$3:$B102),0,D102))))</f>
        <v>0</v>
      </c>
      <c r="E103">
        <f t="shared" si="1"/>
        <v>0</v>
      </c>
    </row>
    <row r="104" spans="1:5" x14ac:dyDescent="0.25">
      <c r="A104">
        <v>102</v>
      </c>
      <c r="B104" s="5">
        <v>83.09</v>
      </c>
      <c r="C104" s="5">
        <f>IF($A104=1,$C$2-(ROUNDDOWN(1000/$B104,0)*$B104),IF(A104=2,C103,IF(A104&gt;3,IF(AND(B103&lt;B102,B102&lt;B101),IF(C103&gt;=1000,C103-(ROUNDDOWN(1000/$B104,0)*$B104),C103),IF($B103=MAX($B$3:$B103),C103+(D103*B104),C103)),IF($B103=MAX($B$3:$B103),C103+(D103*B104),C103))))</f>
        <v>5834.75</v>
      </c>
      <c r="D104">
        <f>IF($A104=1,D103+ROUNDDOWN(1000/$B104,0),IF(A104=2,D103,IF(A104&gt;3,IF(AND(B103&lt;B102,B102&lt;B101),IF(C103&gt;=1000,D103+ROUNDDOWN(1000/$B104,0),D103),IF($B103=MAX($B$3:$B103),0,D103)),IF($B103=MAX($B$3:$B103),0,D103))))</f>
        <v>0</v>
      </c>
      <c r="E104">
        <f t="shared" si="1"/>
        <v>0</v>
      </c>
    </row>
    <row r="105" spans="1:5" x14ac:dyDescent="0.25">
      <c r="A105">
        <v>103</v>
      </c>
      <c r="B105" s="5">
        <v>84.09</v>
      </c>
      <c r="C105" s="5">
        <f>IF($A105=1,$C$2-(ROUNDDOWN(1000/$B105,0)*$B105),IF(A105=2,C104,IF(A105&gt;3,IF(AND(B104&lt;B103,B103&lt;B102),IF(C104&gt;=1000,C104-(ROUNDDOWN(1000/$B105,0)*$B105),C104),IF($B104=MAX($B$3:$B104),C104+(D104*B105),C104)),IF($B104=MAX($B$3:$B104),C104+(D104*B105),C104))))</f>
        <v>5834.75</v>
      </c>
      <c r="D105">
        <f>IF($A105=1,D104+ROUNDDOWN(1000/$B105,0),IF(A105=2,D104,IF(A105&gt;3,IF(AND(B104&lt;B103,B103&lt;B102),IF(C104&gt;=1000,D104+ROUNDDOWN(1000/$B105,0),D104),IF($B104=MAX($B$3:$B104),0,D104)),IF($B104=MAX($B$3:$B104),0,D104))))</f>
        <v>0</v>
      </c>
      <c r="E105">
        <f t="shared" si="1"/>
        <v>0</v>
      </c>
    </row>
    <row r="106" spans="1:5" x14ac:dyDescent="0.25">
      <c r="A106">
        <v>104</v>
      </c>
      <c r="B106" s="5">
        <v>85.17</v>
      </c>
      <c r="C106" s="5">
        <f>IF($A106=1,$C$2-(ROUNDDOWN(1000/$B106,0)*$B106),IF(A106=2,C105,IF(A106&gt;3,IF(AND(B105&lt;B104,B104&lt;B103),IF(C105&gt;=1000,C105-(ROUNDDOWN(1000/$B106,0)*$B106),C105),IF($B105=MAX($B$3:$B105),C105+(D105*B106),C105)),IF($B105=MAX($B$3:$B105),C105+(D105*B106),C105))))</f>
        <v>5834.75</v>
      </c>
      <c r="D106">
        <f>IF($A106=1,D105+ROUNDDOWN(1000/$B106,0),IF(A106=2,D105,IF(A106&gt;3,IF(AND(B105&lt;B104,B104&lt;B103),IF(C105&gt;=1000,D105+ROUNDDOWN(1000/$B106,0),D105),IF($B105=MAX($B$3:$B105),0,D105)),IF($B105=MAX($B$3:$B105),0,D105))))</f>
        <v>0</v>
      </c>
      <c r="E106">
        <f t="shared" si="1"/>
        <v>0</v>
      </c>
    </row>
    <row r="107" spans="1:5" x14ac:dyDescent="0.25">
      <c r="A107">
        <v>105</v>
      </c>
      <c r="B107" s="5">
        <v>86</v>
      </c>
      <c r="C107" s="5">
        <f>IF($A107=1,$C$2-(ROUNDDOWN(1000/$B107,0)*$B107),IF(A107=2,C106,IF(A107&gt;3,IF(AND(B106&lt;B105,B105&lt;B104),IF(C106&gt;=1000,C106-(ROUNDDOWN(1000/$B107,0)*$B107),C106),IF($B106=MAX($B$3:$B106),C106+(D106*B107),C106)),IF($B106=MAX($B$3:$B106),C106+(D106*B107),C106))))</f>
        <v>5834.75</v>
      </c>
      <c r="D107">
        <f>IF($A107=1,D106+ROUNDDOWN(1000/$B107,0),IF(A107=2,D106,IF(A107&gt;3,IF(AND(B106&lt;B105,B105&lt;B104),IF(C106&gt;=1000,D106+ROUNDDOWN(1000/$B107,0),D106),IF($B106=MAX($B$3:$B106),0,D106)),IF($B106=MAX($B$3:$B106),0,D106))))</f>
        <v>0</v>
      </c>
      <c r="E107">
        <f t="shared" si="1"/>
        <v>0</v>
      </c>
    </row>
    <row r="108" spans="1:5" x14ac:dyDescent="0.25">
      <c r="A108">
        <v>106</v>
      </c>
      <c r="B108" s="5">
        <v>84.14</v>
      </c>
      <c r="C108" s="5">
        <f>IF($A108=1,$C$2-(ROUNDDOWN(1000/$B108,0)*$B108),IF(A108=2,C107,IF(A108&gt;3,IF(AND(B107&lt;B106,B106&lt;B105),IF(C107&gt;=1000,C107-(ROUNDDOWN(1000/$B108,0)*$B108),C107),IF($B107=MAX($B$3:$B107),C107+(D107*B108),C107)),IF($B107=MAX($B$3:$B107),C107+(D107*B108),C107))))</f>
        <v>5834.75</v>
      </c>
      <c r="D108">
        <f>IF($A108=1,D107+ROUNDDOWN(1000/$B108,0),IF(A108=2,D107,IF(A108&gt;3,IF(AND(B107&lt;B106,B106&lt;B105),IF(C107&gt;=1000,D107+ROUNDDOWN(1000/$B108,0),D107),IF($B107=MAX($B$3:$B107),0,D107)),IF($B107=MAX($B$3:$B107),0,D107))))</f>
        <v>0</v>
      </c>
      <c r="E108">
        <f t="shared" si="1"/>
        <v>0</v>
      </c>
    </row>
    <row r="109" spans="1:5" x14ac:dyDescent="0.25">
      <c r="A109">
        <v>107</v>
      </c>
      <c r="B109" s="5">
        <v>86.19</v>
      </c>
      <c r="C109" s="5">
        <f>IF($A109=1,$C$2-(ROUNDDOWN(1000/$B109,0)*$B109),IF(A109=2,C108,IF(A109&gt;3,IF(AND(B108&lt;B107,B107&lt;B106),IF(C108&gt;=1000,C108-(ROUNDDOWN(1000/$B109,0)*$B109),C108),IF($B108=MAX($B$3:$B108),C108+(D108*B109),C108)),IF($B108=MAX($B$3:$B108),C108+(D108*B109),C108))))</f>
        <v>5834.75</v>
      </c>
      <c r="D109">
        <f>IF($A109=1,D108+ROUNDDOWN(1000/$B109,0),IF(A109=2,D108,IF(A109&gt;3,IF(AND(B108&lt;B107,B107&lt;B106),IF(C108&gt;=1000,D108+ROUNDDOWN(1000/$B109,0),D108),IF($B108=MAX($B$3:$B108),0,D108)),IF($B108=MAX($B$3:$B108),0,D108))))</f>
        <v>0</v>
      </c>
      <c r="E109">
        <f t="shared" si="1"/>
        <v>0</v>
      </c>
    </row>
    <row r="110" spans="1:5" x14ac:dyDescent="0.25">
      <c r="A110">
        <v>108</v>
      </c>
      <c r="B110" s="5">
        <v>86.34</v>
      </c>
      <c r="C110" s="5">
        <f>IF($A110=1,$C$2-(ROUNDDOWN(1000/$B110,0)*$B110),IF(A110=2,C109,IF(A110&gt;3,IF(AND(B109&lt;B108,B108&lt;B107),IF(C109&gt;=1000,C109-(ROUNDDOWN(1000/$B110,0)*$B110),C109),IF($B109=MAX($B$3:$B109),C109+(D109*B110),C109)),IF($B109=MAX($B$3:$B109),C109+(D109*B110),C109))))</f>
        <v>5834.75</v>
      </c>
      <c r="D110">
        <f>IF($A110=1,D109+ROUNDDOWN(1000/$B110,0),IF(A110=2,D109,IF(A110&gt;3,IF(AND(B109&lt;B108,B108&lt;B107),IF(C109&gt;=1000,D109+ROUNDDOWN(1000/$B110,0),D109),IF($B109=MAX($B$3:$B109),0,D109)),IF($B109=MAX($B$3:$B109),0,D109))))</f>
        <v>0</v>
      </c>
      <c r="E110">
        <f t="shared" si="1"/>
        <v>0</v>
      </c>
    </row>
    <row r="111" spans="1:5" x14ac:dyDescent="0.25">
      <c r="A111">
        <v>109</v>
      </c>
      <c r="B111" s="5">
        <v>87.75</v>
      </c>
      <c r="C111" s="5">
        <f>IF($A111=1,$C$2-(ROUNDDOWN(1000/$B111,0)*$B111),IF(A111=2,C110,IF(A111&gt;3,IF(AND(B110&lt;B109,B109&lt;B108),IF(C110&gt;=1000,C110-(ROUNDDOWN(1000/$B111,0)*$B111),C110),IF($B110=MAX($B$3:$B110),C110+(D110*B111),C110)),IF($B110=MAX($B$3:$B110),C110+(D110*B111),C110))))</f>
        <v>5834.75</v>
      </c>
      <c r="D111">
        <f>IF($A111=1,D110+ROUNDDOWN(1000/$B111,0),IF(A111=2,D110,IF(A111&gt;3,IF(AND(B110&lt;B109,B109&lt;B108),IF(C110&gt;=1000,D110+ROUNDDOWN(1000/$B111,0),D110),IF($B110=MAX($B$3:$B110),0,D110)),IF($B110=MAX($B$3:$B110),0,D110))))</f>
        <v>0</v>
      </c>
      <c r="E111">
        <f t="shared" si="1"/>
        <v>0</v>
      </c>
    </row>
    <row r="112" spans="1:5" x14ac:dyDescent="0.25">
      <c r="A112">
        <v>110</v>
      </c>
      <c r="B112" s="5">
        <v>86.13</v>
      </c>
      <c r="C112" s="5">
        <f>IF($A112=1,$C$2-(ROUNDDOWN(1000/$B112,0)*$B112),IF(A112=2,C111,IF(A112&gt;3,IF(AND(B111&lt;B110,B110&lt;B109),IF(C111&gt;=1000,C111-(ROUNDDOWN(1000/$B112,0)*$B112),C111),IF($B111=MAX($B$3:$B111),C111+(D111*B112),C111)),IF($B111=MAX($B$3:$B111),C111+(D111*B112),C111))))</f>
        <v>5834.75</v>
      </c>
      <c r="D112">
        <f>IF($A112=1,D111+ROUNDDOWN(1000/$B112,0),IF(A112=2,D111,IF(A112&gt;3,IF(AND(B111&lt;B110,B110&lt;B109),IF(C111&gt;=1000,D111+ROUNDDOWN(1000/$B112,0),D111),IF($B111=MAX($B$3:$B111),0,D111)),IF($B111=MAX($B$3:$B111),0,D111))))</f>
        <v>0</v>
      </c>
      <c r="E112">
        <f t="shared" si="1"/>
        <v>0</v>
      </c>
    </row>
    <row r="113" spans="1:5" x14ac:dyDescent="0.25">
      <c r="A113">
        <v>111</v>
      </c>
      <c r="B113" s="5">
        <v>87.39</v>
      </c>
      <c r="C113" s="5">
        <f>IF($A113=1,$C$2-(ROUNDDOWN(1000/$B113,0)*$B113),IF(A113=2,C112,IF(A113&gt;3,IF(AND(B112&lt;B111,B111&lt;B110),IF(C112&gt;=1000,C112-(ROUNDDOWN(1000/$B113,0)*$B113),C112),IF($B112=MAX($B$3:$B112),C112+(D112*B113),C112)),IF($B112=MAX($B$3:$B112),C112+(D112*B113),C112))))</f>
        <v>5834.75</v>
      </c>
      <c r="D113">
        <f>IF($A113=1,D112+ROUNDDOWN(1000/$B113,0),IF(A113=2,D112,IF(A113&gt;3,IF(AND(B112&lt;B111,B111&lt;B110),IF(C112&gt;=1000,D112+ROUNDDOWN(1000/$B113,0),D112),IF($B112=MAX($B$3:$B112),0,D112)),IF($B112=MAX($B$3:$B112),0,D112))))</f>
        <v>0</v>
      </c>
      <c r="E113">
        <f t="shared" si="1"/>
        <v>0</v>
      </c>
    </row>
    <row r="114" spans="1:5" x14ac:dyDescent="0.25">
      <c r="A114">
        <v>112</v>
      </c>
      <c r="B114" s="5">
        <v>88.8</v>
      </c>
      <c r="C114" s="5">
        <f>IF($A114=1,$C$2-(ROUNDDOWN(1000/$B114,0)*$B114),IF(A114=2,C113,IF(A114&gt;3,IF(AND(B113&lt;B112,B112&lt;B111),IF(C113&gt;=1000,C113-(ROUNDDOWN(1000/$B114,0)*$B114),C113),IF($B113=MAX($B$3:$B113),C113+(D113*B114),C113)),IF($B113=MAX($B$3:$B113),C113+(D113*B114),C113))))</f>
        <v>5834.75</v>
      </c>
      <c r="D114">
        <f>IF($A114=1,D113+ROUNDDOWN(1000/$B114,0),IF(A114=2,D113,IF(A114&gt;3,IF(AND(B113&lt;B112,B112&lt;B111),IF(C113&gt;=1000,D113+ROUNDDOWN(1000/$B114,0),D113),IF($B113=MAX($B$3:$B113),0,D113)),IF($B113=MAX($B$3:$B113),0,D113))))</f>
        <v>0</v>
      </c>
      <c r="E114">
        <f t="shared" si="1"/>
        <v>0</v>
      </c>
    </row>
    <row r="115" spans="1:5" x14ac:dyDescent="0.25">
      <c r="A115">
        <v>113</v>
      </c>
      <c r="B115" s="5">
        <v>89.88</v>
      </c>
      <c r="C115" s="5">
        <f>IF($A115=1,$C$2-(ROUNDDOWN(1000/$B115,0)*$B115),IF(A115=2,C114,IF(A115&gt;3,IF(AND(B114&lt;B113,B113&lt;B112),IF(C114&gt;=1000,C114-(ROUNDDOWN(1000/$B115,0)*$B115),C114),IF($B114=MAX($B$3:$B114),C114+(D114*B115),C114)),IF($B114=MAX($B$3:$B114),C114+(D114*B115),C114))))</f>
        <v>5834.75</v>
      </c>
      <c r="D115">
        <f>IF($A115=1,D114+ROUNDDOWN(1000/$B115,0),IF(A115=2,D114,IF(A115&gt;3,IF(AND(B114&lt;B113,B113&lt;B112),IF(C114&gt;=1000,D114+ROUNDDOWN(1000/$B115,0),D114),IF($B114=MAX($B$3:$B114),0,D114)),IF($B114=MAX($B$3:$B114),0,D114))))</f>
        <v>0</v>
      </c>
      <c r="E115">
        <f t="shared" si="1"/>
        <v>0</v>
      </c>
    </row>
    <row r="116" spans="1:5" x14ac:dyDescent="0.25">
      <c r="A116">
        <v>114</v>
      </c>
      <c r="B116" s="5">
        <v>91.83</v>
      </c>
      <c r="C116" s="5">
        <f>IF($A116=1,$C$2-(ROUNDDOWN(1000/$B116,0)*$B116),IF(A116=2,C115,IF(A116&gt;3,IF(AND(B115&lt;B114,B114&lt;B113),IF(C115&gt;=1000,C115-(ROUNDDOWN(1000/$B116,0)*$B116),C115),IF($B115=MAX($B$3:$B115),C115+(D115*B116),C115)),IF($B115=MAX($B$3:$B115),C115+(D115*B116),C115))))</f>
        <v>5834.75</v>
      </c>
      <c r="D116">
        <f>IF($A116=1,D115+ROUNDDOWN(1000/$B116,0),IF(A116=2,D115,IF(A116&gt;3,IF(AND(B115&lt;B114,B114&lt;B113),IF(C115&gt;=1000,D115+ROUNDDOWN(1000/$B116,0),D115),IF($B115=MAX($B$3:$B115),0,D115)),IF($B115=MAX($B$3:$B115),0,D115))))</f>
        <v>0</v>
      </c>
      <c r="E116">
        <f t="shared" si="1"/>
        <v>0</v>
      </c>
    </row>
    <row r="117" spans="1:5" x14ac:dyDescent="0.25">
      <c r="A117">
        <v>115</v>
      </c>
      <c r="B117" s="5">
        <v>93.53</v>
      </c>
      <c r="C117" s="5">
        <f>IF($A117=1,$C$2-(ROUNDDOWN(1000/$B117,0)*$B117),IF(A117=2,C116,IF(A117&gt;3,IF(AND(B116&lt;B115,B115&lt;B114),IF(C116&gt;=1000,C116-(ROUNDDOWN(1000/$B117,0)*$B117),C116),IF($B116=MAX($B$3:$B116),C116+(D116*B117),C116)),IF($B116=MAX($B$3:$B116),C116+(D116*B117),C116))))</f>
        <v>5834.75</v>
      </c>
      <c r="D117">
        <f>IF($A117=1,D116+ROUNDDOWN(1000/$B117,0),IF(A117=2,D116,IF(A117&gt;3,IF(AND(B116&lt;B115,B115&lt;B114),IF(C116&gt;=1000,D116+ROUNDDOWN(1000/$B117,0),D116),IF($B116=MAX($B$3:$B116),0,D116)),IF($B116=MAX($B$3:$B116),0,D116))))</f>
        <v>0</v>
      </c>
      <c r="E117">
        <f t="shared" si="1"/>
        <v>0</v>
      </c>
    </row>
    <row r="118" spans="1:5" x14ac:dyDescent="0.25">
      <c r="A118">
        <v>116</v>
      </c>
      <c r="B118" s="5">
        <v>93.72</v>
      </c>
      <c r="C118" s="5">
        <f>IF($A118=1,$C$2-(ROUNDDOWN(1000/$B118,0)*$B118),IF(A118=2,C117,IF(A118&gt;3,IF(AND(B117&lt;B116,B116&lt;B115),IF(C117&gt;=1000,C117-(ROUNDDOWN(1000/$B118,0)*$B118),C117),IF($B117=MAX($B$3:$B117),C117+(D117*B118),C117)),IF($B117=MAX($B$3:$B117),C117+(D117*B118),C117))))</f>
        <v>5834.75</v>
      </c>
      <c r="D118">
        <f>IF($A118=1,D117+ROUNDDOWN(1000/$B118,0),IF(A118=2,D117,IF(A118&gt;3,IF(AND(B117&lt;B116,B116&lt;B115),IF(C117&gt;=1000,D117+ROUNDDOWN(1000/$B118,0),D117),IF($B117=MAX($B$3:$B117),0,D117)),IF($B117=MAX($B$3:$B117),0,D117))))</f>
        <v>0</v>
      </c>
      <c r="E118">
        <f t="shared" si="1"/>
        <v>0</v>
      </c>
    </row>
    <row r="119" spans="1:5" x14ac:dyDescent="0.25">
      <c r="A119">
        <v>117</v>
      </c>
      <c r="B119" s="5">
        <v>94.47</v>
      </c>
      <c r="C119" s="5">
        <f>IF($A119=1,$C$2-(ROUNDDOWN(1000/$B119,0)*$B119),IF(A119=2,C118,IF(A119&gt;3,IF(AND(B118&lt;B117,B117&lt;B116),IF(C118&gt;=1000,C118-(ROUNDDOWN(1000/$B119,0)*$B119),C118),IF($B118=MAX($B$3:$B118),C118+(D118*B119),C118)),IF($B118=MAX($B$3:$B118),C118+(D118*B119),C118))))</f>
        <v>5834.75</v>
      </c>
      <c r="D119">
        <f>IF($A119=1,D118+ROUNDDOWN(1000/$B119,0),IF(A119=2,D118,IF(A119&gt;3,IF(AND(B118&lt;B117,B117&lt;B116),IF(C118&gt;=1000,D118+ROUNDDOWN(1000/$B119,0),D118),IF($B118=MAX($B$3:$B118),0,D118)),IF($B118=MAX($B$3:$B118),0,D118))))</f>
        <v>0</v>
      </c>
      <c r="E119">
        <f t="shared" si="1"/>
        <v>0</v>
      </c>
    </row>
    <row r="120" spans="1:5" x14ac:dyDescent="0.25">
      <c r="A120">
        <v>118</v>
      </c>
      <c r="B120" s="5">
        <v>94.65</v>
      </c>
      <c r="C120" s="5">
        <f>IF($A120=1,$C$2-(ROUNDDOWN(1000/$B120,0)*$B120),IF(A120=2,C119,IF(A120&gt;3,IF(AND(B119&lt;B118,B118&lt;B117),IF(C119&gt;=1000,C119-(ROUNDDOWN(1000/$B120,0)*$B120),C119),IF($B119=MAX($B$3:$B119),C119+(D119*B120),C119)),IF($B119=MAX($B$3:$B119),C119+(D119*B120),C119))))</f>
        <v>5834.75</v>
      </c>
      <c r="D120">
        <f>IF($A120=1,D119+ROUNDDOWN(1000/$B120,0),IF(A120=2,D119,IF(A120&gt;3,IF(AND(B119&lt;B118,B118&lt;B117),IF(C119&gt;=1000,D119+ROUNDDOWN(1000/$B120,0),D119),IF($B119=MAX($B$3:$B119),0,D119)),IF($B119=MAX($B$3:$B119),0,D119))))</f>
        <v>0</v>
      </c>
      <c r="E120">
        <f t="shared" si="1"/>
        <v>0</v>
      </c>
    </row>
    <row r="121" spans="1:5" x14ac:dyDescent="0.25">
      <c r="A121">
        <v>119</v>
      </c>
      <c r="B121" s="5">
        <v>92.86</v>
      </c>
      <c r="C121" s="5">
        <f>IF($A121=1,$C$2-(ROUNDDOWN(1000/$B121,0)*$B121),IF(A121=2,C120,IF(A121&gt;3,IF(AND(B120&lt;B119,B119&lt;B118),IF(C120&gt;=1000,C120-(ROUNDDOWN(1000/$B121,0)*$B121),C120),IF($B120=MAX($B$3:$B120),C120+(D120*B121),C120)),IF($B120=MAX($B$3:$B120),C120+(D120*B121),C120))))</f>
        <v>5834.75</v>
      </c>
      <c r="D121">
        <f>IF($A121=1,D120+ROUNDDOWN(1000/$B121,0),IF(A121=2,D120,IF(A121&gt;3,IF(AND(B120&lt;B119,B119&lt;B118),IF(C120&gt;=1000,D120+ROUNDDOWN(1000/$B121,0),D120),IF($B120=MAX($B$3:$B120),0,D120)),IF($B120=MAX($B$3:$B120),0,D120))))</f>
        <v>0</v>
      </c>
      <c r="E121">
        <f t="shared" si="1"/>
        <v>0</v>
      </c>
    </row>
    <row r="122" spans="1:5" x14ac:dyDescent="0.25">
      <c r="A122">
        <v>120</v>
      </c>
      <c r="B122" s="5">
        <v>94.21</v>
      </c>
      <c r="C122" s="5">
        <f>IF($A122=1,$C$2-(ROUNDDOWN(1000/$B122,0)*$B122),IF(A122=2,C121,IF(A122&gt;3,IF(AND(B121&lt;B120,B120&lt;B119),IF(C121&gt;=1000,C121-(ROUNDDOWN(1000/$B122,0)*$B122),C121),IF($B121=MAX($B$3:$B121),C121+(D121*B122),C121)),IF($B121=MAX($B$3:$B121),C121+(D121*B122),C121))))</f>
        <v>5834.75</v>
      </c>
      <c r="D122">
        <f>IF($A122=1,D121+ROUNDDOWN(1000/$B122,0),IF(A122=2,D121,IF(A122&gt;3,IF(AND(B121&lt;B120,B120&lt;B119),IF(C121&gt;=1000,D121+ROUNDDOWN(1000/$B122,0),D121),IF($B121=MAX($B$3:$B121),0,D121)),IF($B121=MAX($B$3:$B121),0,D121))))</f>
        <v>0</v>
      </c>
      <c r="E122">
        <f t="shared" si="1"/>
        <v>0</v>
      </c>
    </row>
    <row r="123" spans="1:5" x14ac:dyDescent="0.25">
      <c r="A123">
        <v>121</v>
      </c>
      <c r="B123" s="5">
        <v>96.18</v>
      </c>
      <c r="C123" s="5">
        <f>IF($A123=1,$C$2-(ROUNDDOWN(1000/$B123,0)*$B123),IF(A123=2,C122,IF(A123&gt;3,IF(AND(B122&lt;B121,B121&lt;B120),IF(C122&gt;=1000,C122-(ROUNDDOWN(1000/$B123,0)*$B123),C122),IF($B122=MAX($B$3:$B122),C122+(D122*B123),C122)),IF($B122=MAX($B$3:$B122),C122+(D122*B123),C122))))</f>
        <v>5834.75</v>
      </c>
      <c r="D123">
        <f>IF($A123=1,D122+ROUNDDOWN(1000/$B123,0),IF(A123=2,D122,IF(A123&gt;3,IF(AND(B122&lt;B121,B121&lt;B120),IF(C122&gt;=1000,D122+ROUNDDOWN(1000/$B123,0),D122),IF($B122=MAX($B$3:$B122),0,D122)),IF($B122=MAX($B$3:$B122),0,D122))))</f>
        <v>0</v>
      </c>
      <c r="E123">
        <f t="shared" si="1"/>
        <v>0</v>
      </c>
    </row>
    <row r="124" spans="1:5" x14ac:dyDescent="0.25">
      <c r="A124">
        <v>122</v>
      </c>
      <c r="B124" s="5">
        <v>96.18</v>
      </c>
      <c r="C124" s="5">
        <f>IF($A124=1,$C$2-(ROUNDDOWN(1000/$B124,0)*$B124),IF(A124=2,C123,IF(A124&gt;3,IF(AND(B123&lt;B122,B122&lt;B121),IF(C123&gt;=1000,C123-(ROUNDDOWN(1000/$B124,0)*$B124),C123),IF($B123=MAX($B$3:$B123),C123+(D123*B124),C123)),IF($B123=MAX($B$3:$B123),C123+(D123*B124),C123))))</f>
        <v>5834.75</v>
      </c>
      <c r="D124">
        <f>IF($A124=1,D123+ROUNDDOWN(1000/$B124,0),IF(A124=2,D123,IF(A124&gt;3,IF(AND(B123&lt;B122,B122&lt;B121),IF(C123&gt;=1000,D123+ROUNDDOWN(1000/$B124,0),D123),IF($B123=MAX($B$3:$B123),0,D123)),IF($B123=MAX($B$3:$B123),0,D123))))</f>
        <v>0</v>
      </c>
      <c r="E124">
        <f t="shared" si="1"/>
        <v>0</v>
      </c>
    </row>
    <row r="125" spans="1:5" x14ac:dyDescent="0.25">
      <c r="A125">
        <v>123</v>
      </c>
      <c r="B125" s="5">
        <v>94.72</v>
      </c>
      <c r="C125" s="5">
        <f>IF($A125=1,$C$2-(ROUNDDOWN(1000/$B125,0)*$B125),IF(A125=2,C124,IF(A125&gt;3,IF(AND(B124&lt;B123,B123&lt;B122),IF(C124&gt;=1000,C124-(ROUNDDOWN(1000/$B125,0)*$B125),C124),IF($B124=MAX($B$3:$B124),C124+(D124*B125),C124)),IF($B124=MAX($B$3:$B124),C124+(D124*B125),C124))))</f>
        <v>5834.75</v>
      </c>
      <c r="D125">
        <f>IF($A125=1,D124+ROUNDDOWN(1000/$B125,0),IF(A125=2,D124,IF(A125&gt;3,IF(AND(B124&lt;B123,B123&lt;B122),IF(C124&gt;=1000,D124+ROUNDDOWN(1000/$B125,0),D124),IF($B124=MAX($B$3:$B124),0,D124)),IF($B124=MAX($B$3:$B124),0,D124))))</f>
        <v>0</v>
      </c>
      <c r="E125">
        <f t="shared" si="1"/>
        <v>0</v>
      </c>
    </row>
    <row r="126" spans="1:5" x14ac:dyDescent="0.25">
      <c r="A126">
        <v>124</v>
      </c>
      <c r="B126" s="5">
        <v>95.97</v>
      </c>
      <c r="C126" s="5">
        <f>IF($A126=1,$C$2-(ROUNDDOWN(1000/$B126,0)*$B126),IF(A126=2,C125,IF(A126&gt;3,IF(AND(B125&lt;B124,B124&lt;B123),IF(C125&gt;=1000,C125-(ROUNDDOWN(1000/$B126,0)*$B126),C125),IF($B125=MAX($B$3:$B125),C125+(D125*B126),C125)),IF($B125=MAX($B$3:$B125),C125+(D125*B126),C125))))</f>
        <v>5834.75</v>
      </c>
      <c r="D126">
        <f>IF($A126=1,D125+ROUNDDOWN(1000/$B126,0),IF(A126=2,D125,IF(A126&gt;3,IF(AND(B125&lt;B124,B124&lt;B123),IF(C125&gt;=1000,D125+ROUNDDOWN(1000/$B126,0),D125),IF($B125=MAX($B$3:$B125),0,D125)),IF($B125=MAX($B$3:$B125),0,D125))))</f>
        <v>0</v>
      </c>
      <c r="E126">
        <f t="shared" si="1"/>
        <v>0</v>
      </c>
    </row>
    <row r="127" spans="1:5" x14ac:dyDescent="0.25">
      <c r="A127">
        <v>125</v>
      </c>
      <c r="B127" s="5">
        <v>94.21</v>
      </c>
      <c r="C127" s="5">
        <f>IF($A127=1,$C$2-(ROUNDDOWN(1000/$B127,0)*$B127),IF(A127=2,C126,IF(A127&gt;3,IF(AND(B126&lt;B125,B125&lt;B124),IF(C126&gt;=1000,C126-(ROUNDDOWN(1000/$B127,0)*$B127),C126),IF($B126=MAX($B$3:$B126),C126+(D126*B127),C126)),IF($B126=MAX($B$3:$B126),C126+(D126*B127),C126))))</f>
        <v>5834.75</v>
      </c>
      <c r="D127">
        <f>IF($A127=1,D126+ROUNDDOWN(1000/$B127,0),IF(A127=2,D126,IF(A127&gt;3,IF(AND(B126&lt;B125,B125&lt;B124),IF(C126&gt;=1000,D126+ROUNDDOWN(1000/$B127,0),D126),IF($B126=MAX($B$3:$B126),0,D126)),IF($B126=MAX($B$3:$B126),0,D126))))</f>
        <v>0</v>
      </c>
      <c r="E127">
        <f t="shared" si="1"/>
        <v>0</v>
      </c>
    </row>
    <row r="128" spans="1:5" x14ac:dyDescent="0.25">
      <c r="A128">
        <v>126</v>
      </c>
      <c r="B128" s="5">
        <v>95.42</v>
      </c>
      <c r="C128" s="5">
        <f>IF($A128=1,$C$2-(ROUNDDOWN(1000/$B128,0)*$B128),IF(A128=2,C127,IF(A128&gt;3,IF(AND(B127&lt;B126,B126&lt;B125),IF(C127&gt;=1000,C127-(ROUNDDOWN(1000/$B128,0)*$B128),C127),IF($B127=MAX($B$3:$B127),C127+(D127*B128),C127)),IF($B127=MAX($B$3:$B127),C127+(D127*B128),C127))))</f>
        <v>5834.75</v>
      </c>
      <c r="D128">
        <f>IF($A128=1,D127+ROUNDDOWN(1000/$B128,0),IF(A128=2,D127,IF(A128&gt;3,IF(AND(B127&lt;B126,B126&lt;B125),IF(C127&gt;=1000,D127+ROUNDDOWN(1000/$B128,0),D127),IF($B127=MAX($B$3:$B127),0,D127)),IF($B127=MAX($B$3:$B127),0,D127))))</f>
        <v>0</v>
      </c>
      <c r="E128">
        <f t="shared" si="1"/>
        <v>0</v>
      </c>
    </row>
    <row r="129" spans="1:5" x14ac:dyDescent="0.25">
      <c r="A129">
        <v>127</v>
      </c>
      <c r="B129" s="5">
        <v>93.76</v>
      </c>
      <c r="C129" s="5">
        <f>IF($A129=1,$C$2-(ROUNDDOWN(1000/$B129,0)*$B129),IF(A129=2,C128,IF(A129&gt;3,IF(AND(B128&lt;B127,B127&lt;B126),IF(C128&gt;=1000,C128-(ROUNDDOWN(1000/$B129,0)*$B129),C128),IF($B128=MAX($B$3:$B128),C128+(D128*B129),C128)),IF($B128=MAX($B$3:$B128),C128+(D128*B129),C128))))</f>
        <v>5834.75</v>
      </c>
      <c r="D129">
        <f>IF($A129=1,D128+ROUNDDOWN(1000/$B129,0),IF(A129=2,D128,IF(A129&gt;3,IF(AND(B128&lt;B127,B127&lt;B126),IF(C128&gt;=1000,D128+ROUNDDOWN(1000/$B129,0),D128),IF($B128=MAX($B$3:$B128),0,D128)),IF($B128=MAX($B$3:$B128),0,D128))))</f>
        <v>0</v>
      </c>
      <c r="E129">
        <f t="shared" si="1"/>
        <v>0</v>
      </c>
    </row>
    <row r="130" spans="1:5" x14ac:dyDescent="0.25">
      <c r="A130">
        <v>128</v>
      </c>
      <c r="B130" s="5">
        <v>94.56</v>
      </c>
      <c r="C130" s="5">
        <f>IF($A130=1,$C$2-(ROUNDDOWN(1000/$B130,0)*$B130),IF(A130=2,C129,IF(A130&gt;3,IF(AND(B129&lt;B128,B128&lt;B127),IF(C129&gt;=1000,C129-(ROUNDDOWN(1000/$B130,0)*$B130),C129),IF($B129=MAX($B$3:$B129),C129+(D129*B130),C129)),IF($B129=MAX($B$3:$B129),C129+(D129*B130),C129))))</f>
        <v>5834.75</v>
      </c>
      <c r="D130">
        <f>IF($A130=1,D129+ROUNDDOWN(1000/$B130,0),IF(A130=2,D129,IF(A130&gt;3,IF(AND(B129&lt;B128,B128&lt;B127),IF(C129&gt;=1000,D129+ROUNDDOWN(1000/$B130,0),D129),IF($B129=MAX($B$3:$B129),0,D129)),IF($B129=MAX($B$3:$B129),0,D129))))</f>
        <v>0</v>
      </c>
      <c r="E130">
        <f t="shared" si="1"/>
        <v>0</v>
      </c>
    </row>
    <row r="131" spans="1:5" x14ac:dyDescent="0.25">
      <c r="A131">
        <v>129</v>
      </c>
      <c r="B131" s="5">
        <v>92.73</v>
      </c>
      <c r="C131" s="5">
        <f>IF($A131=1,$C$2-(ROUNDDOWN(1000/$B131,0)*$B131),IF(A131=2,C130,IF(A131&gt;3,IF(AND(B130&lt;B129,B129&lt;B128),IF(C130&gt;=1000,C130-(ROUNDDOWN(1000/$B131,0)*$B131),C130),IF($B130=MAX($B$3:$B130),C130+(D130*B131),C130)),IF($B130=MAX($B$3:$B130),C130+(D130*B131),C130))))</f>
        <v>5834.75</v>
      </c>
      <c r="D131">
        <f>IF($A131=1,D130+ROUNDDOWN(1000/$B131,0),IF(A131=2,D130,IF(A131&gt;3,IF(AND(B130&lt;B129,B129&lt;B128),IF(C130&gt;=1000,D130+ROUNDDOWN(1000/$B131,0),D130),IF($B130=MAX($B$3:$B130),0,D130)),IF($B130=MAX($B$3:$B130),0,D130))))</f>
        <v>0</v>
      </c>
      <c r="E131">
        <f t="shared" si="1"/>
        <v>0</v>
      </c>
    </row>
    <row r="132" spans="1:5" x14ac:dyDescent="0.25">
      <c r="A132">
        <v>130</v>
      </c>
      <c r="B132" s="5">
        <v>93.24</v>
      </c>
      <c r="C132" s="5">
        <f>IF($A132=1,$C$2-(ROUNDDOWN(1000/$B132,0)*$B132),IF(A132=2,C131,IF(A132&gt;3,IF(AND(B131&lt;B130,B130&lt;B129),IF(C131&gt;=1000,C131-(ROUNDDOWN(1000/$B132,0)*$B132),C131),IF($B131=MAX($B$3:$B131),C131+(D131*B132),C131)),IF($B131=MAX($B$3:$B131),C131+(D131*B132),C131))))</f>
        <v>5834.75</v>
      </c>
      <c r="D132">
        <f>IF($A132=1,D131+ROUNDDOWN(1000/$B132,0),IF(A132=2,D131,IF(A132&gt;3,IF(AND(B131&lt;B130,B130&lt;B129),IF(C131&gt;=1000,D131+ROUNDDOWN(1000/$B132,0),D131),IF($B131=MAX($B$3:$B131),0,D131)),IF($B131=MAX($B$3:$B131),0,D131))))</f>
        <v>0</v>
      </c>
      <c r="E132">
        <f t="shared" ref="E132:E195" si="2">IF(D132&gt;D131,1,0)</f>
        <v>0</v>
      </c>
    </row>
    <row r="133" spans="1:5" x14ac:dyDescent="0.25">
      <c r="A133">
        <v>131</v>
      </c>
      <c r="B133" s="5">
        <v>94.61</v>
      </c>
      <c r="C133" s="5">
        <f>IF($A133=1,$C$2-(ROUNDDOWN(1000/$B133,0)*$B133),IF(A133=2,C132,IF(A133&gt;3,IF(AND(B132&lt;B131,B131&lt;B130),IF(C132&gt;=1000,C132-(ROUNDDOWN(1000/$B133,0)*$B133),C132),IF($B132=MAX($B$3:$B132),C132+(D132*B133),C132)),IF($B132=MAX($B$3:$B132),C132+(D132*B133),C132))))</f>
        <v>5834.75</v>
      </c>
      <c r="D133">
        <f>IF($A133=1,D132+ROUNDDOWN(1000/$B133,0),IF(A133=2,D132,IF(A133&gt;3,IF(AND(B132&lt;B131,B131&lt;B130),IF(C132&gt;=1000,D132+ROUNDDOWN(1000/$B133,0),D132),IF($B132=MAX($B$3:$B132),0,D132)),IF($B132=MAX($B$3:$B132),0,D132))))</f>
        <v>0</v>
      </c>
      <c r="E133">
        <f t="shared" si="2"/>
        <v>0</v>
      </c>
    </row>
    <row r="134" spans="1:5" x14ac:dyDescent="0.25">
      <c r="A134">
        <v>132</v>
      </c>
      <c r="B134" s="5">
        <v>95.66</v>
      </c>
      <c r="C134" s="5">
        <f>IF($A134=1,$C$2-(ROUNDDOWN(1000/$B134,0)*$B134),IF(A134=2,C133,IF(A134&gt;3,IF(AND(B133&lt;B132,B132&lt;B131),IF(C133&gt;=1000,C133-(ROUNDDOWN(1000/$B134,0)*$B134),C133),IF($B133=MAX($B$3:$B133),C133+(D133*B134),C133)),IF($B133=MAX($B$3:$B133),C133+(D133*B134),C133))))</f>
        <v>5834.75</v>
      </c>
      <c r="D134">
        <f>IF($A134=1,D133+ROUNDDOWN(1000/$B134,0),IF(A134=2,D133,IF(A134&gt;3,IF(AND(B133&lt;B132,B132&lt;B131),IF(C133&gt;=1000,D133+ROUNDDOWN(1000/$B134,0),D133),IF($B133=MAX($B$3:$B133),0,D133)),IF($B133=MAX($B$3:$B133),0,D133))))</f>
        <v>0</v>
      </c>
      <c r="E134">
        <f t="shared" si="2"/>
        <v>0</v>
      </c>
    </row>
    <row r="135" spans="1:5" x14ac:dyDescent="0.25">
      <c r="A135">
        <v>133</v>
      </c>
      <c r="B135" s="5">
        <v>96.73</v>
      </c>
      <c r="C135" s="5">
        <f>IF($A135=1,$C$2-(ROUNDDOWN(1000/$B135,0)*$B135),IF(A135=2,C134,IF(A135&gt;3,IF(AND(B134&lt;B133,B133&lt;B132),IF(C134&gt;=1000,C134-(ROUNDDOWN(1000/$B135,0)*$B135),C134),IF($B134=MAX($B$3:$B134),C134+(D134*B135),C134)),IF($B134=MAX($B$3:$B134),C134+(D134*B135),C134))))</f>
        <v>5834.75</v>
      </c>
      <c r="D135">
        <f>IF($A135=1,D134+ROUNDDOWN(1000/$B135,0),IF(A135=2,D134,IF(A135&gt;3,IF(AND(B134&lt;B133,B133&lt;B132),IF(C134&gt;=1000,D134+ROUNDDOWN(1000/$B135,0),D134),IF($B134=MAX($B$3:$B134),0,D134)),IF($B134=MAX($B$3:$B134),0,D134))))</f>
        <v>0</v>
      </c>
      <c r="E135">
        <f t="shared" si="2"/>
        <v>0</v>
      </c>
    </row>
    <row r="136" spans="1:5" x14ac:dyDescent="0.25">
      <c r="A136">
        <v>134</v>
      </c>
      <c r="B136" s="5">
        <v>98.18</v>
      </c>
      <c r="C136" s="5">
        <f>IF($A136=1,$C$2-(ROUNDDOWN(1000/$B136,0)*$B136),IF(A136=2,C135,IF(A136&gt;3,IF(AND(B135&lt;B134,B134&lt;B133),IF(C135&gt;=1000,C135-(ROUNDDOWN(1000/$B136,0)*$B136),C135),IF($B135=MAX($B$3:$B135),C135+(D135*B136),C135)),IF($B135=MAX($B$3:$B135),C135+(D135*B136),C135))))</f>
        <v>5834.75</v>
      </c>
      <c r="D136">
        <f>IF($A136=1,D135+ROUNDDOWN(1000/$B136,0),IF(A136=2,D135,IF(A136&gt;3,IF(AND(B135&lt;B134,B134&lt;B133),IF(C135&gt;=1000,D135+ROUNDDOWN(1000/$B136,0),D135),IF($B135=MAX($B$3:$B135),0,D135)),IF($B135=MAX($B$3:$B135),0,D135))))</f>
        <v>0</v>
      </c>
      <c r="E136">
        <f t="shared" si="2"/>
        <v>0</v>
      </c>
    </row>
    <row r="137" spans="1:5" x14ac:dyDescent="0.25">
      <c r="A137">
        <v>135</v>
      </c>
      <c r="B137" s="5">
        <v>96.62</v>
      </c>
      <c r="C137" s="5">
        <f>IF($A137=1,$C$2-(ROUNDDOWN(1000/$B137,0)*$B137),IF(A137=2,C136,IF(A137&gt;3,IF(AND(B136&lt;B135,B135&lt;B134),IF(C136&gt;=1000,C136-(ROUNDDOWN(1000/$B137,0)*$B137),C136),IF($B136=MAX($B$3:$B136),C136+(D136*B137),C136)),IF($B136=MAX($B$3:$B136),C136+(D136*B137),C136))))</f>
        <v>5834.75</v>
      </c>
      <c r="D137">
        <f>IF($A137=1,D136+ROUNDDOWN(1000/$B137,0),IF(A137=2,D136,IF(A137&gt;3,IF(AND(B136&lt;B135,B135&lt;B134),IF(C136&gt;=1000,D136+ROUNDDOWN(1000/$B137,0),D136),IF($B136=MAX($B$3:$B136),0,D136)),IF($B136=MAX($B$3:$B136),0,D136))))</f>
        <v>0</v>
      </c>
      <c r="E137">
        <f t="shared" si="2"/>
        <v>0</v>
      </c>
    </row>
    <row r="138" spans="1:5" x14ac:dyDescent="0.25">
      <c r="A138">
        <v>136</v>
      </c>
      <c r="B138" s="5">
        <v>98.19</v>
      </c>
      <c r="C138" s="5">
        <f>IF($A138=1,$C$2-(ROUNDDOWN(1000/$B138,0)*$B138),IF(A138=2,C137,IF(A138&gt;3,IF(AND(B137&lt;B136,B136&lt;B135),IF(C137&gt;=1000,C137-(ROUNDDOWN(1000/$B138,0)*$B138),C137),IF($B137=MAX($B$3:$B137),C137+(D137*B138),C137)),IF($B137=MAX($B$3:$B137),C137+(D137*B138),C137))))</f>
        <v>5834.75</v>
      </c>
      <c r="D138">
        <f>IF($A138=1,D137+ROUNDDOWN(1000/$B138,0),IF(A138=2,D137,IF(A138&gt;3,IF(AND(B137&lt;B136,B136&lt;B135),IF(C137&gt;=1000,D137+ROUNDDOWN(1000/$B138,0),D137),IF($B137=MAX($B$3:$B137),0,D137)),IF($B137=MAX($B$3:$B137),0,D137))))</f>
        <v>0</v>
      </c>
      <c r="E138">
        <f t="shared" si="2"/>
        <v>0</v>
      </c>
    </row>
    <row r="139" spans="1:5" x14ac:dyDescent="0.25">
      <c r="A139">
        <v>137</v>
      </c>
      <c r="B139" s="5">
        <v>99.72</v>
      </c>
      <c r="C139" s="5">
        <f>IF($A139=1,$C$2-(ROUNDDOWN(1000/$B139,0)*$B139),IF(A139=2,C138,IF(A139&gt;3,IF(AND(B138&lt;B137,B137&lt;B136),IF(C138&gt;=1000,C138-(ROUNDDOWN(1000/$B139,0)*$B139),C138),IF($B138=MAX($B$3:$B138),C138+(D138*B139),C138)),IF($B138=MAX($B$3:$B138),C138+(D138*B139),C138))))</f>
        <v>5834.75</v>
      </c>
      <c r="D139">
        <f>IF($A139=1,D138+ROUNDDOWN(1000/$B139,0),IF(A139=2,D138,IF(A139&gt;3,IF(AND(B138&lt;B137,B137&lt;B136),IF(C138&gt;=1000,D138+ROUNDDOWN(1000/$B139,0),D138),IF($B138=MAX($B$3:$B138),0,D138)),IF($B138=MAX($B$3:$B138),0,D138))))</f>
        <v>0</v>
      </c>
      <c r="E139">
        <f t="shared" si="2"/>
        <v>0</v>
      </c>
    </row>
    <row r="140" spans="1:5" x14ac:dyDescent="0.25">
      <c r="A140">
        <v>138</v>
      </c>
      <c r="B140" s="5">
        <v>100.95</v>
      </c>
      <c r="C140" s="5">
        <f>IF($A140=1,$C$2-(ROUNDDOWN(1000/$B140,0)*$B140),IF(A140=2,C139,IF(A140&gt;3,IF(AND(B139&lt;B138,B138&lt;B137),IF(C139&gt;=1000,C139-(ROUNDDOWN(1000/$B140,0)*$B140),C139),IF($B139=MAX($B$3:$B139),C139+(D139*B140),C139)),IF($B139=MAX($B$3:$B139),C139+(D139*B140),C139))))</f>
        <v>5834.75</v>
      </c>
      <c r="D140">
        <f>IF($A140=1,D139+ROUNDDOWN(1000/$B140,0),IF(A140=2,D139,IF(A140&gt;3,IF(AND(B139&lt;B138,B138&lt;B137),IF(C139&gt;=1000,D139+ROUNDDOWN(1000/$B140,0),D139),IF($B139=MAX($B$3:$B139),0,D139)),IF($B139=MAX($B$3:$B139),0,D139))))</f>
        <v>0</v>
      </c>
      <c r="E140">
        <f t="shared" si="2"/>
        <v>0</v>
      </c>
    </row>
    <row r="141" spans="1:5" x14ac:dyDescent="0.25">
      <c r="A141">
        <v>139</v>
      </c>
      <c r="B141" s="5">
        <v>99.54</v>
      </c>
      <c r="C141" s="5">
        <f>IF($A141=1,$C$2-(ROUNDDOWN(1000/$B141,0)*$B141),IF(A141=2,C140,IF(A141&gt;3,IF(AND(B140&lt;B139,B139&lt;B138),IF(C140&gt;=1000,C140-(ROUNDDOWN(1000/$B141,0)*$B141),C140),IF($B140=MAX($B$3:$B140),C140+(D140*B141),C140)),IF($B140=MAX($B$3:$B140),C140+(D140*B141),C140))))</f>
        <v>5834.75</v>
      </c>
      <c r="D141">
        <f>IF($A141=1,D140+ROUNDDOWN(1000/$B141,0),IF(A141=2,D140,IF(A141&gt;3,IF(AND(B140&lt;B139,B139&lt;B138),IF(C140&gt;=1000,D140+ROUNDDOWN(1000/$B141,0),D140),IF($B140=MAX($B$3:$B140),0,D140)),IF($B140=MAX($B$3:$B140),0,D140))))</f>
        <v>0</v>
      </c>
      <c r="E141">
        <f t="shared" si="2"/>
        <v>0</v>
      </c>
    </row>
    <row r="142" spans="1:5" x14ac:dyDescent="0.25">
      <c r="A142">
        <v>140</v>
      </c>
      <c r="B142" s="5">
        <v>101.54</v>
      </c>
      <c r="C142" s="5">
        <f>IF($A142=1,$C$2-(ROUNDDOWN(1000/$B142,0)*$B142),IF(A142=2,C141,IF(A142&gt;3,IF(AND(B141&lt;B140,B140&lt;B139),IF(C141&gt;=1000,C141-(ROUNDDOWN(1000/$B142,0)*$B142),C141),IF($B141=MAX($B$3:$B141),C141+(D141*B142),C141)),IF($B141=MAX($B$3:$B141),C141+(D141*B142),C141))))</f>
        <v>5834.75</v>
      </c>
      <c r="D142">
        <f>IF($A142=1,D141+ROUNDDOWN(1000/$B142,0),IF(A142=2,D141,IF(A142&gt;3,IF(AND(B141&lt;B140,B140&lt;B139),IF(C141&gt;=1000,D141+ROUNDDOWN(1000/$B142,0),D141),IF($B141=MAX($B$3:$B141),0,D141)),IF($B141=MAX($B$3:$B141),0,D141))))</f>
        <v>0</v>
      </c>
      <c r="E142">
        <f t="shared" si="2"/>
        <v>0</v>
      </c>
    </row>
    <row r="143" spans="1:5" x14ac:dyDescent="0.25">
      <c r="A143">
        <v>141</v>
      </c>
      <c r="B143" s="5">
        <v>101.73</v>
      </c>
      <c r="C143" s="5">
        <f>IF($A143=1,$C$2-(ROUNDDOWN(1000/$B143,0)*$B143),IF(A143=2,C142,IF(A143&gt;3,IF(AND(B142&lt;B141,B141&lt;B140),IF(C142&gt;=1000,C142-(ROUNDDOWN(1000/$B143,0)*$B143),C142),IF($B142=MAX($B$3:$B142),C142+(D142*B143),C142)),IF($B142=MAX($B$3:$B142),C142+(D142*B143),C142))))</f>
        <v>5834.75</v>
      </c>
      <c r="D143">
        <f>IF($A143=1,D142+ROUNDDOWN(1000/$B143,0),IF(A143=2,D142,IF(A143&gt;3,IF(AND(B142&lt;B141,B141&lt;B140),IF(C142&gt;=1000,D142+ROUNDDOWN(1000/$B143,0),D142),IF($B142=MAX($B$3:$B142),0,D142)),IF($B142=MAX($B$3:$B142),0,D142))))</f>
        <v>0</v>
      </c>
      <c r="E143">
        <f t="shared" si="2"/>
        <v>0</v>
      </c>
    </row>
    <row r="144" spans="1:5" x14ac:dyDescent="0.25">
      <c r="A144">
        <v>142</v>
      </c>
      <c r="B144" s="5">
        <v>101.74</v>
      </c>
      <c r="C144" s="5">
        <f>IF($A144=1,$C$2-(ROUNDDOWN(1000/$B144,0)*$B144),IF(A144=2,C143,IF(A144&gt;3,IF(AND(B143&lt;B142,B142&lt;B141),IF(C143&gt;=1000,C143-(ROUNDDOWN(1000/$B144,0)*$B144),C143),IF($B143=MAX($B$3:$B143),C143+(D143*B144),C143)),IF($B143=MAX($B$3:$B143),C143+(D143*B144),C143))))</f>
        <v>5834.75</v>
      </c>
      <c r="D144">
        <f>IF($A144=1,D143+ROUNDDOWN(1000/$B144,0),IF(A144=2,D143,IF(A144&gt;3,IF(AND(B143&lt;B142,B142&lt;B141),IF(C143&gt;=1000,D143+ROUNDDOWN(1000/$B144,0),D143),IF($B143=MAX($B$3:$B143),0,D143)),IF($B143=MAX($B$3:$B143),0,D143))))</f>
        <v>0</v>
      </c>
      <c r="E144">
        <f t="shared" si="2"/>
        <v>0</v>
      </c>
    </row>
    <row r="145" spans="1:5" x14ac:dyDescent="0.25">
      <c r="A145">
        <v>143</v>
      </c>
      <c r="B145" s="5">
        <v>100.01</v>
      </c>
      <c r="C145" s="5">
        <f>IF($A145=1,$C$2-(ROUNDDOWN(1000/$B145,0)*$B145),IF(A145=2,C144,IF(A145&gt;3,IF(AND(B144&lt;B143,B143&lt;B142),IF(C144&gt;=1000,C144-(ROUNDDOWN(1000/$B145,0)*$B145),C144),IF($B144=MAX($B$3:$B144),C144+(D144*B145),C144)),IF($B144=MAX($B$3:$B144),C144+(D144*B145),C144))))</f>
        <v>5834.75</v>
      </c>
      <c r="D145">
        <f>IF($A145=1,D144+ROUNDDOWN(1000/$B145,0),IF(A145=2,D144,IF(A145&gt;3,IF(AND(B144&lt;B143,B143&lt;B142),IF(C144&gt;=1000,D144+ROUNDDOWN(1000/$B145,0),D144),IF($B144=MAX($B$3:$B144),0,D144)),IF($B144=MAX($B$3:$B144),0,D144))))</f>
        <v>0</v>
      </c>
      <c r="E145">
        <f t="shared" si="2"/>
        <v>0</v>
      </c>
    </row>
    <row r="146" spans="1:5" x14ac:dyDescent="0.25">
      <c r="A146">
        <v>144</v>
      </c>
      <c r="B146" s="5">
        <v>98.39</v>
      </c>
      <c r="C146" s="5">
        <f>IF($A146=1,$C$2-(ROUNDDOWN(1000/$B146,0)*$B146),IF(A146=2,C145,IF(A146&gt;3,IF(AND(B145&lt;B144,B144&lt;B143),IF(C145&gt;=1000,C145-(ROUNDDOWN(1000/$B146,0)*$B146),C145),IF($B145=MAX($B$3:$B145),C145+(D145*B146),C145)),IF($B145=MAX($B$3:$B145),C145+(D145*B146),C145))))</f>
        <v>5834.75</v>
      </c>
      <c r="D146">
        <f>IF($A146=1,D145+ROUNDDOWN(1000/$B146,0),IF(A146=2,D145,IF(A146&gt;3,IF(AND(B145&lt;B144,B144&lt;B143),IF(C145&gt;=1000,D145+ROUNDDOWN(1000/$B146,0),D145),IF($B145=MAX($B$3:$B145),0,D145)),IF($B145=MAX($B$3:$B145),0,D145))))</f>
        <v>0</v>
      </c>
      <c r="E146">
        <f t="shared" si="2"/>
        <v>0</v>
      </c>
    </row>
    <row r="147" spans="1:5" x14ac:dyDescent="0.25">
      <c r="A147">
        <v>145</v>
      </c>
      <c r="B147" s="5">
        <v>96.49</v>
      </c>
      <c r="C147" s="5">
        <f>IF($A147=1,$C$2-(ROUNDDOWN(1000/$B147,0)*$B147),IF(A147=2,C146,IF(A147&gt;3,IF(AND(B146&lt;B145,B145&lt;B144),IF(C146&gt;=1000,C146-(ROUNDDOWN(1000/$B147,0)*$B147),C146),IF($B146=MAX($B$3:$B146),C146+(D146*B147),C146)),IF($B146=MAX($B$3:$B146),C146+(D146*B147),C146))))</f>
        <v>4869.8500000000004</v>
      </c>
      <c r="D147">
        <f>IF($A147=1,D146+ROUNDDOWN(1000/$B147,0),IF(A147=2,D146,IF(A147&gt;3,IF(AND(B146&lt;B145,B145&lt;B144),IF(C146&gt;=1000,D146+ROUNDDOWN(1000/$B147,0),D146),IF($B146=MAX($B$3:$B146),0,D146)),IF($B146=MAX($B$3:$B146),0,D146))))</f>
        <v>10</v>
      </c>
      <c r="E147">
        <f t="shared" si="2"/>
        <v>1</v>
      </c>
    </row>
    <row r="148" spans="1:5" x14ac:dyDescent="0.25">
      <c r="A148">
        <v>146</v>
      </c>
      <c r="B148" s="5">
        <v>97.95</v>
      </c>
      <c r="C148" s="5">
        <f>IF($A148=1,$C$2-(ROUNDDOWN(1000/$B148,0)*$B148),IF(A148=2,C147,IF(A148&gt;3,IF(AND(B147&lt;B146,B146&lt;B145),IF(C147&gt;=1000,C147-(ROUNDDOWN(1000/$B148,0)*$B148),C147),IF($B147=MAX($B$3:$B147),C147+(D147*B148),C147)),IF($B147=MAX($B$3:$B147),C147+(D147*B148),C147))))</f>
        <v>3890.3500000000004</v>
      </c>
      <c r="D148">
        <f>IF($A148=1,D147+ROUNDDOWN(1000/$B148,0),IF(A148=2,D147,IF(A148&gt;3,IF(AND(B147&lt;B146,B146&lt;B145),IF(C147&gt;=1000,D147+ROUNDDOWN(1000/$B148,0),D147),IF($B147=MAX($B$3:$B147),0,D147)),IF($B147=MAX($B$3:$B147),0,D147))))</f>
        <v>20</v>
      </c>
      <c r="E148">
        <f t="shared" si="2"/>
        <v>1</v>
      </c>
    </row>
    <row r="149" spans="1:5" x14ac:dyDescent="0.25">
      <c r="A149">
        <v>147</v>
      </c>
      <c r="B149" s="5">
        <v>96.33</v>
      </c>
      <c r="C149" s="5">
        <f>IF($A149=1,$C$2-(ROUNDDOWN(1000/$B149,0)*$B149),IF(A149=2,C148,IF(A149&gt;3,IF(AND(B148&lt;B147,B147&lt;B146),IF(C148&gt;=1000,C148-(ROUNDDOWN(1000/$B149,0)*$B149),C148),IF($B148=MAX($B$3:$B148),C148+(D148*B149),C148)),IF($B148=MAX($B$3:$B148),C148+(D148*B149),C148))))</f>
        <v>3890.3500000000004</v>
      </c>
      <c r="D149">
        <f>IF($A149=1,D148+ROUNDDOWN(1000/$B149,0),IF(A149=2,D148,IF(A149&gt;3,IF(AND(B148&lt;B147,B147&lt;B146),IF(C148&gt;=1000,D148+ROUNDDOWN(1000/$B149,0),D148),IF($B148=MAX($B$3:$B148),0,D148)),IF($B148=MAX($B$3:$B148),0,D148))))</f>
        <v>20</v>
      </c>
      <c r="E149">
        <f t="shared" si="2"/>
        <v>0</v>
      </c>
    </row>
    <row r="150" spans="1:5" x14ac:dyDescent="0.25">
      <c r="A150">
        <v>148</v>
      </c>
      <c r="B150" s="5">
        <v>94.86</v>
      </c>
      <c r="C150" s="5">
        <f>IF($A150=1,$C$2-(ROUNDDOWN(1000/$B150,0)*$B150),IF(A150=2,C149,IF(A150&gt;3,IF(AND(B149&lt;B148,B148&lt;B147),IF(C149&gt;=1000,C149-(ROUNDDOWN(1000/$B150,0)*$B150),C149),IF($B149=MAX($B$3:$B149),C149+(D149*B150),C149)),IF($B149=MAX($B$3:$B149),C149+(D149*B150),C149))))</f>
        <v>3890.3500000000004</v>
      </c>
      <c r="D150">
        <f>IF($A150=1,D149+ROUNDDOWN(1000/$B150,0),IF(A150=2,D149,IF(A150&gt;3,IF(AND(B149&lt;B148,B148&lt;B147),IF(C149&gt;=1000,D149+ROUNDDOWN(1000/$B150,0),D149),IF($B149=MAX($B$3:$B149),0,D149)),IF($B149=MAX($B$3:$B149),0,D149))))</f>
        <v>20</v>
      </c>
      <c r="E150">
        <f t="shared" si="2"/>
        <v>0</v>
      </c>
    </row>
    <row r="151" spans="1:5" x14ac:dyDescent="0.25">
      <c r="A151">
        <v>149</v>
      </c>
      <c r="B151" s="5">
        <v>96.17</v>
      </c>
      <c r="C151" s="5">
        <f>IF($A151=1,$C$2-(ROUNDDOWN(1000/$B151,0)*$B151),IF(A151=2,C150,IF(A151&gt;3,IF(AND(B150&lt;B149,B149&lt;B148),IF(C150&gt;=1000,C150-(ROUNDDOWN(1000/$B151,0)*$B151),C150),IF($B150=MAX($B$3:$B150),C150+(D150*B151),C150)),IF($B150=MAX($B$3:$B150),C150+(D150*B151),C150))))</f>
        <v>2928.6500000000005</v>
      </c>
      <c r="D151">
        <f>IF($A151=1,D150+ROUNDDOWN(1000/$B151,0),IF(A151=2,D150,IF(A151&gt;3,IF(AND(B150&lt;B149,B149&lt;B148),IF(C150&gt;=1000,D150+ROUNDDOWN(1000/$B151,0),D150),IF($B150=MAX($B$3:$B150),0,D150)),IF($B150=MAX($B$3:$B150),0,D150))))</f>
        <v>30</v>
      </c>
      <c r="E151">
        <f t="shared" si="2"/>
        <v>1</v>
      </c>
    </row>
    <row r="152" spans="1:5" x14ac:dyDescent="0.25">
      <c r="A152">
        <v>150</v>
      </c>
      <c r="B152" s="5">
        <v>97.44</v>
      </c>
      <c r="C152" s="5">
        <f>IF($A152=1,$C$2-(ROUNDDOWN(1000/$B152,0)*$B152),IF(A152=2,C151,IF(A152&gt;3,IF(AND(B151&lt;B150,B150&lt;B149),IF(C151&gt;=1000,C151-(ROUNDDOWN(1000/$B152,0)*$B152),C151),IF($B151=MAX($B$3:$B151),C151+(D151*B152),C151)),IF($B151=MAX($B$3:$B151),C151+(D151*B152),C151))))</f>
        <v>2928.6500000000005</v>
      </c>
      <c r="D152">
        <f>IF($A152=1,D151+ROUNDDOWN(1000/$B152,0),IF(A152=2,D151,IF(A152&gt;3,IF(AND(B151&lt;B150,B150&lt;B149),IF(C151&gt;=1000,D151+ROUNDDOWN(1000/$B152,0),D151),IF($B151=MAX($B$3:$B151),0,D151)),IF($B151=MAX($B$3:$B151),0,D151))))</f>
        <v>30</v>
      </c>
      <c r="E152">
        <f t="shared" si="2"/>
        <v>0</v>
      </c>
    </row>
    <row r="153" spans="1:5" x14ac:dyDescent="0.25">
      <c r="A153">
        <v>151</v>
      </c>
      <c r="B153" s="5">
        <v>98.68</v>
      </c>
      <c r="C153" s="5">
        <f>IF($A153=1,$C$2-(ROUNDDOWN(1000/$B153,0)*$B153),IF(A153=2,C152,IF(A153&gt;3,IF(AND(B152&lt;B151,B151&lt;B150),IF(C152&gt;=1000,C152-(ROUNDDOWN(1000/$B153,0)*$B153),C152),IF($B152=MAX($B$3:$B152),C152+(D152*B153),C152)),IF($B152=MAX($B$3:$B152),C152+(D152*B153),C152))))</f>
        <v>2928.6500000000005</v>
      </c>
      <c r="D153">
        <f>IF($A153=1,D152+ROUNDDOWN(1000/$B153,0),IF(A153=2,D152,IF(A153&gt;3,IF(AND(B152&lt;B151,B151&lt;B150),IF(C152&gt;=1000,D152+ROUNDDOWN(1000/$B153,0),D152),IF($B152=MAX($B$3:$B152),0,D152)),IF($B152=MAX($B$3:$B152),0,D152))))</f>
        <v>30</v>
      </c>
      <c r="E153">
        <f t="shared" si="2"/>
        <v>0</v>
      </c>
    </row>
    <row r="154" spans="1:5" x14ac:dyDescent="0.25">
      <c r="A154">
        <v>152</v>
      </c>
      <c r="B154" s="5">
        <v>99.99</v>
      </c>
      <c r="C154" s="5">
        <f>IF($A154=1,$C$2-(ROUNDDOWN(1000/$B154,0)*$B154),IF(A154=2,C153,IF(A154&gt;3,IF(AND(B153&lt;B152,B152&lt;B151),IF(C153&gt;=1000,C153-(ROUNDDOWN(1000/$B154,0)*$B154),C153),IF($B153=MAX($B$3:$B153),C153+(D153*B154),C153)),IF($B153=MAX($B$3:$B153),C153+(D153*B154),C153))))</f>
        <v>2928.6500000000005</v>
      </c>
      <c r="D154">
        <f>IF($A154=1,D153+ROUNDDOWN(1000/$B154,0),IF(A154=2,D153,IF(A154&gt;3,IF(AND(B153&lt;B152,B152&lt;B151),IF(C153&gt;=1000,D153+ROUNDDOWN(1000/$B154,0),D153),IF($B153=MAX($B$3:$B153),0,D153)),IF($B153=MAX($B$3:$B153),0,D153))))</f>
        <v>30</v>
      </c>
      <c r="E154">
        <f t="shared" si="2"/>
        <v>0</v>
      </c>
    </row>
    <row r="155" spans="1:5" x14ac:dyDescent="0.25">
      <c r="A155">
        <v>153</v>
      </c>
      <c r="B155" s="5">
        <v>100.81</v>
      </c>
      <c r="C155" s="5">
        <f>IF($A155=1,$C$2-(ROUNDDOWN(1000/$B155,0)*$B155),IF(A155=2,C154,IF(A155&gt;3,IF(AND(B154&lt;B153,B153&lt;B152),IF(C154&gt;=1000,C154-(ROUNDDOWN(1000/$B155,0)*$B155),C154),IF($B154=MAX($B$3:$B154),C154+(D154*B155),C154)),IF($B154=MAX($B$3:$B154),C154+(D154*B155),C154))))</f>
        <v>2928.6500000000005</v>
      </c>
      <c r="D155">
        <f>IF($A155=1,D154+ROUNDDOWN(1000/$B155,0),IF(A155=2,D154,IF(A155&gt;3,IF(AND(B154&lt;B153,B153&lt;B152),IF(C154&gt;=1000,D154+ROUNDDOWN(1000/$B155,0),D154),IF($B154=MAX($B$3:$B154),0,D154)),IF($B154=MAX($B$3:$B154),0,D154))))</f>
        <v>30</v>
      </c>
      <c r="E155">
        <f t="shared" si="2"/>
        <v>0</v>
      </c>
    </row>
    <row r="156" spans="1:5" x14ac:dyDescent="0.25">
      <c r="A156">
        <v>154</v>
      </c>
      <c r="B156" s="5">
        <v>100.92</v>
      </c>
      <c r="C156" s="5">
        <f>IF($A156=1,$C$2-(ROUNDDOWN(1000/$B156,0)*$B156),IF(A156=2,C155,IF(A156&gt;3,IF(AND(B155&lt;B154,B154&lt;B153),IF(C155&gt;=1000,C155-(ROUNDDOWN(1000/$B156,0)*$B156),C155),IF($B155=MAX($B$3:$B155),C155+(D155*B156),C155)),IF($B155=MAX($B$3:$B155),C155+(D155*B156),C155))))</f>
        <v>2928.6500000000005</v>
      </c>
      <c r="D156">
        <f>IF($A156=1,D155+ROUNDDOWN(1000/$B156,0),IF(A156=2,D155,IF(A156&gt;3,IF(AND(B155&lt;B154,B154&lt;B153),IF(C155&gt;=1000,D155+ROUNDDOWN(1000/$B156,0),D155),IF($B155=MAX($B$3:$B155),0,D155)),IF($B155=MAX($B$3:$B155),0,D155))))</f>
        <v>30</v>
      </c>
      <c r="E156">
        <f t="shared" si="2"/>
        <v>0</v>
      </c>
    </row>
    <row r="157" spans="1:5" x14ac:dyDescent="0.25">
      <c r="A157">
        <v>155</v>
      </c>
      <c r="B157" s="5">
        <v>102.29</v>
      </c>
      <c r="C157" s="5">
        <f>IF($A157=1,$C$2-(ROUNDDOWN(1000/$B157,0)*$B157),IF(A157=2,C156,IF(A157&gt;3,IF(AND(B156&lt;B155,B155&lt;B154),IF(C156&gt;=1000,C156-(ROUNDDOWN(1000/$B157,0)*$B157),C156),IF($B156=MAX($B$3:$B156),C156+(D156*B157),C156)),IF($B156=MAX($B$3:$B156),C156+(D156*B157),C156))))</f>
        <v>2928.6500000000005</v>
      </c>
      <c r="D157">
        <f>IF($A157=1,D156+ROUNDDOWN(1000/$B157,0),IF(A157=2,D156,IF(A157&gt;3,IF(AND(B156&lt;B155,B155&lt;B154),IF(C156&gt;=1000,D156+ROUNDDOWN(1000/$B157,0),D156),IF($B156=MAX($B$3:$B156),0,D156)),IF($B156=MAX($B$3:$B156),0,D156))))</f>
        <v>30</v>
      </c>
      <c r="E157">
        <f t="shared" si="2"/>
        <v>0</v>
      </c>
    </row>
    <row r="158" spans="1:5" x14ac:dyDescent="0.25">
      <c r="A158">
        <v>156</v>
      </c>
      <c r="B158" s="5">
        <v>100.76</v>
      </c>
      <c r="C158" s="5">
        <f>IF($A158=1,$C$2-(ROUNDDOWN(1000/$B158,0)*$B158),IF(A158=2,C157,IF(A158&gt;3,IF(AND(B157&lt;B156,B156&lt;B155),IF(C157&gt;=1000,C157-(ROUNDDOWN(1000/$B158,0)*$B158),C157),IF($B157=MAX($B$3:$B157),C157+(D157*B158),C157)),IF($B157=MAX($B$3:$B157),C157+(D157*B158),C157))))</f>
        <v>5951.4500000000007</v>
      </c>
      <c r="D158">
        <f>IF($A158=1,D157+ROUNDDOWN(1000/$B158,0),IF(A158=2,D157,IF(A158&gt;3,IF(AND(B157&lt;B156,B156&lt;B155),IF(C157&gt;=1000,D157+ROUNDDOWN(1000/$B158,0),D157),IF($B157=MAX($B$3:$B157),0,D157)),IF($B157=MAX($B$3:$B157),0,D157))))</f>
        <v>0</v>
      </c>
      <c r="E158">
        <f t="shared" si="2"/>
        <v>0</v>
      </c>
    </row>
    <row r="159" spans="1:5" x14ac:dyDescent="0.25">
      <c r="A159">
        <v>157</v>
      </c>
      <c r="B159" s="5">
        <v>102.48</v>
      </c>
      <c r="C159" s="5">
        <f>IF($A159=1,$C$2-(ROUNDDOWN(1000/$B159,0)*$B159),IF(A159=2,C158,IF(A159&gt;3,IF(AND(B158&lt;B157,B157&lt;B156),IF(C158&gt;=1000,C158-(ROUNDDOWN(1000/$B159,0)*$B159),C158),IF($B158=MAX($B$3:$B158),C158+(D158*B159),C158)),IF($B158=MAX($B$3:$B158),C158+(D158*B159),C158))))</f>
        <v>5951.4500000000007</v>
      </c>
      <c r="D159">
        <f>IF($A159=1,D158+ROUNDDOWN(1000/$B159,0),IF(A159=2,D158,IF(A159&gt;3,IF(AND(B158&lt;B157,B157&lt;B156),IF(C158&gt;=1000,D158+ROUNDDOWN(1000/$B159,0),D158),IF($B158=MAX($B$3:$B158),0,D158)),IF($B158=MAX($B$3:$B158),0,D158))))</f>
        <v>0</v>
      </c>
      <c r="E159">
        <f t="shared" si="2"/>
        <v>0</v>
      </c>
    </row>
    <row r="160" spans="1:5" x14ac:dyDescent="0.25">
      <c r="A160">
        <v>158</v>
      </c>
      <c r="B160" s="5">
        <v>102.72</v>
      </c>
      <c r="C160" s="5">
        <f>IF($A160=1,$C$2-(ROUNDDOWN(1000/$B160,0)*$B160),IF(A160=2,C159,IF(A160&gt;3,IF(AND(B159&lt;B158,B158&lt;B157),IF(C159&gt;=1000,C159-(ROUNDDOWN(1000/$B160,0)*$B160),C159),IF($B159=MAX($B$3:$B159),C159+(D159*B160),C159)),IF($B159=MAX($B$3:$B159),C159+(D159*B160),C159))))</f>
        <v>5951.4500000000007</v>
      </c>
      <c r="D160">
        <f>IF($A160=1,D159+ROUNDDOWN(1000/$B160,0),IF(A160=2,D159,IF(A160&gt;3,IF(AND(B159&lt;B158,B158&lt;B157),IF(C159&gt;=1000,D159+ROUNDDOWN(1000/$B160,0),D159),IF($B159=MAX($B$3:$B159),0,D159)),IF($B159=MAX($B$3:$B159),0,D159))))</f>
        <v>0</v>
      </c>
      <c r="E160">
        <f t="shared" si="2"/>
        <v>0</v>
      </c>
    </row>
    <row r="161" spans="1:5" x14ac:dyDescent="0.25">
      <c r="A161">
        <v>159</v>
      </c>
      <c r="B161" s="5">
        <v>104.6</v>
      </c>
      <c r="C161" s="5">
        <f>IF($A161=1,$C$2-(ROUNDDOWN(1000/$B161,0)*$B161),IF(A161=2,C160,IF(A161&gt;3,IF(AND(B160&lt;B159,B159&lt;B158),IF(C160&gt;=1000,C160-(ROUNDDOWN(1000/$B161,0)*$B161),C160),IF($B160=MAX($B$3:$B160),C160+(D160*B161),C160)),IF($B160=MAX($B$3:$B160),C160+(D160*B161),C160))))</f>
        <v>5951.4500000000007</v>
      </c>
      <c r="D161">
        <f>IF($A161=1,D160+ROUNDDOWN(1000/$B161,0),IF(A161=2,D160,IF(A161&gt;3,IF(AND(B160&lt;B159,B159&lt;B158),IF(C160&gt;=1000,D160+ROUNDDOWN(1000/$B161,0),D160),IF($B160=MAX($B$3:$B160),0,D160)),IF($B160=MAX($B$3:$B160),0,D160))))</f>
        <v>0</v>
      </c>
      <c r="E161">
        <f t="shared" si="2"/>
        <v>0</v>
      </c>
    </row>
    <row r="162" spans="1:5" x14ac:dyDescent="0.25">
      <c r="A162">
        <v>160</v>
      </c>
      <c r="B162" s="5">
        <v>106.69</v>
      </c>
      <c r="C162" s="5">
        <f>IF($A162=1,$C$2-(ROUNDDOWN(1000/$B162,0)*$B162),IF(A162=2,C161,IF(A162&gt;3,IF(AND(B161&lt;B160,B160&lt;B159),IF(C161&gt;=1000,C161-(ROUNDDOWN(1000/$B162,0)*$B162),C161),IF($B161=MAX($B$3:$B161),C161+(D161*B162),C161)),IF($B161=MAX($B$3:$B161),C161+(D161*B162),C161))))</f>
        <v>5951.4500000000007</v>
      </c>
      <c r="D162">
        <f>IF($A162=1,D161+ROUNDDOWN(1000/$B162,0),IF(A162=2,D161,IF(A162&gt;3,IF(AND(B161&lt;B160,B160&lt;B159),IF(C161&gt;=1000,D161+ROUNDDOWN(1000/$B162,0),D161),IF($B161=MAX($B$3:$B161),0,D161)),IF($B161=MAX($B$3:$B161),0,D161))))</f>
        <v>0</v>
      </c>
      <c r="E162">
        <f t="shared" si="2"/>
        <v>0</v>
      </c>
    </row>
    <row r="163" spans="1:5" x14ac:dyDescent="0.25">
      <c r="A163">
        <v>161</v>
      </c>
      <c r="B163" s="5">
        <v>106.85</v>
      </c>
      <c r="C163" s="5">
        <f>IF($A163=1,$C$2-(ROUNDDOWN(1000/$B163,0)*$B163),IF(A163=2,C162,IF(A163&gt;3,IF(AND(B162&lt;B161,B161&lt;B160),IF(C162&gt;=1000,C162-(ROUNDDOWN(1000/$B163,0)*$B163),C162),IF($B162=MAX($B$3:$B162),C162+(D162*B163),C162)),IF($B162=MAX($B$3:$B162),C162+(D162*B163),C162))))</f>
        <v>5951.4500000000007</v>
      </c>
      <c r="D163">
        <f>IF($A163=1,D162+ROUNDDOWN(1000/$B163,0),IF(A163=2,D162,IF(A163&gt;3,IF(AND(B162&lt;B161,B161&lt;B160),IF(C162&gt;=1000,D162+ROUNDDOWN(1000/$B163,0),D162),IF($B162=MAX($B$3:$B162),0,D162)),IF($B162=MAX($B$3:$B162),0,D162))))</f>
        <v>0</v>
      </c>
      <c r="E163">
        <f t="shared" si="2"/>
        <v>0</v>
      </c>
    </row>
    <row r="164" spans="1:5" x14ac:dyDescent="0.25">
      <c r="A164">
        <v>162</v>
      </c>
      <c r="B164" s="5">
        <v>107.25</v>
      </c>
      <c r="C164" s="5">
        <f>IF($A164=1,$C$2-(ROUNDDOWN(1000/$B164,0)*$B164),IF(A164=2,C163,IF(A164&gt;3,IF(AND(B163&lt;B162,B162&lt;B161),IF(C163&gt;=1000,C163-(ROUNDDOWN(1000/$B164,0)*$B164),C163),IF($B163=MAX($B$3:$B163),C163+(D163*B164),C163)),IF($B163=MAX($B$3:$B163),C163+(D163*B164),C163))))</f>
        <v>5951.4500000000007</v>
      </c>
      <c r="D164">
        <f>IF($A164=1,D163+ROUNDDOWN(1000/$B164,0),IF(A164=2,D163,IF(A164&gt;3,IF(AND(B163&lt;B162,B162&lt;B161),IF(C163&gt;=1000,D163+ROUNDDOWN(1000/$B164,0),D163),IF($B163=MAX($B$3:$B163),0,D163)),IF($B163=MAX($B$3:$B163),0,D163))))</f>
        <v>0</v>
      </c>
      <c r="E164">
        <f t="shared" si="2"/>
        <v>0</v>
      </c>
    </row>
    <row r="165" spans="1:5" x14ac:dyDescent="0.25">
      <c r="A165">
        <v>163</v>
      </c>
      <c r="B165" s="5">
        <v>108.44</v>
      </c>
      <c r="C165" s="5">
        <f>IF($A165=1,$C$2-(ROUNDDOWN(1000/$B165,0)*$B165),IF(A165=2,C164,IF(A165&gt;3,IF(AND(B164&lt;B163,B163&lt;B162),IF(C164&gt;=1000,C164-(ROUNDDOWN(1000/$B165,0)*$B165),C164),IF($B164=MAX($B$3:$B164),C164+(D164*B165),C164)),IF($B164=MAX($B$3:$B164),C164+(D164*B165),C164))))</f>
        <v>5951.4500000000007</v>
      </c>
      <c r="D165">
        <f>IF($A165=1,D164+ROUNDDOWN(1000/$B165,0),IF(A165=2,D164,IF(A165&gt;3,IF(AND(B164&lt;B163,B163&lt;B162),IF(C164&gt;=1000,D164+ROUNDDOWN(1000/$B165,0),D164),IF($B164=MAX($B$3:$B164),0,D164)),IF($B164=MAX($B$3:$B164),0,D164))))</f>
        <v>0</v>
      </c>
      <c r="E165">
        <f t="shared" si="2"/>
        <v>0</v>
      </c>
    </row>
    <row r="166" spans="1:5" x14ac:dyDescent="0.25">
      <c r="A166">
        <v>164</v>
      </c>
      <c r="B166" s="5">
        <v>110.27</v>
      </c>
      <c r="C166" s="5">
        <f>IF($A166=1,$C$2-(ROUNDDOWN(1000/$B166,0)*$B166),IF(A166=2,C165,IF(A166&gt;3,IF(AND(B165&lt;B164,B164&lt;B163),IF(C165&gt;=1000,C165-(ROUNDDOWN(1000/$B166,0)*$B166),C165),IF($B165=MAX($B$3:$B165),C165+(D165*B166),C165)),IF($B165=MAX($B$3:$B165),C165+(D165*B166),C165))))</f>
        <v>5951.4500000000007</v>
      </c>
      <c r="D166">
        <f>IF($A166=1,D165+ROUNDDOWN(1000/$B166,0),IF(A166=2,D165,IF(A166&gt;3,IF(AND(B165&lt;B164,B164&lt;B163),IF(C165&gt;=1000,D165+ROUNDDOWN(1000/$B166,0),D165),IF($B165=MAX($B$3:$B165),0,D165)),IF($B165=MAX($B$3:$B165),0,D165))))</f>
        <v>0</v>
      </c>
      <c r="E166">
        <f t="shared" si="2"/>
        <v>0</v>
      </c>
    </row>
    <row r="167" spans="1:5" x14ac:dyDescent="0.25">
      <c r="A167">
        <v>165</v>
      </c>
      <c r="B167" s="5">
        <v>110.94</v>
      </c>
      <c r="C167" s="5">
        <f>IF($A167=1,$C$2-(ROUNDDOWN(1000/$B167,0)*$B167),IF(A167=2,C166,IF(A167&gt;3,IF(AND(B166&lt;B165,B165&lt;B164),IF(C166&gt;=1000,C166-(ROUNDDOWN(1000/$B167,0)*$B167),C166),IF($B166=MAX($B$3:$B166),C166+(D166*B167),C166)),IF($B166=MAX($B$3:$B166),C166+(D166*B167),C166))))</f>
        <v>5951.4500000000007</v>
      </c>
      <c r="D167">
        <f>IF($A167=1,D166+ROUNDDOWN(1000/$B167,0),IF(A167=2,D166,IF(A167&gt;3,IF(AND(B166&lt;B165,B165&lt;B164),IF(C166&gt;=1000,D166+ROUNDDOWN(1000/$B167,0),D166),IF($B166=MAX($B$3:$B166),0,D166)),IF($B166=MAX($B$3:$B166),0,D166))))</f>
        <v>0</v>
      </c>
      <c r="E167">
        <f t="shared" si="2"/>
        <v>0</v>
      </c>
    </row>
    <row r="168" spans="1:5" x14ac:dyDescent="0.25">
      <c r="A168">
        <v>166</v>
      </c>
      <c r="B168" s="5">
        <v>109.26</v>
      </c>
      <c r="C168" s="5">
        <f>IF($A168=1,$C$2-(ROUNDDOWN(1000/$B168,0)*$B168),IF(A168=2,C167,IF(A168&gt;3,IF(AND(B167&lt;B166,B166&lt;B165),IF(C167&gt;=1000,C167-(ROUNDDOWN(1000/$B168,0)*$B168),C167),IF($B167=MAX($B$3:$B167),C167+(D167*B168),C167)),IF($B167=MAX($B$3:$B167),C167+(D167*B168),C167))))</f>
        <v>5951.4500000000007</v>
      </c>
      <c r="D168">
        <f>IF($A168=1,D167+ROUNDDOWN(1000/$B168,0),IF(A168=2,D167,IF(A168&gt;3,IF(AND(B167&lt;B166,B166&lt;B165),IF(C167&gt;=1000,D167+ROUNDDOWN(1000/$B168,0),D167),IF($B167=MAX($B$3:$B167),0,D167)),IF($B167=MAX($B$3:$B167),0,D167))))</f>
        <v>0</v>
      </c>
      <c r="E168">
        <f t="shared" si="2"/>
        <v>0</v>
      </c>
    </row>
    <row r="169" spans="1:5" x14ac:dyDescent="0.25">
      <c r="A169">
        <v>167</v>
      </c>
      <c r="B169" s="5">
        <v>110.98</v>
      </c>
      <c r="C169" s="5">
        <f>IF($A169=1,$C$2-(ROUNDDOWN(1000/$B169,0)*$B169),IF(A169=2,C168,IF(A169&gt;3,IF(AND(B168&lt;B167,B167&lt;B166),IF(C168&gt;=1000,C168-(ROUNDDOWN(1000/$B169,0)*$B169),C168),IF($B168=MAX($B$3:$B168),C168+(D168*B169),C168)),IF($B168=MAX($B$3:$B168),C168+(D168*B169),C168))))</f>
        <v>5951.4500000000007</v>
      </c>
      <c r="D169">
        <f>IF($A169=1,D168+ROUNDDOWN(1000/$B169,0),IF(A169=2,D168,IF(A169&gt;3,IF(AND(B168&lt;B167,B167&lt;B166),IF(C168&gt;=1000,D168+ROUNDDOWN(1000/$B169,0),D168),IF($B168=MAX($B$3:$B168),0,D168)),IF($B168=MAX($B$3:$B168),0,D168))))</f>
        <v>0</v>
      </c>
      <c r="E169">
        <f t="shared" si="2"/>
        <v>0</v>
      </c>
    </row>
    <row r="170" spans="1:5" x14ac:dyDescent="0.25">
      <c r="A170">
        <v>168</v>
      </c>
      <c r="B170" s="5">
        <v>111.8</v>
      </c>
      <c r="C170" s="5">
        <f>IF($A170=1,$C$2-(ROUNDDOWN(1000/$B170,0)*$B170),IF(A170=2,C169,IF(A170&gt;3,IF(AND(B169&lt;B168,B168&lt;B167),IF(C169&gt;=1000,C169-(ROUNDDOWN(1000/$B170,0)*$B170),C169),IF($B169=MAX($B$3:$B169),C169+(D169*B170),C169)),IF($B169=MAX($B$3:$B169),C169+(D169*B170),C169))))</f>
        <v>5951.4500000000007</v>
      </c>
      <c r="D170">
        <f>IF($A170=1,D169+ROUNDDOWN(1000/$B170,0),IF(A170=2,D169,IF(A170&gt;3,IF(AND(B169&lt;B168,B168&lt;B167),IF(C169&gt;=1000,D169+ROUNDDOWN(1000/$B170,0),D169),IF($B169=MAX($B$3:$B169),0,D169)),IF($B169=MAX($B$3:$B169),0,D169))))</f>
        <v>0</v>
      </c>
      <c r="E170">
        <f t="shared" si="2"/>
        <v>0</v>
      </c>
    </row>
    <row r="171" spans="1:5" x14ac:dyDescent="0.25">
      <c r="A171">
        <v>169</v>
      </c>
      <c r="B171" s="5">
        <v>110.07</v>
      </c>
      <c r="C171" s="5">
        <f>IF($A171=1,$C$2-(ROUNDDOWN(1000/$B171,0)*$B171),IF(A171=2,C170,IF(A171&gt;3,IF(AND(B170&lt;B169,B169&lt;B168),IF(C170&gt;=1000,C170-(ROUNDDOWN(1000/$B171,0)*$B171),C170),IF($B170=MAX($B$3:$B170),C170+(D170*B171),C170)),IF($B170=MAX($B$3:$B170),C170+(D170*B171),C170))))</f>
        <v>5951.4500000000007</v>
      </c>
      <c r="D171">
        <f>IF($A171=1,D170+ROUNDDOWN(1000/$B171,0),IF(A171=2,D170,IF(A171&gt;3,IF(AND(B170&lt;B169,B169&lt;B168),IF(C170&gt;=1000,D170+ROUNDDOWN(1000/$B171,0),D170),IF($B170=MAX($B$3:$B170),0,D170)),IF($B170=MAX($B$3:$B170),0,D170))))</f>
        <v>0</v>
      </c>
      <c r="E171">
        <f t="shared" si="2"/>
        <v>0</v>
      </c>
    </row>
    <row r="172" spans="1:5" x14ac:dyDescent="0.25">
      <c r="A172">
        <v>170</v>
      </c>
      <c r="B172" s="5">
        <v>110.79</v>
      </c>
      <c r="C172" s="5">
        <f>IF($A172=1,$C$2-(ROUNDDOWN(1000/$B172,0)*$B172),IF(A172=2,C171,IF(A172&gt;3,IF(AND(B171&lt;B170,B170&lt;B169),IF(C171&gt;=1000,C171-(ROUNDDOWN(1000/$B172,0)*$B172),C171),IF($B171=MAX($B$3:$B171),C171+(D171*B172),C171)),IF($B171=MAX($B$3:$B171),C171+(D171*B172),C171))))</f>
        <v>5951.4500000000007</v>
      </c>
      <c r="D172">
        <f>IF($A172=1,D171+ROUNDDOWN(1000/$B172,0),IF(A172=2,D171,IF(A172&gt;3,IF(AND(B171&lt;B170,B170&lt;B169),IF(C171&gt;=1000,D171+ROUNDDOWN(1000/$B172,0),D171),IF($B171=MAX($B$3:$B171),0,D171)),IF($B171=MAX($B$3:$B171),0,D171))))</f>
        <v>0</v>
      </c>
      <c r="E172">
        <f t="shared" si="2"/>
        <v>0</v>
      </c>
    </row>
    <row r="173" spans="1:5" x14ac:dyDescent="0.25">
      <c r="A173">
        <v>171</v>
      </c>
      <c r="B173" s="5">
        <v>109.17</v>
      </c>
      <c r="C173" s="5">
        <f>IF($A173=1,$C$2-(ROUNDDOWN(1000/$B173,0)*$B173),IF(A173=2,C172,IF(A173&gt;3,IF(AND(B172&lt;B171,B171&lt;B170),IF(C172&gt;=1000,C172-(ROUNDDOWN(1000/$B173,0)*$B173),C172),IF($B172=MAX($B$3:$B172),C172+(D172*B173),C172)),IF($B172=MAX($B$3:$B172),C172+(D172*B173),C172))))</f>
        <v>5951.4500000000007</v>
      </c>
      <c r="D173">
        <f>IF($A173=1,D172+ROUNDDOWN(1000/$B173,0),IF(A173=2,D172,IF(A173&gt;3,IF(AND(B172&lt;B171,B171&lt;B170),IF(C172&gt;=1000,D172+ROUNDDOWN(1000/$B173,0),D172),IF($B172=MAX($B$3:$B172),0,D172)),IF($B172=MAX($B$3:$B172),0,D172))))</f>
        <v>0</v>
      </c>
      <c r="E173">
        <f t="shared" si="2"/>
        <v>0</v>
      </c>
    </row>
    <row r="174" spans="1:5" x14ac:dyDescent="0.25">
      <c r="A174">
        <v>172</v>
      </c>
      <c r="B174" s="5">
        <v>107.31</v>
      </c>
      <c r="C174" s="5">
        <f>IF($A174=1,$C$2-(ROUNDDOWN(1000/$B174,0)*$B174),IF(A174=2,C173,IF(A174&gt;3,IF(AND(B173&lt;B172,B172&lt;B171),IF(C173&gt;=1000,C173-(ROUNDDOWN(1000/$B174,0)*$B174),C173),IF($B173=MAX($B$3:$B173),C173+(D173*B174),C173)),IF($B173=MAX($B$3:$B173),C173+(D173*B174),C173))))</f>
        <v>5951.4500000000007</v>
      </c>
      <c r="D174">
        <f>IF($A174=1,D173+ROUNDDOWN(1000/$B174,0),IF(A174=2,D173,IF(A174&gt;3,IF(AND(B173&lt;B172,B172&lt;B171),IF(C173&gt;=1000,D173+ROUNDDOWN(1000/$B174,0),D173),IF($B173=MAX($B$3:$B173),0,D173)),IF($B173=MAX($B$3:$B173),0,D173))))</f>
        <v>0</v>
      </c>
      <c r="E174">
        <f t="shared" si="2"/>
        <v>0</v>
      </c>
    </row>
    <row r="175" spans="1:5" x14ac:dyDescent="0.25">
      <c r="A175">
        <v>173</v>
      </c>
      <c r="B175" s="5">
        <v>107.72</v>
      </c>
      <c r="C175" s="5">
        <f>IF($A175=1,$C$2-(ROUNDDOWN(1000/$B175,0)*$B175),IF(A175=2,C174,IF(A175&gt;3,IF(AND(B174&lt;B173,B173&lt;B172),IF(C174&gt;=1000,C174-(ROUNDDOWN(1000/$B175,0)*$B175),C174),IF($B174=MAX($B$3:$B174),C174+(D174*B175),C174)),IF($B174=MAX($B$3:$B174),C174+(D174*B175),C174))))</f>
        <v>4981.9700000000012</v>
      </c>
      <c r="D175">
        <f>IF($A175=1,D174+ROUNDDOWN(1000/$B175,0),IF(A175=2,D174,IF(A175&gt;3,IF(AND(B174&lt;B173,B173&lt;B172),IF(C174&gt;=1000,D174+ROUNDDOWN(1000/$B175,0),D174),IF($B174=MAX($B$3:$B174),0,D174)),IF($B174=MAX($B$3:$B174),0,D174))))</f>
        <v>9</v>
      </c>
      <c r="E175">
        <f t="shared" si="2"/>
        <v>1</v>
      </c>
    </row>
    <row r="176" spans="1:5" x14ac:dyDescent="0.25">
      <c r="A176">
        <v>174</v>
      </c>
      <c r="B176" s="5">
        <v>105.87</v>
      </c>
      <c r="C176" s="5">
        <f>IF($A176=1,$C$2-(ROUNDDOWN(1000/$B176,0)*$B176),IF(A176=2,C175,IF(A176&gt;3,IF(AND(B175&lt;B174,B174&lt;B173),IF(C175&gt;=1000,C175-(ROUNDDOWN(1000/$B176,0)*$B176),C175),IF($B175=MAX($B$3:$B175),C175+(D175*B176),C175)),IF($B175=MAX($B$3:$B175),C175+(D175*B176),C175))))</f>
        <v>4981.9700000000012</v>
      </c>
      <c r="D176">
        <f>IF($A176=1,D175+ROUNDDOWN(1000/$B176,0),IF(A176=2,D175,IF(A176&gt;3,IF(AND(B175&lt;B174,B174&lt;B173),IF(C175&gt;=1000,D175+ROUNDDOWN(1000/$B176,0),D175),IF($B175=MAX($B$3:$B175),0,D175)),IF($B175=MAX($B$3:$B175),0,D175))))</f>
        <v>9</v>
      </c>
      <c r="E176">
        <f t="shared" si="2"/>
        <v>0</v>
      </c>
    </row>
    <row r="177" spans="1:5" x14ac:dyDescent="0.25">
      <c r="A177">
        <v>175</v>
      </c>
      <c r="B177" s="5">
        <v>106.22</v>
      </c>
      <c r="C177" s="5">
        <f>IF($A177=1,$C$2-(ROUNDDOWN(1000/$B177,0)*$B177),IF(A177=2,C176,IF(A177&gt;3,IF(AND(B176&lt;B175,B175&lt;B174),IF(C176&gt;=1000,C176-(ROUNDDOWN(1000/$B177,0)*$B177),C176),IF($B176=MAX($B$3:$B176),C176+(D176*B177),C176)),IF($B176=MAX($B$3:$B176),C176+(D176*B177),C176))))</f>
        <v>4981.9700000000012</v>
      </c>
      <c r="D177">
        <f>IF($A177=1,D176+ROUNDDOWN(1000/$B177,0),IF(A177=2,D176,IF(A177&gt;3,IF(AND(B176&lt;B175,B175&lt;B174),IF(C176&gt;=1000,D176+ROUNDDOWN(1000/$B177,0),D176),IF($B176=MAX($B$3:$B176),0,D176)),IF($B176=MAX($B$3:$B176),0,D176))))</f>
        <v>9</v>
      </c>
      <c r="E177">
        <f t="shared" si="2"/>
        <v>0</v>
      </c>
    </row>
    <row r="178" spans="1:5" x14ac:dyDescent="0.25">
      <c r="A178">
        <v>176</v>
      </c>
      <c r="B178" s="5">
        <v>107.4</v>
      </c>
      <c r="C178" s="5">
        <f>IF($A178=1,$C$2-(ROUNDDOWN(1000/$B178,0)*$B178),IF(A178=2,C177,IF(A178&gt;3,IF(AND(B177&lt;B176,B176&lt;B175),IF(C177&gt;=1000,C177-(ROUNDDOWN(1000/$B178,0)*$B178),C177),IF($B177=MAX($B$3:$B177),C177+(D177*B178),C177)),IF($B177=MAX($B$3:$B177),C177+(D177*B178),C177))))</f>
        <v>4981.9700000000012</v>
      </c>
      <c r="D178">
        <f>IF($A178=1,D177+ROUNDDOWN(1000/$B178,0),IF(A178=2,D177,IF(A178&gt;3,IF(AND(B177&lt;B176,B176&lt;B175),IF(C177&gt;=1000,D177+ROUNDDOWN(1000/$B178,0),D177),IF($B177=MAX($B$3:$B177),0,D177)),IF($B177=MAX($B$3:$B177),0,D177))))</f>
        <v>9</v>
      </c>
      <c r="E178">
        <f t="shared" si="2"/>
        <v>0</v>
      </c>
    </row>
    <row r="179" spans="1:5" x14ac:dyDescent="0.25">
      <c r="A179">
        <v>177</v>
      </c>
      <c r="B179" s="5">
        <v>108.01</v>
      </c>
      <c r="C179" s="5">
        <f>IF($A179=1,$C$2-(ROUNDDOWN(1000/$B179,0)*$B179),IF(A179=2,C178,IF(A179&gt;3,IF(AND(B178&lt;B177,B177&lt;B176),IF(C178&gt;=1000,C178-(ROUNDDOWN(1000/$B179,0)*$B179),C178),IF($B178=MAX($B$3:$B178),C178+(D178*B179),C178)),IF($B178=MAX($B$3:$B178),C178+(D178*B179),C178))))</f>
        <v>4981.9700000000012</v>
      </c>
      <c r="D179">
        <f>IF($A179=1,D178+ROUNDDOWN(1000/$B179,0),IF(A179=2,D178,IF(A179&gt;3,IF(AND(B178&lt;B177,B177&lt;B176),IF(C178&gt;=1000,D178+ROUNDDOWN(1000/$B179,0),D178),IF($B178=MAX($B$3:$B178),0,D178)),IF($B178=MAX($B$3:$B178),0,D178))))</f>
        <v>9</v>
      </c>
      <c r="E179">
        <f t="shared" si="2"/>
        <v>0</v>
      </c>
    </row>
    <row r="180" spans="1:5" x14ac:dyDescent="0.25">
      <c r="A180">
        <v>178</v>
      </c>
      <c r="B180" s="5">
        <v>106.27</v>
      </c>
      <c r="C180" s="5">
        <f>IF($A180=1,$C$2-(ROUNDDOWN(1000/$B180,0)*$B180),IF(A180=2,C179,IF(A180&gt;3,IF(AND(B179&lt;B178,B178&lt;B177),IF(C179&gt;=1000,C179-(ROUNDDOWN(1000/$B180,0)*$B180),C179),IF($B179=MAX($B$3:$B179),C179+(D179*B180),C179)),IF($B179=MAX($B$3:$B179),C179+(D179*B180),C179))))</f>
        <v>4981.9700000000012</v>
      </c>
      <c r="D180">
        <f>IF($A180=1,D179+ROUNDDOWN(1000/$B180,0),IF(A180=2,D179,IF(A180&gt;3,IF(AND(B179&lt;B178,B178&lt;B177),IF(C179&gt;=1000,D179+ROUNDDOWN(1000/$B180,0),D179),IF($B179=MAX($B$3:$B179),0,D179)),IF($B179=MAX($B$3:$B179),0,D179))))</f>
        <v>9</v>
      </c>
      <c r="E180">
        <f t="shared" si="2"/>
        <v>0</v>
      </c>
    </row>
    <row r="181" spans="1:5" x14ac:dyDescent="0.25">
      <c r="A181">
        <v>179</v>
      </c>
      <c r="B181" s="5">
        <v>108.33</v>
      </c>
      <c r="C181" s="5">
        <f>IF($A181=1,$C$2-(ROUNDDOWN(1000/$B181,0)*$B181),IF(A181=2,C180,IF(A181&gt;3,IF(AND(B180&lt;B179,B179&lt;B178),IF(C180&gt;=1000,C180-(ROUNDDOWN(1000/$B181,0)*$B181),C180),IF($B180=MAX($B$3:$B180),C180+(D180*B181),C180)),IF($B180=MAX($B$3:$B180),C180+(D180*B181),C180))))</f>
        <v>4981.9700000000012</v>
      </c>
      <c r="D181">
        <f>IF($A181=1,D180+ROUNDDOWN(1000/$B181,0),IF(A181=2,D180,IF(A181&gt;3,IF(AND(B180&lt;B179,B179&lt;B178),IF(C180&gt;=1000,D180+ROUNDDOWN(1000/$B181,0),D180),IF($B180=MAX($B$3:$B180),0,D180)),IF($B180=MAX($B$3:$B180),0,D180))))</f>
        <v>9</v>
      </c>
      <c r="E181">
        <f t="shared" si="2"/>
        <v>0</v>
      </c>
    </row>
    <row r="182" spans="1:5" x14ac:dyDescent="0.25">
      <c r="A182">
        <v>180</v>
      </c>
      <c r="B182" s="5">
        <v>109.22</v>
      </c>
      <c r="C182" s="5">
        <f>IF($A182=1,$C$2-(ROUNDDOWN(1000/$B182,0)*$B182),IF(A182=2,C181,IF(A182&gt;3,IF(AND(B181&lt;B180,B180&lt;B179),IF(C181&gt;=1000,C181-(ROUNDDOWN(1000/$B182,0)*$B182),C181),IF($B181=MAX($B$3:$B181),C181+(D181*B182),C181)),IF($B181=MAX($B$3:$B181),C181+(D181*B182),C181))))</f>
        <v>4981.9700000000012</v>
      </c>
      <c r="D182">
        <f>IF($A182=1,D181+ROUNDDOWN(1000/$B182,0),IF(A182=2,D181,IF(A182&gt;3,IF(AND(B181&lt;B180,B180&lt;B179),IF(C181&gt;=1000,D181+ROUNDDOWN(1000/$B182,0),D181),IF($B181=MAX($B$3:$B181),0,D181)),IF($B181=MAX($B$3:$B181),0,D181))))</f>
        <v>9</v>
      </c>
      <c r="E182">
        <f t="shared" si="2"/>
        <v>0</v>
      </c>
    </row>
    <row r="183" spans="1:5" x14ac:dyDescent="0.25">
      <c r="A183">
        <v>181</v>
      </c>
      <c r="B183" s="5">
        <v>107.37</v>
      </c>
      <c r="C183" s="5">
        <f>IF($A183=1,$C$2-(ROUNDDOWN(1000/$B183,0)*$B183),IF(A183=2,C182,IF(A183&gt;3,IF(AND(B182&lt;B181,B181&lt;B180),IF(C182&gt;=1000,C182-(ROUNDDOWN(1000/$B183,0)*$B183),C182),IF($B182=MAX($B$3:$B182),C182+(D182*B183),C182)),IF($B182=MAX($B$3:$B182),C182+(D182*B183),C182))))</f>
        <v>4981.9700000000012</v>
      </c>
      <c r="D183">
        <f>IF($A183=1,D182+ROUNDDOWN(1000/$B183,0),IF(A183=2,D182,IF(A183&gt;3,IF(AND(B182&lt;B181,B181&lt;B180),IF(C182&gt;=1000,D182+ROUNDDOWN(1000/$B183,0),D182),IF($B182=MAX($B$3:$B182),0,D182)),IF($B182=MAX($B$3:$B182),0,D182))))</f>
        <v>9</v>
      </c>
      <c r="E183">
        <f t="shared" si="2"/>
        <v>0</v>
      </c>
    </row>
    <row r="184" spans="1:5" x14ac:dyDescent="0.25">
      <c r="A184">
        <v>182</v>
      </c>
      <c r="B184" s="5">
        <v>107.76</v>
      </c>
      <c r="C184" s="5">
        <f>IF($A184=1,$C$2-(ROUNDDOWN(1000/$B184,0)*$B184),IF(A184=2,C183,IF(A184&gt;3,IF(AND(B183&lt;B182,B182&lt;B181),IF(C183&gt;=1000,C183-(ROUNDDOWN(1000/$B184,0)*$B184),C183),IF($B183=MAX($B$3:$B183),C183+(D183*B184),C183)),IF($B183=MAX($B$3:$B183),C183+(D183*B184),C183))))</f>
        <v>4981.9700000000012</v>
      </c>
      <c r="D184">
        <f>IF($A184=1,D183+ROUNDDOWN(1000/$B184,0),IF(A184=2,D183,IF(A184&gt;3,IF(AND(B183&lt;B182,B182&lt;B181),IF(C183&gt;=1000,D183+ROUNDDOWN(1000/$B184,0),D183),IF($B183=MAX($B$3:$B183),0,D183)),IF($B183=MAX($B$3:$B183),0,D183))))</f>
        <v>9</v>
      </c>
      <c r="E184">
        <f t="shared" si="2"/>
        <v>0</v>
      </c>
    </row>
    <row r="185" spans="1:5" x14ac:dyDescent="0.25">
      <c r="A185">
        <v>183</v>
      </c>
      <c r="B185" s="5">
        <v>108.37</v>
      </c>
      <c r="C185" s="5">
        <f>IF($A185=1,$C$2-(ROUNDDOWN(1000/$B185,0)*$B185),IF(A185=2,C184,IF(A185&gt;3,IF(AND(B184&lt;B183,B183&lt;B182),IF(C184&gt;=1000,C184-(ROUNDDOWN(1000/$B185,0)*$B185),C184),IF($B184=MAX($B$3:$B184),C184+(D184*B185),C184)),IF($B184=MAX($B$3:$B184),C184+(D184*B185),C184))))</f>
        <v>4981.9700000000012</v>
      </c>
      <c r="D185">
        <f>IF($A185=1,D184+ROUNDDOWN(1000/$B185,0),IF(A185=2,D184,IF(A185&gt;3,IF(AND(B184&lt;B183,B183&lt;B182),IF(C184&gt;=1000,D184+ROUNDDOWN(1000/$B185,0),D184),IF($B184=MAX($B$3:$B184),0,D184)),IF($B184=MAX($B$3:$B184),0,D184))))</f>
        <v>9</v>
      </c>
      <c r="E185">
        <f t="shared" si="2"/>
        <v>0</v>
      </c>
    </row>
    <row r="186" spans="1:5" x14ac:dyDescent="0.25">
      <c r="A186">
        <v>184</v>
      </c>
      <c r="B186" s="5">
        <v>109.22</v>
      </c>
      <c r="C186" s="5">
        <f>IF($A186=1,$C$2-(ROUNDDOWN(1000/$B186,0)*$B186),IF(A186=2,C185,IF(A186&gt;3,IF(AND(B185&lt;B184,B184&lt;B183),IF(C185&gt;=1000,C185-(ROUNDDOWN(1000/$B186,0)*$B186),C185),IF($B185=MAX($B$3:$B185),C185+(D185*B186),C185)),IF($B185=MAX($B$3:$B185),C185+(D185*B186),C185))))</f>
        <v>4981.9700000000012</v>
      </c>
      <c r="D186">
        <f>IF($A186=1,D185+ROUNDDOWN(1000/$B186,0),IF(A186=2,D185,IF(A186&gt;3,IF(AND(B185&lt;B184,B184&lt;B183),IF(C185&gt;=1000,D185+ROUNDDOWN(1000/$B186,0),D185),IF($B185=MAX($B$3:$B185),0,D185)),IF($B185=MAX($B$3:$B185),0,D185))))</f>
        <v>9</v>
      </c>
      <c r="E186">
        <f t="shared" si="2"/>
        <v>0</v>
      </c>
    </row>
    <row r="187" spans="1:5" x14ac:dyDescent="0.25">
      <c r="A187">
        <v>185</v>
      </c>
      <c r="B187" s="5">
        <v>107.78</v>
      </c>
      <c r="C187" s="5">
        <f>IF($A187=1,$C$2-(ROUNDDOWN(1000/$B187,0)*$B187),IF(A187=2,C186,IF(A187&gt;3,IF(AND(B186&lt;B185,B185&lt;B184),IF(C186&gt;=1000,C186-(ROUNDDOWN(1000/$B187,0)*$B187),C186),IF($B186=MAX($B$3:$B186),C186+(D186*B187),C186)),IF($B186=MAX($B$3:$B186),C186+(D186*B187),C186))))</f>
        <v>4981.9700000000012</v>
      </c>
      <c r="D187">
        <f>IF($A187=1,D186+ROUNDDOWN(1000/$B187,0),IF(A187=2,D186,IF(A187&gt;3,IF(AND(B186&lt;B185,B185&lt;B184),IF(C186&gt;=1000,D186+ROUNDDOWN(1000/$B187,0),D186),IF($B186=MAX($B$3:$B186),0,D186)),IF($B186=MAX($B$3:$B186),0,D186))))</f>
        <v>9</v>
      </c>
      <c r="E187">
        <f t="shared" si="2"/>
        <v>0</v>
      </c>
    </row>
    <row r="188" spans="1:5" x14ac:dyDescent="0.25">
      <c r="A188">
        <v>186</v>
      </c>
      <c r="B188" s="5">
        <v>109.71</v>
      </c>
      <c r="C188" s="5">
        <f>IF($A188=1,$C$2-(ROUNDDOWN(1000/$B188,0)*$B188),IF(A188=2,C187,IF(A188&gt;3,IF(AND(B187&lt;B186,B186&lt;B185),IF(C187&gt;=1000,C187-(ROUNDDOWN(1000/$B188,0)*$B188),C187),IF($B187=MAX($B$3:$B187),C187+(D187*B188),C187)),IF($B187=MAX($B$3:$B187),C187+(D187*B188),C187))))</f>
        <v>4981.9700000000012</v>
      </c>
      <c r="D188">
        <f>IF($A188=1,D187+ROUNDDOWN(1000/$B188,0),IF(A188=2,D187,IF(A188&gt;3,IF(AND(B187&lt;B186,B186&lt;B185),IF(C187&gt;=1000,D187+ROUNDDOWN(1000/$B188,0),D187),IF($B187=MAX($B$3:$B187),0,D187)),IF($B187=MAX($B$3:$B187),0,D187))))</f>
        <v>9</v>
      </c>
      <c r="E188">
        <f t="shared" si="2"/>
        <v>0</v>
      </c>
    </row>
    <row r="189" spans="1:5" x14ac:dyDescent="0.25">
      <c r="A189">
        <v>187</v>
      </c>
      <c r="B189" s="5">
        <v>107.74</v>
      </c>
      <c r="C189" s="5">
        <f>IF($A189=1,$C$2-(ROUNDDOWN(1000/$B189,0)*$B189),IF(A189=2,C188,IF(A189&gt;3,IF(AND(B188&lt;B187,B187&lt;B186),IF(C188&gt;=1000,C188-(ROUNDDOWN(1000/$B189,0)*$B189),C188),IF($B188=MAX($B$3:$B188),C188+(D188*B189),C188)),IF($B188=MAX($B$3:$B188),C188+(D188*B189),C188))))</f>
        <v>4981.9700000000012</v>
      </c>
      <c r="D189">
        <f>IF($A189=1,D188+ROUNDDOWN(1000/$B189,0),IF(A189=2,D188,IF(A189&gt;3,IF(AND(B188&lt;B187,B187&lt;B186),IF(C188&gt;=1000,D188+ROUNDDOWN(1000/$B189,0),D188),IF($B188=MAX($B$3:$B188),0,D188)),IF($B188=MAX($B$3:$B188),0,D188))))</f>
        <v>9</v>
      </c>
      <c r="E189">
        <f t="shared" si="2"/>
        <v>0</v>
      </c>
    </row>
    <row r="190" spans="1:5" x14ac:dyDescent="0.25">
      <c r="A190">
        <v>188</v>
      </c>
      <c r="B190" s="5">
        <v>109.77</v>
      </c>
      <c r="C190" s="5">
        <f>IF($A190=1,$C$2-(ROUNDDOWN(1000/$B190,0)*$B190),IF(A190=2,C189,IF(A190&gt;3,IF(AND(B189&lt;B188,B188&lt;B187),IF(C189&gt;=1000,C189-(ROUNDDOWN(1000/$B190,0)*$B190),C189),IF($B189=MAX($B$3:$B189),C189+(D189*B190),C189)),IF($B189=MAX($B$3:$B189),C189+(D189*B190),C189))))</f>
        <v>4981.9700000000012</v>
      </c>
      <c r="D190">
        <f>IF($A190=1,D189+ROUNDDOWN(1000/$B190,0),IF(A190=2,D189,IF(A190&gt;3,IF(AND(B189&lt;B188,B188&lt;B187),IF(C189&gt;=1000,D189+ROUNDDOWN(1000/$B190,0),D189),IF($B189=MAX($B$3:$B189),0,D189)),IF($B189=MAX($B$3:$B189),0,D189))))</f>
        <v>9</v>
      </c>
      <c r="E190">
        <f t="shared" si="2"/>
        <v>0</v>
      </c>
    </row>
    <row r="191" spans="1:5" x14ac:dyDescent="0.25">
      <c r="A191">
        <v>189</v>
      </c>
      <c r="B191" s="5">
        <v>111.27</v>
      </c>
      <c r="C191" s="5">
        <f>IF($A191=1,$C$2-(ROUNDDOWN(1000/$B191,0)*$B191),IF(A191=2,C190,IF(A191&gt;3,IF(AND(B190&lt;B189,B189&lt;B188),IF(C190&gt;=1000,C190-(ROUNDDOWN(1000/$B191,0)*$B191),C190),IF($B190=MAX($B$3:$B190),C190+(D190*B191),C190)),IF($B190=MAX($B$3:$B190),C190+(D190*B191),C190))))</f>
        <v>4981.9700000000012</v>
      </c>
      <c r="D191">
        <f>IF($A191=1,D190+ROUNDDOWN(1000/$B191,0),IF(A191=2,D190,IF(A191&gt;3,IF(AND(B190&lt;B189,B189&lt;B188),IF(C190&gt;=1000,D190+ROUNDDOWN(1000/$B191,0),D190),IF($B190=MAX($B$3:$B190),0,D190)),IF($B190=MAX($B$3:$B190),0,D190))))</f>
        <v>9</v>
      </c>
      <c r="E191">
        <f t="shared" si="2"/>
        <v>0</v>
      </c>
    </row>
    <row r="192" spans="1:5" x14ac:dyDescent="0.25">
      <c r="A192">
        <v>190</v>
      </c>
      <c r="B192" s="5">
        <v>109.41</v>
      </c>
      <c r="C192" s="5">
        <f>IF($A192=1,$C$2-(ROUNDDOWN(1000/$B192,0)*$B192),IF(A192=2,C191,IF(A192&gt;3,IF(AND(B191&lt;B190,B190&lt;B189),IF(C191&gt;=1000,C191-(ROUNDDOWN(1000/$B192,0)*$B192),C191),IF($B191=MAX($B$3:$B191),C191+(D191*B192),C191)),IF($B191=MAX($B$3:$B191),C191+(D191*B192),C191))))</f>
        <v>4981.9700000000012</v>
      </c>
      <c r="D192">
        <f>IF($A192=1,D191+ROUNDDOWN(1000/$B192,0),IF(A192=2,D191,IF(A192&gt;3,IF(AND(B191&lt;B190,B190&lt;B189),IF(C191&gt;=1000,D191+ROUNDDOWN(1000/$B192,0),D191),IF($B191=MAX($B$3:$B191),0,D191)),IF($B191=MAX($B$3:$B191),0,D191))))</f>
        <v>9</v>
      </c>
      <c r="E192">
        <f t="shared" si="2"/>
        <v>0</v>
      </c>
    </row>
    <row r="193" spans="1:5" x14ac:dyDescent="0.25">
      <c r="A193">
        <v>191</v>
      </c>
      <c r="B193" s="5">
        <v>109.72</v>
      </c>
      <c r="C193" s="5">
        <f>IF($A193=1,$C$2-(ROUNDDOWN(1000/$B193,0)*$B193),IF(A193=2,C192,IF(A193&gt;3,IF(AND(B192&lt;B191,B191&lt;B190),IF(C192&gt;=1000,C192-(ROUNDDOWN(1000/$B193,0)*$B193),C192),IF($B192=MAX($B$3:$B192),C192+(D192*B193),C192)),IF($B192=MAX($B$3:$B192),C192+(D192*B193),C192))))</f>
        <v>4981.9700000000012</v>
      </c>
      <c r="D193">
        <f>IF($A193=1,D192+ROUNDDOWN(1000/$B193,0),IF(A193=2,D192,IF(A193&gt;3,IF(AND(B192&lt;B191,B191&lt;B190),IF(C192&gt;=1000,D192+ROUNDDOWN(1000/$B193,0),D192),IF($B192=MAX($B$3:$B192),0,D192)),IF($B192=MAX($B$3:$B192),0,D192))))</f>
        <v>9</v>
      </c>
      <c r="E193">
        <f t="shared" si="2"/>
        <v>0</v>
      </c>
    </row>
    <row r="194" spans="1:5" x14ac:dyDescent="0.25">
      <c r="A194">
        <v>192</v>
      </c>
      <c r="B194" s="5">
        <v>108.19</v>
      </c>
      <c r="C194" s="5">
        <f>IF($A194=1,$C$2-(ROUNDDOWN(1000/$B194,0)*$B194),IF(A194=2,C193,IF(A194&gt;3,IF(AND(B193&lt;B192,B192&lt;B191),IF(C193&gt;=1000,C193-(ROUNDDOWN(1000/$B194,0)*$B194),C193),IF($B193=MAX($B$3:$B193),C193+(D193*B194),C193)),IF($B193=MAX($B$3:$B193),C193+(D193*B194),C193))))</f>
        <v>4981.9700000000012</v>
      </c>
      <c r="D194">
        <f>IF($A194=1,D193+ROUNDDOWN(1000/$B194,0),IF(A194=2,D193,IF(A194&gt;3,IF(AND(B193&lt;B192,B192&lt;B191),IF(C193&gt;=1000,D193+ROUNDDOWN(1000/$B194,0),D193),IF($B193=MAX($B$3:$B193),0,D193)),IF($B193=MAX($B$3:$B193),0,D193))))</f>
        <v>9</v>
      </c>
      <c r="E194">
        <f t="shared" si="2"/>
        <v>0</v>
      </c>
    </row>
    <row r="195" spans="1:5" x14ac:dyDescent="0.25">
      <c r="A195">
        <v>193</v>
      </c>
      <c r="B195" s="5">
        <v>109.68</v>
      </c>
      <c r="C195" s="5">
        <f>IF($A195=1,$C$2-(ROUNDDOWN(1000/$B195,0)*$B195),IF(A195=2,C194,IF(A195&gt;3,IF(AND(B194&lt;B193,B193&lt;B192),IF(C194&gt;=1000,C194-(ROUNDDOWN(1000/$B195,0)*$B195),C194),IF($B194=MAX($B$3:$B194),C194+(D194*B195),C194)),IF($B194=MAX($B$3:$B194),C194+(D194*B195),C194))))</f>
        <v>4981.9700000000012</v>
      </c>
      <c r="D195">
        <f>IF($A195=1,D194+ROUNDDOWN(1000/$B195,0),IF(A195=2,D194,IF(A195&gt;3,IF(AND(B194&lt;B193,B193&lt;B192),IF(C194&gt;=1000,D194+ROUNDDOWN(1000/$B195,0),D194),IF($B194=MAX($B$3:$B194),0,D194)),IF($B194=MAX($B$3:$B194),0,D194))))</f>
        <v>9</v>
      </c>
      <c r="E195">
        <f t="shared" si="2"/>
        <v>0</v>
      </c>
    </row>
    <row r="196" spans="1:5" x14ac:dyDescent="0.25">
      <c r="A196">
        <v>194</v>
      </c>
      <c r="B196" s="5">
        <v>110.39</v>
      </c>
      <c r="C196" s="5">
        <f>IF($A196=1,$C$2-(ROUNDDOWN(1000/$B196,0)*$B196),IF(A196=2,C195,IF(A196&gt;3,IF(AND(B195&lt;B194,B194&lt;B193),IF(C195&gt;=1000,C195-(ROUNDDOWN(1000/$B196,0)*$B196),C195),IF($B195=MAX($B$3:$B195),C195+(D195*B196),C195)),IF($B195=MAX($B$3:$B195),C195+(D195*B196),C195))))</f>
        <v>4981.9700000000012</v>
      </c>
      <c r="D196">
        <f>IF($A196=1,D195+ROUNDDOWN(1000/$B196,0),IF(A196=2,D195,IF(A196&gt;3,IF(AND(B195&lt;B194,B194&lt;B193),IF(C195&gt;=1000,D195+ROUNDDOWN(1000/$B196,0),D195),IF($B195=MAX($B$3:$B195),0,D195)),IF($B195=MAX($B$3:$B195),0,D195))))</f>
        <v>9</v>
      </c>
      <c r="E196">
        <f t="shared" ref="E196:E259" si="3">IF(D196&gt;D195,1,0)</f>
        <v>0</v>
      </c>
    </row>
    <row r="197" spans="1:5" x14ac:dyDescent="0.25">
      <c r="A197">
        <v>195</v>
      </c>
      <c r="B197" s="5">
        <v>111.28</v>
      </c>
      <c r="C197" s="5">
        <f>IF($A197=1,$C$2-(ROUNDDOWN(1000/$B197,0)*$B197),IF(A197=2,C196,IF(A197&gt;3,IF(AND(B196&lt;B195,B195&lt;B194),IF(C196&gt;=1000,C196-(ROUNDDOWN(1000/$B197,0)*$B197),C196),IF($B196=MAX($B$3:$B196),C196+(D196*B197),C196)),IF($B196=MAX($B$3:$B196),C196+(D196*B197),C196))))</f>
        <v>4981.9700000000012</v>
      </c>
      <c r="D197">
        <f>IF($A197=1,D196+ROUNDDOWN(1000/$B197,0),IF(A197=2,D196,IF(A197&gt;3,IF(AND(B196&lt;B195,B195&lt;B194),IF(C196&gt;=1000,D196+ROUNDDOWN(1000/$B197,0),D196),IF($B196=MAX($B$3:$B196),0,D196)),IF($B196=MAX($B$3:$B196),0,D196))))</f>
        <v>9</v>
      </c>
      <c r="E197">
        <f t="shared" si="3"/>
        <v>0</v>
      </c>
    </row>
    <row r="198" spans="1:5" x14ac:dyDescent="0.25">
      <c r="A198">
        <v>196</v>
      </c>
      <c r="B198" s="5">
        <v>112.56</v>
      </c>
      <c r="C198" s="5">
        <f>IF($A198=1,$C$2-(ROUNDDOWN(1000/$B198,0)*$B198),IF(A198=2,C197,IF(A198&gt;3,IF(AND(B197&lt;B196,B196&lt;B195),IF(C197&gt;=1000,C197-(ROUNDDOWN(1000/$B198,0)*$B198),C197),IF($B197=MAX($B$3:$B197),C197+(D197*B198),C197)),IF($B197=MAX($B$3:$B197),C197+(D197*B198),C197))))</f>
        <v>4981.9700000000012</v>
      </c>
      <c r="D198">
        <f>IF($A198=1,D197+ROUNDDOWN(1000/$B198,0),IF(A198=2,D197,IF(A198&gt;3,IF(AND(B197&lt;B196,B196&lt;B195),IF(C197&gt;=1000,D197+ROUNDDOWN(1000/$B198,0),D197),IF($B197=MAX($B$3:$B197),0,D197)),IF($B197=MAX($B$3:$B197),0,D197))))</f>
        <v>9</v>
      </c>
      <c r="E198">
        <f t="shared" si="3"/>
        <v>0</v>
      </c>
    </row>
    <row r="199" spans="1:5" x14ac:dyDescent="0.25">
      <c r="A199">
        <v>197</v>
      </c>
      <c r="B199" s="5">
        <v>113.15</v>
      </c>
      <c r="C199" s="5">
        <f>IF($A199=1,$C$2-(ROUNDDOWN(1000/$B199,0)*$B199),IF(A199=2,C198,IF(A199&gt;3,IF(AND(B198&lt;B197,B197&lt;B196),IF(C198&gt;=1000,C198-(ROUNDDOWN(1000/$B199,0)*$B199),C198),IF($B198=MAX($B$3:$B198),C198+(D198*B199),C198)),IF($B198=MAX($B$3:$B198),C198+(D198*B199),C198))))</f>
        <v>6000.3200000000015</v>
      </c>
      <c r="D199">
        <f>IF($A199=1,D198+ROUNDDOWN(1000/$B199,0),IF(A199=2,D198,IF(A199&gt;3,IF(AND(B198&lt;B197,B197&lt;B196),IF(C198&gt;=1000,D198+ROUNDDOWN(1000/$B199,0),D198),IF($B198=MAX($B$3:$B198),0,D198)),IF($B198=MAX($B$3:$B198),0,D198))))</f>
        <v>0</v>
      </c>
      <c r="E199">
        <f t="shared" si="3"/>
        <v>0</v>
      </c>
    </row>
    <row r="200" spans="1:5" x14ac:dyDescent="0.25">
      <c r="A200">
        <v>198</v>
      </c>
      <c r="B200" s="5">
        <v>114.21</v>
      </c>
      <c r="C200" s="5">
        <f>IF($A200=1,$C$2-(ROUNDDOWN(1000/$B200,0)*$B200),IF(A200=2,C199,IF(A200&gt;3,IF(AND(B199&lt;B198,B198&lt;B197),IF(C199&gt;=1000,C199-(ROUNDDOWN(1000/$B200,0)*$B200),C199),IF($B199=MAX($B$3:$B199),C199+(D199*B200),C199)),IF($B199=MAX($B$3:$B199),C199+(D199*B200),C199))))</f>
        <v>6000.3200000000015</v>
      </c>
      <c r="D200">
        <f>IF($A200=1,D199+ROUNDDOWN(1000/$B200,0),IF(A200=2,D199,IF(A200&gt;3,IF(AND(B199&lt;B198,B198&lt;B197),IF(C199&gt;=1000,D199+ROUNDDOWN(1000/$B200,0),D199),IF($B199=MAX($B$3:$B199),0,D199)),IF($B199=MAX($B$3:$B199),0,D199))))</f>
        <v>0</v>
      </c>
      <c r="E200">
        <f t="shared" si="3"/>
        <v>0</v>
      </c>
    </row>
    <row r="201" spans="1:5" x14ac:dyDescent="0.25">
      <c r="A201">
        <v>199</v>
      </c>
      <c r="B201" s="5">
        <v>114.89</v>
      </c>
      <c r="C201" s="5">
        <f>IF($A201=1,$C$2-(ROUNDDOWN(1000/$B201,0)*$B201),IF(A201=2,C200,IF(A201&gt;3,IF(AND(B200&lt;B199,B199&lt;B198),IF(C200&gt;=1000,C200-(ROUNDDOWN(1000/$B201,0)*$B201),C200),IF($B200=MAX($B$3:$B200),C200+(D200*B201),C200)),IF($B200=MAX($B$3:$B200),C200+(D200*B201),C200))))</f>
        <v>6000.3200000000015</v>
      </c>
      <c r="D201">
        <f>IF($A201=1,D200+ROUNDDOWN(1000/$B201,0),IF(A201=2,D200,IF(A201&gt;3,IF(AND(B200&lt;B199,B199&lt;B198),IF(C200&gt;=1000,D200+ROUNDDOWN(1000/$B201,0),D200),IF($B200=MAX($B$3:$B200),0,D200)),IF($B200=MAX($B$3:$B200),0,D200))))</f>
        <v>0</v>
      </c>
      <c r="E201">
        <f t="shared" si="3"/>
        <v>0</v>
      </c>
    </row>
    <row r="202" spans="1:5" x14ac:dyDescent="0.25">
      <c r="A202">
        <v>200</v>
      </c>
      <c r="B202" s="5">
        <v>114.91</v>
      </c>
      <c r="C202" s="5">
        <f>IF($A202=1,$C$2-(ROUNDDOWN(1000/$B202,0)*$B202),IF(A202=2,C201,IF(A202&gt;3,IF(AND(B201&lt;B200,B200&lt;B199),IF(C201&gt;=1000,C201-(ROUNDDOWN(1000/$B202,0)*$B202),C201),IF($B201=MAX($B$3:$B201),C201+(D201*B202),C201)),IF($B201=MAX($B$3:$B201),C201+(D201*B202),C201))))</f>
        <v>6000.3200000000015</v>
      </c>
      <c r="D202">
        <f>IF($A202=1,D201+ROUNDDOWN(1000/$B202,0),IF(A202=2,D201,IF(A202&gt;3,IF(AND(B201&lt;B200,B200&lt;B199),IF(C201&gt;=1000,D201+ROUNDDOWN(1000/$B202,0),D201),IF($B201=MAX($B$3:$B201),0,D201)),IF($B201=MAX($B$3:$B201),0,D201))))</f>
        <v>0</v>
      </c>
      <c r="E202">
        <f t="shared" si="3"/>
        <v>0</v>
      </c>
    </row>
    <row r="203" spans="1:5" x14ac:dyDescent="0.25">
      <c r="A203">
        <v>201</v>
      </c>
      <c r="B203" s="5">
        <v>112.97</v>
      </c>
      <c r="C203" s="5">
        <f>IF($A203=1,$C$2-(ROUNDDOWN(1000/$B203,0)*$B203),IF(A203=2,C202,IF(A203&gt;3,IF(AND(B202&lt;B201,B201&lt;B200),IF(C202&gt;=1000,C202-(ROUNDDOWN(1000/$B203,0)*$B203),C202),IF($B202=MAX($B$3:$B202),C202+(D202*B203),C202)),IF($B202=MAX($B$3:$B202),C202+(D202*B203),C202))))</f>
        <v>6000.3200000000015</v>
      </c>
      <c r="D203">
        <f>IF($A203=1,D202+ROUNDDOWN(1000/$B203,0),IF(A203=2,D202,IF(A203&gt;3,IF(AND(B202&lt;B201,B201&lt;B200),IF(C202&gt;=1000,D202+ROUNDDOWN(1000/$B203,0),D202),IF($B202=MAX($B$3:$B202),0,D202)),IF($B202=MAX($B$3:$B202),0,D202))))</f>
        <v>0</v>
      </c>
      <c r="E203">
        <f t="shared" si="3"/>
        <v>0</v>
      </c>
    </row>
    <row r="204" spans="1:5" x14ac:dyDescent="0.25">
      <c r="A204">
        <v>202</v>
      </c>
      <c r="B204" s="5">
        <v>111.12</v>
      </c>
      <c r="C204" s="5">
        <f>IF($A204=1,$C$2-(ROUNDDOWN(1000/$B204,0)*$B204),IF(A204=2,C203,IF(A204&gt;3,IF(AND(B203&lt;B202,B202&lt;B201),IF(C203&gt;=1000,C203-(ROUNDDOWN(1000/$B204,0)*$B204),C203),IF($B203=MAX($B$3:$B203),C203+(D203*B204),C203)),IF($B203=MAX($B$3:$B203),C203+(D203*B204),C203))))</f>
        <v>6000.3200000000015</v>
      </c>
      <c r="D204">
        <f>IF($A204=1,D203+ROUNDDOWN(1000/$B204,0),IF(A204=2,D203,IF(A204&gt;3,IF(AND(B203&lt;B202,B202&lt;B201),IF(C203&gt;=1000,D203+ROUNDDOWN(1000/$B204,0),D203),IF($B203=MAX($B$3:$B203),0,D203)),IF($B203=MAX($B$3:$B203),0,D203))))</f>
        <v>0</v>
      </c>
      <c r="E204">
        <f t="shared" si="3"/>
        <v>0</v>
      </c>
    </row>
    <row r="205" spans="1:5" x14ac:dyDescent="0.25">
      <c r="A205">
        <v>203</v>
      </c>
      <c r="B205" s="5">
        <v>111.44</v>
      </c>
      <c r="C205" s="5">
        <f>IF($A205=1,$C$2-(ROUNDDOWN(1000/$B205,0)*$B205),IF(A205=2,C204,IF(A205&gt;3,IF(AND(B204&lt;B203,B203&lt;B202),IF(C204&gt;=1000,C204-(ROUNDDOWN(1000/$B205,0)*$B205),C204),IF($B204=MAX($B$3:$B204),C204+(D204*B205),C204)),IF($B204=MAX($B$3:$B204),C204+(D204*B205),C204))))</f>
        <v>5108.8000000000011</v>
      </c>
      <c r="D205">
        <f>IF($A205=1,D204+ROUNDDOWN(1000/$B205,0),IF(A205=2,D204,IF(A205&gt;3,IF(AND(B204&lt;B203,B203&lt;B202),IF(C204&gt;=1000,D204+ROUNDDOWN(1000/$B205,0),D204),IF($B204=MAX($B$3:$B204),0,D204)),IF($B204=MAX($B$3:$B204),0,D204))))</f>
        <v>8</v>
      </c>
      <c r="E205">
        <f t="shared" si="3"/>
        <v>1</v>
      </c>
    </row>
    <row r="206" spans="1:5" x14ac:dyDescent="0.25">
      <c r="A206">
        <v>204</v>
      </c>
      <c r="B206" s="5">
        <v>113.24</v>
      </c>
      <c r="C206" s="5">
        <f>IF($A206=1,$C$2-(ROUNDDOWN(1000/$B206,0)*$B206),IF(A206=2,C205,IF(A206&gt;3,IF(AND(B205&lt;B204,B204&lt;B203),IF(C205&gt;=1000,C205-(ROUNDDOWN(1000/$B206,0)*$B206),C205),IF($B205=MAX($B$3:$B205),C205+(D205*B206),C205)),IF($B205=MAX($B$3:$B205),C205+(D205*B206),C205))))</f>
        <v>5108.8000000000011</v>
      </c>
      <c r="D206">
        <f>IF($A206=1,D205+ROUNDDOWN(1000/$B206,0),IF(A206=2,D205,IF(A206&gt;3,IF(AND(B205&lt;B204,B204&lt;B203),IF(C205&gt;=1000,D205+ROUNDDOWN(1000/$B206,0),D205),IF($B205=MAX($B$3:$B205),0,D205)),IF($B205=MAX($B$3:$B205),0,D205))))</f>
        <v>8</v>
      </c>
      <c r="E206">
        <f t="shared" si="3"/>
        <v>0</v>
      </c>
    </row>
    <row r="207" spans="1:5" x14ac:dyDescent="0.25">
      <c r="A207">
        <v>205</v>
      </c>
      <c r="B207" s="5">
        <v>111.26</v>
      </c>
      <c r="C207" s="5">
        <f>IF($A207=1,$C$2-(ROUNDDOWN(1000/$B207,0)*$B207),IF(A207=2,C206,IF(A207&gt;3,IF(AND(B206&lt;B205,B205&lt;B204),IF(C206&gt;=1000,C206-(ROUNDDOWN(1000/$B207,0)*$B207),C206),IF($B206=MAX($B$3:$B206),C206+(D206*B207),C206)),IF($B206=MAX($B$3:$B206),C206+(D206*B207),C206))))</f>
        <v>5108.8000000000011</v>
      </c>
      <c r="D207">
        <f>IF($A207=1,D206+ROUNDDOWN(1000/$B207,0),IF(A207=2,D206,IF(A207&gt;3,IF(AND(B206&lt;B205,B205&lt;B204),IF(C206&gt;=1000,D206+ROUNDDOWN(1000/$B207,0),D206),IF($B206=MAX($B$3:$B206),0,D206)),IF($B206=MAX($B$3:$B206),0,D206))))</f>
        <v>8</v>
      </c>
      <c r="E207">
        <f t="shared" si="3"/>
        <v>0</v>
      </c>
    </row>
    <row r="208" spans="1:5" x14ac:dyDescent="0.25">
      <c r="A208">
        <v>206</v>
      </c>
      <c r="B208" s="5">
        <v>109.56</v>
      </c>
      <c r="C208" s="5">
        <f>IF($A208=1,$C$2-(ROUNDDOWN(1000/$B208,0)*$B208),IF(A208=2,C207,IF(A208&gt;3,IF(AND(B207&lt;B206,B206&lt;B205),IF(C207&gt;=1000,C207-(ROUNDDOWN(1000/$B208,0)*$B208),C207),IF($B207=MAX($B$3:$B207),C207+(D207*B208),C207)),IF($B207=MAX($B$3:$B207),C207+(D207*B208),C207))))</f>
        <v>5108.8000000000011</v>
      </c>
      <c r="D208">
        <f>IF($A208=1,D207+ROUNDDOWN(1000/$B208,0),IF(A208=2,D207,IF(A208&gt;3,IF(AND(B207&lt;B206,B206&lt;B205),IF(C207&gt;=1000,D207+ROUNDDOWN(1000/$B208,0),D207),IF($B207=MAX($B$3:$B207),0,D207)),IF($B207=MAX($B$3:$B207),0,D207))))</f>
        <v>8</v>
      </c>
      <c r="E208">
        <f t="shared" si="3"/>
        <v>0</v>
      </c>
    </row>
    <row r="209" spans="1:5" x14ac:dyDescent="0.25">
      <c r="A209">
        <v>207</v>
      </c>
      <c r="B209" s="5">
        <v>109.82</v>
      </c>
      <c r="C209" s="5">
        <f>IF($A209=1,$C$2-(ROUNDDOWN(1000/$B209,0)*$B209),IF(A209=2,C208,IF(A209&gt;3,IF(AND(B208&lt;B207,B207&lt;B206),IF(C208&gt;=1000,C208-(ROUNDDOWN(1000/$B209,0)*$B209),C208),IF($B208=MAX($B$3:$B208),C208+(D208*B209),C208)),IF($B208=MAX($B$3:$B208),C208+(D208*B209),C208))))</f>
        <v>4120.420000000001</v>
      </c>
      <c r="D209">
        <f>IF($A209=1,D208+ROUNDDOWN(1000/$B209,0),IF(A209=2,D208,IF(A209&gt;3,IF(AND(B208&lt;B207,B207&lt;B206),IF(C208&gt;=1000,D208+ROUNDDOWN(1000/$B209,0),D208),IF($B208=MAX($B$3:$B208),0,D208)),IF($B208=MAX($B$3:$B208),0,D208))))</f>
        <v>17</v>
      </c>
      <c r="E209">
        <f t="shared" si="3"/>
        <v>1</v>
      </c>
    </row>
    <row r="210" spans="1:5" x14ac:dyDescent="0.25">
      <c r="A210">
        <v>208</v>
      </c>
      <c r="B210" s="5">
        <v>111.61</v>
      </c>
      <c r="C210" s="5">
        <f>IF($A210=1,$C$2-(ROUNDDOWN(1000/$B210,0)*$B210),IF(A210=2,C209,IF(A210&gt;3,IF(AND(B209&lt;B208,B208&lt;B207),IF(C209&gt;=1000,C209-(ROUNDDOWN(1000/$B210,0)*$B210),C209),IF($B209=MAX($B$3:$B209),C209+(D209*B210),C209)),IF($B209=MAX($B$3:$B209),C209+(D209*B210),C209))))</f>
        <v>4120.420000000001</v>
      </c>
      <c r="D210">
        <f>IF($A210=1,D209+ROUNDDOWN(1000/$B210,0),IF(A210=2,D209,IF(A210&gt;3,IF(AND(B209&lt;B208,B208&lt;B207),IF(C209&gt;=1000,D209+ROUNDDOWN(1000/$B210,0),D209),IF($B209=MAX($B$3:$B209),0,D209)),IF($B209=MAX($B$3:$B209),0,D209))))</f>
        <v>17</v>
      </c>
      <c r="E210">
        <f t="shared" si="3"/>
        <v>0</v>
      </c>
    </row>
    <row r="211" spans="1:5" x14ac:dyDescent="0.25">
      <c r="A211">
        <v>209</v>
      </c>
      <c r="B211" s="5">
        <v>110.11</v>
      </c>
      <c r="C211" s="5">
        <f>IF($A211=1,$C$2-(ROUNDDOWN(1000/$B211,0)*$B211),IF(A211=2,C210,IF(A211&gt;3,IF(AND(B210&lt;B209,B209&lt;B208),IF(C210&gt;=1000,C210-(ROUNDDOWN(1000/$B211,0)*$B211),C210),IF($B210=MAX($B$3:$B210),C210+(D210*B211),C210)),IF($B210=MAX($B$3:$B210),C210+(D210*B211),C210))))</f>
        <v>4120.420000000001</v>
      </c>
      <c r="D211">
        <f>IF($A211=1,D210+ROUNDDOWN(1000/$B211,0),IF(A211=2,D210,IF(A211&gt;3,IF(AND(B210&lt;B209,B209&lt;B208),IF(C210&gt;=1000,D210+ROUNDDOWN(1000/$B211,0),D210),IF($B210=MAX($B$3:$B210),0,D210)),IF($B210=MAX($B$3:$B210),0,D210))))</f>
        <v>17</v>
      </c>
      <c r="E211">
        <f t="shared" si="3"/>
        <v>0</v>
      </c>
    </row>
    <row r="212" spans="1:5" x14ac:dyDescent="0.25">
      <c r="A212">
        <v>210</v>
      </c>
      <c r="B212" s="5">
        <v>111.72</v>
      </c>
      <c r="C212" s="5">
        <f>IF($A212=1,$C$2-(ROUNDDOWN(1000/$B212,0)*$B212),IF(A212=2,C211,IF(A212&gt;3,IF(AND(B211&lt;B210,B210&lt;B209),IF(C211&gt;=1000,C211-(ROUNDDOWN(1000/$B212,0)*$B212),C211),IF($B211=MAX($B$3:$B211),C211+(D211*B212),C211)),IF($B211=MAX($B$3:$B211),C211+(D211*B212),C211))))</f>
        <v>4120.420000000001</v>
      </c>
      <c r="D212">
        <f>IF($A212=1,D211+ROUNDDOWN(1000/$B212,0),IF(A212=2,D211,IF(A212&gt;3,IF(AND(B211&lt;B210,B210&lt;B209),IF(C211&gt;=1000,D211+ROUNDDOWN(1000/$B212,0),D211),IF($B211=MAX($B$3:$B211),0,D211)),IF($B211=MAX($B$3:$B211),0,D211))))</f>
        <v>17</v>
      </c>
      <c r="E212">
        <f t="shared" si="3"/>
        <v>0</v>
      </c>
    </row>
    <row r="213" spans="1:5" x14ac:dyDescent="0.25">
      <c r="A213">
        <v>211</v>
      </c>
      <c r="B213" s="5">
        <v>111.85</v>
      </c>
      <c r="C213" s="5">
        <f>IF($A213=1,$C$2-(ROUNDDOWN(1000/$B213,0)*$B213),IF(A213=2,C212,IF(A213&gt;3,IF(AND(B212&lt;B211,B211&lt;B210),IF(C212&gt;=1000,C212-(ROUNDDOWN(1000/$B213,0)*$B213),C212),IF($B212=MAX($B$3:$B212),C212+(D212*B213),C212)),IF($B212=MAX($B$3:$B212),C212+(D212*B213),C212))))</f>
        <v>4120.420000000001</v>
      </c>
      <c r="D213">
        <f>IF($A213=1,D212+ROUNDDOWN(1000/$B213,0),IF(A213=2,D212,IF(A213&gt;3,IF(AND(B212&lt;B211,B211&lt;B210),IF(C212&gt;=1000,D212+ROUNDDOWN(1000/$B213,0),D212),IF($B212=MAX($B$3:$B212),0,D212)),IF($B212=MAX($B$3:$B212),0,D212))))</f>
        <v>17</v>
      </c>
      <c r="E213">
        <f t="shared" si="3"/>
        <v>0</v>
      </c>
    </row>
    <row r="214" spans="1:5" x14ac:dyDescent="0.25">
      <c r="A214">
        <v>212</v>
      </c>
      <c r="B214" s="5">
        <v>113.24</v>
      </c>
      <c r="C214" s="5">
        <f>IF($A214=1,$C$2-(ROUNDDOWN(1000/$B214,0)*$B214),IF(A214=2,C213,IF(A214&gt;3,IF(AND(B213&lt;B212,B212&lt;B211),IF(C213&gt;=1000,C213-(ROUNDDOWN(1000/$B214,0)*$B214),C213),IF($B213=MAX($B$3:$B213),C213+(D213*B214),C213)),IF($B213=MAX($B$3:$B213),C213+(D213*B214),C213))))</f>
        <v>4120.420000000001</v>
      </c>
      <c r="D214">
        <f>IF($A214=1,D213+ROUNDDOWN(1000/$B214,0),IF(A214=2,D213,IF(A214&gt;3,IF(AND(B213&lt;B212,B212&lt;B211),IF(C213&gt;=1000,D213+ROUNDDOWN(1000/$B214,0),D213),IF($B213=MAX($B$3:$B213),0,D213)),IF($B213=MAX($B$3:$B213),0,D213))))</f>
        <v>17</v>
      </c>
      <c r="E214">
        <f t="shared" si="3"/>
        <v>0</v>
      </c>
    </row>
    <row r="215" spans="1:5" x14ac:dyDescent="0.25">
      <c r="A215">
        <v>213</v>
      </c>
      <c r="B215" s="5">
        <v>114.79</v>
      </c>
      <c r="C215" s="5">
        <f>IF($A215=1,$C$2-(ROUNDDOWN(1000/$B215,0)*$B215),IF(A215=2,C214,IF(A215&gt;3,IF(AND(B214&lt;B213,B213&lt;B212),IF(C214&gt;=1000,C214-(ROUNDDOWN(1000/$B215,0)*$B215),C214),IF($B214=MAX($B$3:$B214),C214+(D214*B215),C214)),IF($B214=MAX($B$3:$B214),C214+(D214*B215),C214))))</f>
        <v>4120.420000000001</v>
      </c>
      <c r="D215">
        <f>IF($A215=1,D214+ROUNDDOWN(1000/$B215,0),IF(A215=2,D214,IF(A215&gt;3,IF(AND(B214&lt;B213,B213&lt;B212),IF(C214&gt;=1000,D214+ROUNDDOWN(1000/$B215,0),D214),IF($B214=MAX($B$3:$B214),0,D214)),IF($B214=MAX($B$3:$B214),0,D214))))</f>
        <v>17</v>
      </c>
      <c r="E215">
        <f t="shared" si="3"/>
        <v>0</v>
      </c>
    </row>
    <row r="216" spans="1:5" x14ac:dyDescent="0.25">
      <c r="A216">
        <v>214</v>
      </c>
      <c r="B216" s="5">
        <v>113.2</v>
      </c>
      <c r="C216" s="5">
        <f>IF($A216=1,$C$2-(ROUNDDOWN(1000/$B216,0)*$B216),IF(A216=2,C215,IF(A216&gt;3,IF(AND(B215&lt;B214,B214&lt;B213),IF(C215&gt;=1000,C215-(ROUNDDOWN(1000/$B216,0)*$B216),C215),IF($B215=MAX($B$3:$B215),C215+(D215*B216),C215)),IF($B215=MAX($B$3:$B215),C215+(D215*B216),C215))))</f>
        <v>4120.420000000001</v>
      </c>
      <c r="D216">
        <f>IF($A216=1,D215+ROUNDDOWN(1000/$B216,0),IF(A216=2,D215,IF(A216&gt;3,IF(AND(B215&lt;B214,B214&lt;B213),IF(C215&gt;=1000,D215+ROUNDDOWN(1000/$B216,0),D215),IF($B215=MAX($B$3:$B215),0,D215)),IF($B215=MAX($B$3:$B215),0,D215))))</f>
        <v>17</v>
      </c>
      <c r="E216">
        <f t="shared" si="3"/>
        <v>0</v>
      </c>
    </row>
    <row r="217" spans="1:5" x14ac:dyDescent="0.25">
      <c r="A217">
        <v>215</v>
      </c>
      <c r="B217" s="5">
        <v>113.27</v>
      </c>
      <c r="C217" s="5">
        <f>IF($A217=1,$C$2-(ROUNDDOWN(1000/$B217,0)*$B217),IF(A217=2,C216,IF(A217&gt;3,IF(AND(B216&lt;B215,B215&lt;B214),IF(C216&gt;=1000,C216-(ROUNDDOWN(1000/$B217,0)*$B217),C216),IF($B216=MAX($B$3:$B216),C216+(D216*B217),C216)),IF($B216=MAX($B$3:$B216),C216+(D216*B217),C216))))</f>
        <v>4120.420000000001</v>
      </c>
      <c r="D217">
        <f>IF($A217=1,D216+ROUNDDOWN(1000/$B217,0),IF(A217=2,D216,IF(A217&gt;3,IF(AND(B216&lt;B215,B215&lt;B214),IF(C216&gt;=1000,D216+ROUNDDOWN(1000/$B217,0),D216),IF($B216=MAX($B$3:$B216),0,D216)),IF($B216=MAX($B$3:$B216),0,D216))))</f>
        <v>17</v>
      </c>
      <c r="E217">
        <f t="shared" si="3"/>
        <v>0</v>
      </c>
    </row>
    <row r="218" spans="1:5" x14ac:dyDescent="0.25">
      <c r="A218">
        <v>216</v>
      </c>
      <c r="B218" s="5">
        <v>111.75</v>
      </c>
      <c r="C218" s="5">
        <f>IF($A218=1,$C$2-(ROUNDDOWN(1000/$B218,0)*$B218),IF(A218=2,C217,IF(A218&gt;3,IF(AND(B217&lt;B216,B216&lt;B215),IF(C217&gt;=1000,C217-(ROUNDDOWN(1000/$B218,0)*$B218),C217),IF($B217=MAX($B$3:$B217),C217+(D217*B218),C217)),IF($B217=MAX($B$3:$B217),C217+(D217*B218),C217))))</f>
        <v>4120.420000000001</v>
      </c>
      <c r="D218">
        <f>IF($A218=1,D217+ROUNDDOWN(1000/$B218,0),IF(A218=2,D217,IF(A218&gt;3,IF(AND(B217&lt;B216,B216&lt;B215),IF(C217&gt;=1000,D217+ROUNDDOWN(1000/$B218,0),D217),IF($B217=MAX($B$3:$B217),0,D217)),IF($B217=MAX($B$3:$B217),0,D217))))</f>
        <v>17</v>
      </c>
      <c r="E218">
        <f t="shared" si="3"/>
        <v>0</v>
      </c>
    </row>
    <row r="219" spans="1:5" x14ac:dyDescent="0.25">
      <c r="A219">
        <v>217</v>
      </c>
      <c r="B219" s="5">
        <v>112.97</v>
      </c>
      <c r="C219" s="5">
        <f>IF($A219=1,$C$2-(ROUNDDOWN(1000/$B219,0)*$B219),IF(A219=2,C218,IF(A219&gt;3,IF(AND(B218&lt;B217,B217&lt;B216),IF(C218&gt;=1000,C218-(ROUNDDOWN(1000/$B219,0)*$B219),C218),IF($B218=MAX($B$3:$B218),C218+(D218*B219),C218)),IF($B218=MAX($B$3:$B218),C218+(D218*B219),C218))))</f>
        <v>4120.420000000001</v>
      </c>
      <c r="D219">
        <f>IF($A219=1,D218+ROUNDDOWN(1000/$B219,0),IF(A219=2,D218,IF(A219&gt;3,IF(AND(B218&lt;B217,B217&lt;B216),IF(C218&gt;=1000,D218+ROUNDDOWN(1000/$B219,0),D218),IF($B218=MAX($B$3:$B218),0,D218)),IF($B218=MAX($B$3:$B218),0,D218))))</f>
        <v>17</v>
      </c>
      <c r="E219">
        <f t="shared" si="3"/>
        <v>0</v>
      </c>
    </row>
    <row r="220" spans="1:5" x14ac:dyDescent="0.25">
      <c r="A220">
        <v>218</v>
      </c>
      <c r="B220" s="5">
        <v>114.74</v>
      </c>
      <c r="C220" s="5">
        <f>IF($A220=1,$C$2-(ROUNDDOWN(1000/$B220,0)*$B220),IF(A220=2,C219,IF(A220&gt;3,IF(AND(B219&lt;B218,B218&lt;B217),IF(C219&gt;=1000,C219-(ROUNDDOWN(1000/$B220,0)*$B220),C219),IF($B219=MAX($B$3:$B219),C219+(D219*B220),C219)),IF($B219=MAX($B$3:$B219),C219+(D219*B220),C219))))</f>
        <v>4120.420000000001</v>
      </c>
      <c r="D220">
        <f>IF($A220=1,D219+ROUNDDOWN(1000/$B220,0),IF(A220=2,D219,IF(A220&gt;3,IF(AND(B219&lt;B218,B218&lt;B217),IF(C219&gt;=1000,D219+ROUNDDOWN(1000/$B220,0),D219),IF($B219=MAX($B$3:$B219),0,D219)),IF($B219=MAX($B$3:$B219),0,D219))))</f>
        <v>17</v>
      </c>
      <c r="E220">
        <f t="shared" si="3"/>
        <v>0</v>
      </c>
    </row>
    <row r="221" spans="1:5" x14ac:dyDescent="0.25">
      <c r="A221">
        <v>219</v>
      </c>
      <c r="B221" s="5">
        <v>115.57</v>
      </c>
      <c r="C221" s="5">
        <f>IF($A221=1,$C$2-(ROUNDDOWN(1000/$B221,0)*$B221),IF(A221=2,C220,IF(A221&gt;3,IF(AND(B220&lt;B219,B219&lt;B218),IF(C220&gt;=1000,C220-(ROUNDDOWN(1000/$B221,0)*$B221),C220),IF($B220=MAX($B$3:$B220),C220+(D220*B221),C220)),IF($B220=MAX($B$3:$B220),C220+(D220*B221),C220))))</f>
        <v>4120.420000000001</v>
      </c>
      <c r="D221">
        <f>IF($A221=1,D220+ROUNDDOWN(1000/$B221,0),IF(A221=2,D220,IF(A221&gt;3,IF(AND(B220&lt;B219,B219&lt;B218),IF(C220&gt;=1000,D220+ROUNDDOWN(1000/$B221,0),D220),IF($B220=MAX($B$3:$B220),0,D220)),IF($B220=MAX($B$3:$B220),0,D220))))</f>
        <v>17</v>
      </c>
      <c r="E221">
        <f t="shared" si="3"/>
        <v>0</v>
      </c>
    </row>
    <row r="222" spans="1:5" x14ac:dyDescent="0.25">
      <c r="A222">
        <v>220</v>
      </c>
      <c r="B222" s="5">
        <v>116.87</v>
      </c>
      <c r="C222" s="5">
        <f>IF($A222=1,$C$2-(ROUNDDOWN(1000/$B222,0)*$B222),IF(A222=2,C221,IF(A222&gt;3,IF(AND(B221&lt;B220,B220&lt;B219),IF(C221&gt;=1000,C221-(ROUNDDOWN(1000/$B222,0)*$B222),C221),IF($B221=MAX($B$3:$B221),C221+(D221*B222),C221)),IF($B221=MAX($B$3:$B221),C221+(D221*B222),C221))))</f>
        <v>6107.2100000000009</v>
      </c>
      <c r="D222">
        <f>IF($A222=1,D221+ROUNDDOWN(1000/$B222,0),IF(A222=2,D221,IF(A222&gt;3,IF(AND(B221&lt;B220,B220&lt;B219),IF(C221&gt;=1000,D221+ROUNDDOWN(1000/$B222,0),D221),IF($B221=MAX($B$3:$B221),0,D221)),IF($B221=MAX($B$3:$B221),0,D221))))</f>
        <v>0</v>
      </c>
      <c r="E222">
        <f t="shared" si="3"/>
        <v>0</v>
      </c>
    </row>
    <row r="223" spans="1:5" x14ac:dyDescent="0.25">
      <c r="A223">
        <v>221</v>
      </c>
      <c r="B223" s="5">
        <v>114.98</v>
      </c>
      <c r="C223" s="5">
        <f>IF($A223=1,$C$2-(ROUNDDOWN(1000/$B223,0)*$B223),IF(A223=2,C222,IF(A223&gt;3,IF(AND(B222&lt;B221,B221&lt;B220),IF(C222&gt;=1000,C222-(ROUNDDOWN(1000/$B223,0)*$B223),C222),IF($B222=MAX($B$3:$B222),C222+(D222*B223),C222)),IF($B222=MAX($B$3:$B222),C222+(D222*B223),C222))))</f>
        <v>6107.2100000000009</v>
      </c>
      <c r="D223">
        <f>IF($A223=1,D222+ROUNDDOWN(1000/$B223,0),IF(A223=2,D222,IF(A223&gt;3,IF(AND(B222&lt;B221,B221&lt;B220),IF(C222&gt;=1000,D222+ROUNDDOWN(1000/$B223,0),D222),IF($B222=MAX($B$3:$B222),0,D222)),IF($B222=MAX($B$3:$B222),0,D222))))</f>
        <v>0</v>
      </c>
      <c r="E223">
        <f t="shared" si="3"/>
        <v>0</v>
      </c>
    </row>
    <row r="224" spans="1:5" x14ac:dyDescent="0.25">
      <c r="A224">
        <v>222</v>
      </c>
      <c r="B224" s="5">
        <v>115.04</v>
      </c>
      <c r="C224" s="5">
        <f>IF($A224=1,$C$2-(ROUNDDOWN(1000/$B224,0)*$B224),IF(A224=2,C223,IF(A224&gt;3,IF(AND(B223&lt;B222,B222&lt;B221),IF(C223&gt;=1000,C223-(ROUNDDOWN(1000/$B224,0)*$B224),C223),IF($B223=MAX($B$3:$B223),C223+(D223*B224),C223)),IF($B223=MAX($B$3:$B223),C223+(D223*B224),C223))))</f>
        <v>6107.2100000000009</v>
      </c>
      <c r="D224">
        <f>IF($A224=1,D223+ROUNDDOWN(1000/$B224,0),IF(A224=2,D223,IF(A224&gt;3,IF(AND(B223&lt;B222,B222&lt;B221),IF(C223&gt;=1000,D223+ROUNDDOWN(1000/$B224,0),D223),IF($B223=MAX($B$3:$B223),0,D223)),IF($B223=MAX($B$3:$B223),0,D223))))</f>
        <v>0</v>
      </c>
      <c r="E224">
        <f t="shared" si="3"/>
        <v>0</v>
      </c>
    </row>
    <row r="225" spans="1:5" x14ac:dyDescent="0.25">
      <c r="A225">
        <v>223</v>
      </c>
      <c r="B225" s="5">
        <v>113.31</v>
      </c>
      <c r="C225" s="5">
        <f>IF($A225=1,$C$2-(ROUNDDOWN(1000/$B225,0)*$B225),IF(A225=2,C224,IF(A225&gt;3,IF(AND(B224&lt;B223,B223&lt;B222),IF(C224&gt;=1000,C224-(ROUNDDOWN(1000/$B225,0)*$B225),C224),IF($B224=MAX($B$3:$B224),C224+(D224*B225),C224)),IF($B224=MAX($B$3:$B224),C224+(D224*B225),C224))))</f>
        <v>6107.2100000000009</v>
      </c>
      <c r="D225">
        <f>IF($A225=1,D224+ROUNDDOWN(1000/$B225,0),IF(A225=2,D224,IF(A225&gt;3,IF(AND(B224&lt;B223,B223&lt;B222),IF(C224&gt;=1000,D224+ROUNDDOWN(1000/$B225,0),D224),IF($B224=MAX($B$3:$B224),0,D224)),IF($B224=MAX($B$3:$B224),0,D224))))</f>
        <v>0</v>
      </c>
      <c r="E225">
        <f t="shared" si="3"/>
        <v>0</v>
      </c>
    </row>
    <row r="226" spans="1:5" x14ac:dyDescent="0.25">
      <c r="A226">
        <v>224</v>
      </c>
      <c r="B226" s="5">
        <v>114.96</v>
      </c>
      <c r="C226" s="5">
        <f>IF($A226=1,$C$2-(ROUNDDOWN(1000/$B226,0)*$B226),IF(A226=2,C225,IF(A226&gt;3,IF(AND(B225&lt;B224,B224&lt;B223),IF(C225&gt;=1000,C225-(ROUNDDOWN(1000/$B226,0)*$B226),C225),IF($B225=MAX($B$3:$B225),C225+(D225*B226),C225)),IF($B225=MAX($B$3:$B225),C225+(D225*B226),C225))))</f>
        <v>6107.2100000000009</v>
      </c>
      <c r="D226">
        <f>IF($A226=1,D225+ROUNDDOWN(1000/$B226,0),IF(A226=2,D225,IF(A226&gt;3,IF(AND(B225&lt;B224,B224&lt;B223),IF(C225&gt;=1000,D225+ROUNDDOWN(1000/$B226,0),D225),IF($B225=MAX($B$3:$B225),0,D225)),IF($B225=MAX($B$3:$B225),0,D225))))</f>
        <v>0</v>
      </c>
      <c r="E226">
        <f t="shared" si="3"/>
        <v>0</v>
      </c>
    </row>
    <row r="227" spans="1:5" x14ac:dyDescent="0.25">
      <c r="A227">
        <v>225</v>
      </c>
      <c r="B227" s="5">
        <v>116.8</v>
      </c>
      <c r="C227" s="5">
        <f>IF($A227=1,$C$2-(ROUNDDOWN(1000/$B227,0)*$B227),IF(A227=2,C226,IF(A227&gt;3,IF(AND(B226&lt;B225,B225&lt;B224),IF(C226&gt;=1000,C226-(ROUNDDOWN(1000/$B227,0)*$B227),C226),IF($B226=MAX($B$3:$B226),C226+(D226*B227),C226)),IF($B226=MAX($B$3:$B226),C226+(D226*B227),C226))))</f>
        <v>6107.2100000000009</v>
      </c>
      <c r="D227">
        <f>IF($A227=1,D226+ROUNDDOWN(1000/$B227,0),IF(A227=2,D226,IF(A227&gt;3,IF(AND(B226&lt;B225,B225&lt;B224),IF(C226&gt;=1000,D226+ROUNDDOWN(1000/$B227,0),D226),IF($B226=MAX($B$3:$B226),0,D226)),IF($B226=MAX($B$3:$B226),0,D226))))</f>
        <v>0</v>
      </c>
      <c r="E227">
        <f t="shared" si="3"/>
        <v>0</v>
      </c>
    </row>
    <row r="228" spans="1:5" x14ac:dyDescent="0.25">
      <c r="A228">
        <v>226</v>
      </c>
      <c r="B228" s="5">
        <v>115.36</v>
      </c>
      <c r="C228" s="5">
        <f>IF($A228=1,$C$2-(ROUNDDOWN(1000/$B228,0)*$B228),IF(A228=2,C227,IF(A228&gt;3,IF(AND(B227&lt;B226,B226&lt;B225),IF(C227&gt;=1000,C227-(ROUNDDOWN(1000/$B228,0)*$B228),C227),IF($B227=MAX($B$3:$B227),C227+(D227*B228),C227)),IF($B227=MAX($B$3:$B227),C227+(D227*B228),C227))))</f>
        <v>6107.2100000000009</v>
      </c>
      <c r="D228">
        <f>IF($A228=1,D227+ROUNDDOWN(1000/$B228,0),IF(A228=2,D227,IF(A228&gt;3,IF(AND(B227&lt;B226,B226&lt;B225),IF(C227&gt;=1000,D227+ROUNDDOWN(1000/$B228,0),D227),IF($B227=MAX($B$3:$B227),0,D227)),IF($B227=MAX($B$3:$B227),0,D227))))</f>
        <v>0</v>
      </c>
      <c r="E228">
        <f t="shared" si="3"/>
        <v>0</v>
      </c>
    </row>
    <row r="229" spans="1:5" x14ac:dyDescent="0.25">
      <c r="A229">
        <v>227</v>
      </c>
      <c r="B229" s="5">
        <v>116.53</v>
      </c>
      <c r="C229" s="5">
        <f>IF($A229=1,$C$2-(ROUNDDOWN(1000/$B229,0)*$B229),IF(A229=2,C228,IF(A229&gt;3,IF(AND(B228&lt;B227,B227&lt;B226),IF(C228&gt;=1000,C228-(ROUNDDOWN(1000/$B229,0)*$B229),C228),IF($B228=MAX($B$3:$B228),C228+(D228*B229),C228)),IF($B228=MAX($B$3:$B228),C228+(D228*B229),C228))))</f>
        <v>6107.2100000000009</v>
      </c>
      <c r="D229">
        <f>IF($A229=1,D228+ROUNDDOWN(1000/$B229,0),IF(A229=2,D228,IF(A229&gt;3,IF(AND(B228&lt;B227,B227&lt;B226),IF(C228&gt;=1000,D228+ROUNDDOWN(1000/$B229,0),D228),IF($B228=MAX($B$3:$B228),0,D228)),IF($B228=MAX($B$3:$B228),0,D228))))</f>
        <v>0</v>
      </c>
      <c r="E229">
        <f t="shared" si="3"/>
        <v>0</v>
      </c>
    </row>
    <row r="230" spans="1:5" x14ac:dyDescent="0.25">
      <c r="A230">
        <v>228</v>
      </c>
      <c r="B230" s="5">
        <v>117.96</v>
      </c>
      <c r="C230" s="5">
        <f>IF($A230=1,$C$2-(ROUNDDOWN(1000/$B230,0)*$B230),IF(A230=2,C229,IF(A230&gt;3,IF(AND(B229&lt;B228,B228&lt;B227),IF(C229&gt;=1000,C229-(ROUNDDOWN(1000/$B230,0)*$B230),C229),IF($B229=MAX($B$3:$B229),C229+(D229*B230),C229)),IF($B229=MAX($B$3:$B229),C229+(D229*B230),C229))))</f>
        <v>6107.2100000000009</v>
      </c>
      <c r="D230">
        <f>IF($A230=1,D229+ROUNDDOWN(1000/$B230,0),IF(A230=2,D229,IF(A230&gt;3,IF(AND(B229&lt;B228,B228&lt;B227),IF(C229&gt;=1000,D229+ROUNDDOWN(1000/$B230,0),D229),IF($B229=MAX($B$3:$B229),0,D229)),IF($B229=MAX($B$3:$B229),0,D229))))</f>
        <v>0</v>
      </c>
      <c r="E230">
        <f t="shared" si="3"/>
        <v>0</v>
      </c>
    </row>
    <row r="231" spans="1:5" x14ac:dyDescent="0.25">
      <c r="A231">
        <v>229</v>
      </c>
      <c r="B231" s="5">
        <v>118.03</v>
      </c>
      <c r="C231" s="5">
        <f>IF($A231=1,$C$2-(ROUNDDOWN(1000/$B231,0)*$B231),IF(A231=2,C230,IF(A231&gt;3,IF(AND(B230&lt;B229,B229&lt;B228),IF(C230&gt;=1000,C230-(ROUNDDOWN(1000/$B231,0)*$B231),C230),IF($B230=MAX($B$3:$B230),C230+(D230*B231),C230)),IF($B230=MAX($B$3:$B230),C230+(D230*B231),C230))))</f>
        <v>6107.2100000000009</v>
      </c>
      <c r="D231">
        <f>IF($A231=1,D230+ROUNDDOWN(1000/$B231,0),IF(A231=2,D230,IF(A231&gt;3,IF(AND(B230&lt;B229,B229&lt;B228),IF(C230&gt;=1000,D230+ROUNDDOWN(1000/$B231,0),D230),IF($B230=MAX($B$3:$B230),0,D230)),IF($B230=MAX($B$3:$B230),0,D230))))</f>
        <v>0</v>
      </c>
      <c r="E231">
        <f t="shared" si="3"/>
        <v>0</v>
      </c>
    </row>
    <row r="232" spans="1:5" x14ac:dyDescent="0.25">
      <c r="A232">
        <v>230</v>
      </c>
      <c r="B232" s="5">
        <v>119.61</v>
      </c>
      <c r="C232" s="5">
        <f>IF($A232=1,$C$2-(ROUNDDOWN(1000/$B232,0)*$B232),IF(A232=2,C231,IF(A232&gt;3,IF(AND(B231&lt;B230,B230&lt;B229),IF(C231&gt;=1000,C231-(ROUNDDOWN(1000/$B232,0)*$B232),C231),IF($B231=MAX($B$3:$B231),C231+(D231*B232),C231)),IF($B231=MAX($B$3:$B231),C231+(D231*B232),C231))))</f>
        <v>6107.2100000000009</v>
      </c>
      <c r="D232">
        <f>IF($A232=1,D231+ROUNDDOWN(1000/$B232,0),IF(A232=2,D231,IF(A232&gt;3,IF(AND(B231&lt;B230,B230&lt;B229),IF(C231&gt;=1000,D231+ROUNDDOWN(1000/$B232,0),D231),IF($B231=MAX($B$3:$B231),0,D231)),IF($B231=MAX($B$3:$B231),0,D231))))</f>
        <v>0</v>
      </c>
      <c r="E232">
        <f t="shared" si="3"/>
        <v>0</v>
      </c>
    </row>
    <row r="233" spans="1:5" x14ac:dyDescent="0.25">
      <c r="A233">
        <v>231</v>
      </c>
      <c r="B233" s="5">
        <v>120.03</v>
      </c>
      <c r="C233" s="5">
        <f>IF($A233=1,$C$2-(ROUNDDOWN(1000/$B233,0)*$B233),IF(A233=2,C232,IF(A233&gt;3,IF(AND(B232&lt;B231,B231&lt;B230),IF(C232&gt;=1000,C232-(ROUNDDOWN(1000/$B233,0)*$B233),C232),IF($B232=MAX($B$3:$B232),C232+(D232*B233),C232)),IF($B232=MAX($B$3:$B232),C232+(D232*B233),C232))))</f>
        <v>6107.2100000000009</v>
      </c>
      <c r="D233">
        <f>IF($A233=1,D232+ROUNDDOWN(1000/$B233,0),IF(A233=2,D232,IF(A233&gt;3,IF(AND(B232&lt;B231,B231&lt;B230),IF(C232&gt;=1000,D232+ROUNDDOWN(1000/$B233,0),D232),IF($B232=MAX($B$3:$B232),0,D232)),IF($B232=MAX($B$3:$B232),0,D232))))</f>
        <v>0</v>
      </c>
      <c r="E233">
        <f t="shared" si="3"/>
        <v>0</v>
      </c>
    </row>
    <row r="234" spans="1:5" x14ac:dyDescent="0.25">
      <c r="A234">
        <v>232</v>
      </c>
      <c r="B234" s="5">
        <v>121.42</v>
      </c>
      <c r="C234" s="5">
        <f>IF($A234=1,$C$2-(ROUNDDOWN(1000/$B234,0)*$B234),IF(A234=2,C233,IF(A234&gt;3,IF(AND(B233&lt;B232,B232&lt;B231),IF(C233&gt;=1000,C233-(ROUNDDOWN(1000/$B234,0)*$B234),C233),IF($B233=MAX($B$3:$B233),C233+(D233*B234),C233)),IF($B233=MAX($B$3:$B233),C233+(D233*B234),C233))))</f>
        <v>6107.2100000000009</v>
      </c>
      <c r="D234">
        <f>IF($A234=1,D233+ROUNDDOWN(1000/$B234,0),IF(A234=2,D233,IF(A234&gt;3,IF(AND(B233&lt;B232,B232&lt;B231),IF(C233&gt;=1000,D233+ROUNDDOWN(1000/$B234,0),D233),IF($B233=MAX($B$3:$B233),0,D233)),IF($B233=MAX($B$3:$B233),0,D233))))</f>
        <v>0</v>
      </c>
      <c r="E234">
        <f t="shared" si="3"/>
        <v>0</v>
      </c>
    </row>
    <row r="235" spans="1:5" x14ac:dyDescent="0.25">
      <c r="A235">
        <v>233</v>
      </c>
      <c r="B235" s="5">
        <v>119.78</v>
      </c>
      <c r="C235" s="5">
        <f>IF($A235=1,$C$2-(ROUNDDOWN(1000/$B235,0)*$B235),IF(A235=2,C234,IF(A235&gt;3,IF(AND(B234&lt;B233,B233&lt;B232),IF(C234&gt;=1000,C234-(ROUNDDOWN(1000/$B235,0)*$B235),C234),IF($B234=MAX($B$3:$B234),C234+(D234*B235),C234)),IF($B234=MAX($B$3:$B234),C234+(D234*B235),C234))))</f>
        <v>6107.2100000000009</v>
      </c>
      <c r="D235">
        <f>IF($A235=1,D234+ROUNDDOWN(1000/$B235,0),IF(A235=2,D234,IF(A235&gt;3,IF(AND(B234&lt;B233,B233&lt;B232),IF(C234&gt;=1000,D234+ROUNDDOWN(1000/$B235,0),D234),IF($B234=MAX($B$3:$B234),0,D234)),IF($B234=MAX($B$3:$B234),0,D234))))</f>
        <v>0</v>
      </c>
      <c r="E235">
        <f t="shared" si="3"/>
        <v>0</v>
      </c>
    </row>
    <row r="236" spans="1:5" x14ac:dyDescent="0.25">
      <c r="A236">
        <v>234</v>
      </c>
      <c r="B236" s="5">
        <v>117.8</v>
      </c>
      <c r="C236" s="5">
        <f>IF($A236=1,$C$2-(ROUNDDOWN(1000/$B236,0)*$B236),IF(A236=2,C235,IF(A236&gt;3,IF(AND(B235&lt;B234,B234&lt;B233),IF(C235&gt;=1000,C235-(ROUNDDOWN(1000/$B236,0)*$B236),C235),IF($B235=MAX($B$3:$B235),C235+(D235*B236),C235)),IF($B235=MAX($B$3:$B235),C235+(D235*B236),C235))))</f>
        <v>6107.2100000000009</v>
      </c>
      <c r="D236">
        <f>IF($A236=1,D235+ROUNDDOWN(1000/$B236,0),IF(A236=2,D235,IF(A236&gt;3,IF(AND(B235&lt;B234,B234&lt;B233),IF(C235&gt;=1000,D235+ROUNDDOWN(1000/$B236,0),D235),IF($B235=MAX($B$3:$B235),0,D235)),IF($B235=MAX($B$3:$B235),0,D235))))</f>
        <v>0</v>
      </c>
      <c r="E236">
        <f t="shared" si="3"/>
        <v>0</v>
      </c>
    </row>
    <row r="237" spans="1:5" x14ac:dyDescent="0.25">
      <c r="A237">
        <v>235</v>
      </c>
      <c r="B237" s="5">
        <v>118.56</v>
      </c>
      <c r="C237" s="5">
        <f>IF($A237=1,$C$2-(ROUNDDOWN(1000/$B237,0)*$B237),IF(A237=2,C236,IF(A237&gt;3,IF(AND(B236&lt;B235,B235&lt;B234),IF(C236&gt;=1000,C236-(ROUNDDOWN(1000/$B237,0)*$B237),C236),IF($B236=MAX($B$3:$B236),C236+(D236*B237),C236)),IF($B236=MAX($B$3:$B236),C236+(D236*B237),C236))))</f>
        <v>5158.7300000000014</v>
      </c>
      <c r="D237">
        <f>IF($A237=1,D236+ROUNDDOWN(1000/$B237,0),IF(A237=2,D236,IF(A237&gt;3,IF(AND(B236&lt;B235,B235&lt;B234),IF(C236&gt;=1000,D236+ROUNDDOWN(1000/$B237,0),D236),IF($B236=MAX($B$3:$B236),0,D236)),IF($B236=MAX($B$3:$B236),0,D236))))</f>
        <v>8</v>
      </c>
      <c r="E237">
        <f t="shared" si="3"/>
        <v>1</v>
      </c>
    </row>
    <row r="238" spans="1:5" x14ac:dyDescent="0.25">
      <c r="A238">
        <v>236</v>
      </c>
      <c r="B238" s="5">
        <v>119.36</v>
      </c>
      <c r="C238" s="5">
        <f>IF($A238=1,$C$2-(ROUNDDOWN(1000/$B238,0)*$B238),IF(A238=2,C237,IF(A238&gt;3,IF(AND(B237&lt;B236,B236&lt;B235),IF(C237&gt;=1000,C237-(ROUNDDOWN(1000/$B238,0)*$B238),C237),IF($B237=MAX($B$3:$B237),C237+(D237*B238),C237)),IF($B237=MAX($B$3:$B237),C237+(D237*B238),C237))))</f>
        <v>5158.7300000000014</v>
      </c>
      <c r="D238">
        <f>IF($A238=1,D237+ROUNDDOWN(1000/$B238,0),IF(A238=2,D237,IF(A238&gt;3,IF(AND(B237&lt;B236,B236&lt;B235),IF(C237&gt;=1000,D237+ROUNDDOWN(1000/$B238,0),D237),IF($B237=MAX($B$3:$B237),0,D237)),IF($B237=MAX($B$3:$B237),0,D237))))</f>
        <v>8</v>
      </c>
      <c r="E238">
        <f t="shared" si="3"/>
        <v>0</v>
      </c>
    </row>
    <row r="239" spans="1:5" x14ac:dyDescent="0.25">
      <c r="A239">
        <v>237</v>
      </c>
      <c r="B239" s="5">
        <v>121.42</v>
      </c>
      <c r="C239" s="5">
        <f>IF($A239=1,$C$2-(ROUNDDOWN(1000/$B239,0)*$B239),IF(A239=2,C238,IF(A239&gt;3,IF(AND(B238&lt;B237,B237&lt;B236),IF(C238&gt;=1000,C238-(ROUNDDOWN(1000/$B239,0)*$B239),C238),IF($B238=MAX($B$3:$B238),C238+(D238*B239),C238)),IF($B238=MAX($B$3:$B238),C238+(D238*B239),C238))))</f>
        <v>5158.7300000000014</v>
      </c>
      <c r="D239">
        <f>IF($A239=1,D238+ROUNDDOWN(1000/$B239,0),IF(A239=2,D238,IF(A239&gt;3,IF(AND(B238&lt;B237,B237&lt;B236),IF(C238&gt;=1000,D238+ROUNDDOWN(1000/$B239,0),D238),IF($B238=MAX($B$3:$B238),0,D238)),IF($B238=MAX($B$3:$B238),0,D238))))</f>
        <v>8</v>
      </c>
      <c r="E239">
        <f t="shared" si="3"/>
        <v>0</v>
      </c>
    </row>
    <row r="240" spans="1:5" x14ac:dyDescent="0.25">
      <c r="A240">
        <v>238</v>
      </c>
      <c r="B240" s="5">
        <v>122.84</v>
      </c>
      <c r="C240" s="5">
        <f>IF($A240=1,$C$2-(ROUNDDOWN(1000/$B240,0)*$B240),IF(A240=2,C239,IF(A240&gt;3,IF(AND(B239&lt;B238,B238&lt;B237),IF(C239&gt;=1000,C239-(ROUNDDOWN(1000/$B240,0)*$B240),C239),IF($B239=MAX($B$3:$B239),C239+(D239*B240),C239)),IF($B239=MAX($B$3:$B239),C239+(D239*B240),C239))))</f>
        <v>6141.4500000000016</v>
      </c>
      <c r="D240">
        <f>IF($A240=1,D239+ROUNDDOWN(1000/$B240,0),IF(A240=2,D239,IF(A240&gt;3,IF(AND(B239&lt;B238,B238&lt;B237),IF(C239&gt;=1000,D239+ROUNDDOWN(1000/$B240,0),D239),IF($B239=MAX($B$3:$B239),0,D239)),IF($B239=MAX($B$3:$B239),0,D239))))</f>
        <v>0</v>
      </c>
      <c r="E240">
        <f t="shared" si="3"/>
        <v>0</v>
      </c>
    </row>
    <row r="241" spans="1:5" x14ac:dyDescent="0.25">
      <c r="A241">
        <v>239</v>
      </c>
      <c r="B241" s="5">
        <v>123.27</v>
      </c>
      <c r="C241" s="5">
        <f>IF($A241=1,$C$2-(ROUNDDOWN(1000/$B241,0)*$B241),IF(A241=2,C240,IF(A241&gt;3,IF(AND(B240&lt;B239,B239&lt;B238),IF(C240&gt;=1000,C240-(ROUNDDOWN(1000/$B241,0)*$B241),C240),IF($B240=MAX($B$3:$B240),C240+(D240*B241),C240)),IF($B240=MAX($B$3:$B240),C240+(D240*B241),C240))))</f>
        <v>6141.4500000000016</v>
      </c>
      <c r="D241">
        <f>IF($A241=1,D240+ROUNDDOWN(1000/$B241,0),IF(A241=2,D240,IF(A241&gt;3,IF(AND(B240&lt;B239,B239&lt;B238),IF(C240&gt;=1000,D240+ROUNDDOWN(1000/$B241,0),D240),IF($B240=MAX($B$3:$B240),0,D240)),IF($B240=MAX($B$3:$B240),0,D240))))</f>
        <v>0</v>
      </c>
      <c r="E241">
        <f t="shared" si="3"/>
        <v>0</v>
      </c>
    </row>
    <row r="242" spans="1:5" x14ac:dyDescent="0.25">
      <c r="A242">
        <v>240</v>
      </c>
      <c r="B242" s="5">
        <v>124.11</v>
      </c>
      <c r="C242" s="5">
        <f>IF($A242=1,$C$2-(ROUNDDOWN(1000/$B242,0)*$B242),IF(A242=2,C241,IF(A242&gt;3,IF(AND(B241&lt;B240,B240&lt;B239),IF(C241&gt;=1000,C241-(ROUNDDOWN(1000/$B242,0)*$B242),C241),IF($B241=MAX($B$3:$B241),C241+(D241*B242),C241)),IF($B241=MAX($B$3:$B241),C241+(D241*B242),C241))))</f>
        <v>6141.4500000000016</v>
      </c>
      <c r="D242">
        <f>IF($A242=1,D241+ROUNDDOWN(1000/$B242,0),IF(A242=2,D241,IF(A242&gt;3,IF(AND(B241&lt;B240,B240&lt;B239),IF(C241&gt;=1000,D241+ROUNDDOWN(1000/$B242,0),D241),IF($B241=MAX($B$3:$B241),0,D241)),IF($B241=MAX($B$3:$B241),0,D241))))</f>
        <v>0</v>
      </c>
      <c r="E242">
        <f t="shared" si="3"/>
        <v>0</v>
      </c>
    </row>
    <row r="243" spans="1:5" x14ac:dyDescent="0.25">
      <c r="A243">
        <v>241</v>
      </c>
      <c r="B243" s="5">
        <v>122.69</v>
      </c>
      <c r="C243" s="5">
        <f>IF($A243=1,$C$2-(ROUNDDOWN(1000/$B243,0)*$B243),IF(A243=2,C242,IF(A243&gt;3,IF(AND(B242&lt;B241,B241&lt;B240),IF(C242&gt;=1000,C242-(ROUNDDOWN(1000/$B243,0)*$B243),C242),IF($B242=MAX($B$3:$B242),C242+(D242*B243),C242)),IF($B242=MAX($B$3:$B242),C242+(D242*B243),C242))))</f>
        <v>6141.4500000000016</v>
      </c>
      <c r="D243">
        <f>IF($A243=1,D242+ROUNDDOWN(1000/$B243,0),IF(A243=2,D242,IF(A243&gt;3,IF(AND(B242&lt;B241,B241&lt;B240),IF(C242&gt;=1000,D242+ROUNDDOWN(1000/$B243,0),D242),IF($B242=MAX($B$3:$B242),0,D242)),IF($B242=MAX($B$3:$B242),0,D242))))</f>
        <v>0</v>
      </c>
      <c r="E243">
        <f t="shared" si="3"/>
        <v>0</v>
      </c>
    </row>
    <row r="244" spans="1:5" x14ac:dyDescent="0.25">
      <c r="A244">
        <v>242</v>
      </c>
      <c r="B244" s="5">
        <v>123.41</v>
      </c>
      <c r="C244" s="5">
        <f>IF($A244=1,$C$2-(ROUNDDOWN(1000/$B244,0)*$B244),IF(A244=2,C243,IF(A244&gt;3,IF(AND(B243&lt;B242,B242&lt;B241),IF(C243&gt;=1000,C243-(ROUNDDOWN(1000/$B244,0)*$B244),C243),IF($B243=MAX($B$3:$B243),C243+(D243*B244),C243)),IF($B243=MAX($B$3:$B243),C243+(D243*B244),C243))))</f>
        <v>6141.4500000000016</v>
      </c>
      <c r="D244">
        <f>IF($A244=1,D243+ROUNDDOWN(1000/$B244,0),IF(A244=2,D243,IF(A244&gt;3,IF(AND(B243&lt;B242,B242&lt;B241),IF(C243&gt;=1000,D243+ROUNDDOWN(1000/$B244,0),D243),IF($B243=MAX($B$3:$B243),0,D243)),IF($B243=MAX($B$3:$B243),0,D243))))</f>
        <v>0</v>
      </c>
      <c r="E244">
        <f t="shared" si="3"/>
        <v>0</v>
      </c>
    </row>
    <row r="245" spans="1:5" x14ac:dyDescent="0.25">
      <c r="A245">
        <v>243</v>
      </c>
      <c r="B245" s="5">
        <v>124.95</v>
      </c>
      <c r="C245" s="5">
        <f>IF($A245=1,$C$2-(ROUNDDOWN(1000/$B245,0)*$B245),IF(A245=2,C244,IF(A245&gt;3,IF(AND(B244&lt;B243,B243&lt;B242),IF(C244&gt;=1000,C244-(ROUNDDOWN(1000/$B245,0)*$B245),C244),IF($B244=MAX($B$3:$B244),C244+(D244*B245),C244)),IF($B244=MAX($B$3:$B244),C244+(D244*B245),C244))))</f>
        <v>6141.4500000000016</v>
      </c>
      <c r="D245">
        <f>IF($A245=1,D244+ROUNDDOWN(1000/$B245,0),IF(A245=2,D244,IF(A245&gt;3,IF(AND(B244&lt;B243,B243&lt;B242),IF(C244&gt;=1000,D244+ROUNDDOWN(1000/$B245,0),D244),IF($B244=MAX($B$3:$B244),0,D244)),IF($B244=MAX($B$3:$B244),0,D244))))</f>
        <v>0</v>
      </c>
      <c r="E245">
        <f t="shared" si="3"/>
        <v>0</v>
      </c>
    </row>
    <row r="246" spans="1:5" x14ac:dyDescent="0.25">
      <c r="A246">
        <v>244</v>
      </c>
      <c r="B246" s="5">
        <v>123.43</v>
      </c>
      <c r="C246" s="5">
        <f>IF($A246=1,$C$2-(ROUNDDOWN(1000/$B246,0)*$B246),IF(A246=2,C245,IF(A246&gt;3,IF(AND(B245&lt;B244,B244&lt;B243),IF(C245&gt;=1000,C245-(ROUNDDOWN(1000/$B246,0)*$B246),C245),IF($B245=MAX($B$3:$B245),C245+(D245*B246),C245)),IF($B245=MAX($B$3:$B245),C245+(D245*B246),C245))))</f>
        <v>6141.4500000000016</v>
      </c>
      <c r="D246">
        <f>IF($A246=1,D245+ROUNDDOWN(1000/$B246,0),IF(A246=2,D245,IF(A246&gt;3,IF(AND(B245&lt;B244,B244&lt;B243),IF(C245&gt;=1000,D245+ROUNDDOWN(1000/$B246,0),D245),IF($B245=MAX($B$3:$B245),0,D245)),IF($B245=MAX($B$3:$B245),0,D245))))</f>
        <v>0</v>
      </c>
      <c r="E246">
        <f t="shared" si="3"/>
        <v>0</v>
      </c>
    </row>
    <row r="247" spans="1:5" x14ac:dyDescent="0.25">
      <c r="A247">
        <v>245</v>
      </c>
      <c r="B247" s="5">
        <v>124.69</v>
      </c>
      <c r="C247" s="5">
        <f>IF($A247=1,$C$2-(ROUNDDOWN(1000/$B247,0)*$B247),IF(A247=2,C246,IF(A247&gt;3,IF(AND(B246&lt;B245,B245&lt;B244),IF(C246&gt;=1000,C246-(ROUNDDOWN(1000/$B247,0)*$B247),C246),IF($B246=MAX($B$3:$B246),C246+(D246*B247),C246)),IF($B246=MAX($B$3:$B246),C246+(D246*B247),C246))))</f>
        <v>6141.4500000000016</v>
      </c>
      <c r="D247">
        <f>IF($A247=1,D246+ROUNDDOWN(1000/$B247,0),IF(A247=2,D246,IF(A247&gt;3,IF(AND(B246&lt;B245,B245&lt;B244),IF(C246&gt;=1000,D246+ROUNDDOWN(1000/$B247,0),D246),IF($B246=MAX($B$3:$B246),0,D246)),IF($B246=MAX($B$3:$B246),0,D246))))</f>
        <v>0</v>
      </c>
      <c r="E247">
        <f t="shared" si="3"/>
        <v>0</v>
      </c>
    </row>
    <row r="248" spans="1:5" x14ac:dyDescent="0.25">
      <c r="A248">
        <v>246</v>
      </c>
      <c r="B248" s="5">
        <v>126.35</v>
      </c>
      <c r="C248" s="5">
        <f>IF($A248=1,$C$2-(ROUNDDOWN(1000/$B248,0)*$B248),IF(A248=2,C247,IF(A248&gt;3,IF(AND(B247&lt;B246,B246&lt;B245),IF(C247&gt;=1000,C247-(ROUNDDOWN(1000/$B248,0)*$B248),C247),IF($B247=MAX($B$3:$B247),C247+(D247*B248),C247)),IF($B247=MAX($B$3:$B247),C247+(D247*B248),C247))))</f>
        <v>6141.4500000000016</v>
      </c>
      <c r="D248">
        <f>IF($A248=1,D247+ROUNDDOWN(1000/$B248,0),IF(A248=2,D247,IF(A248&gt;3,IF(AND(B247&lt;B246,B246&lt;B245),IF(C247&gt;=1000,D247+ROUNDDOWN(1000/$B248,0),D247),IF($B247=MAX($B$3:$B247),0,D247)),IF($B247=MAX($B$3:$B247),0,D247))))</f>
        <v>0</v>
      </c>
      <c r="E248">
        <f t="shared" si="3"/>
        <v>0</v>
      </c>
    </row>
    <row r="249" spans="1:5" x14ac:dyDescent="0.25">
      <c r="A249">
        <v>247</v>
      </c>
      <c r="B249" s="5">
        <v>128.30000000000001</v>
      </c>
      <c r="C249" s="5">
        <f>IF($A249=1,$C$2-(ROUNDDOWN(1000/$B249,0)*$B249),IF(A249=2,C248,IF(A249&gt;3,IF(AND(B248&lt;B247,B247&lt;B246),IF(C248&gt;=1000,C248-(ROUNDDOWN(1000/$B249,0)*$B249),C248),IF($B248=MAX($B$3:$B248),C248+(D248*B249),C248)),IF($B248=MAX($B$3:$B248),C248+(D248*B249),C248))))</f>
        <v>6141.4500000000016</v>
      </c>
      <c r="D249">
        <f>IF($A249=1,D248+ROUNDDOWN(1000/$B249,0),IF(A249=2,D248,IF(A249&gt;3,IF(AND(B248&lt;B247,B247&lt;B246),IF(C248&gt;=1000,D248+ROUNDDOWN(1000/$B249,0),D248),IF($B248=MAX($B$3:$B248),0,D248)),IF($B248=MAX($B$3:$B248),0,D248))))</f>
        <v>0</v>
      </c>
      <c r="E249">
        <f t="shared" si="3"/>
        <v>0</v>
      </c>
    </row>
    <row r="250" spans="1:5" x14ac:dyDescent="0.25">
      <c r="A250">
        <v>248</v>
      </c>
      <c r="B250" s="5">
        <v>130.11000000000001</v>
      </c>
      <c r="C250" s="5">
        <f>IF($A250=1,$C$2-(ROUNDDOWN(1000/$B250,0)*$B250),IF(A250=2,C249,IF(A250&gt;3,IF(AND(B249&lt;B248,B248&lt;B247),IF(C249&gt;=1000,C249-(ROUNDDOWN(1000/$B250,0)*$B250),C249),IF($B249=MAX($B$3:$B249),C249+(D249*B250),C249)),IF($B249=MAX($B$3:$B249),C249+(D249*B250),C249))))</f>
        <v>6141.4500000000016</v>
      </c>
      <c r="D250">
        <f>IF($A250=1,D249+ROUNDDOWN(1000/$B250,0),IF(A250=2,D249,IF(A250&gt;3,IF(AND(B249&lt;B248,B248&lt;B247),IF(C249&gt;=1000,D249+ROUNDDOWN(1000/$B250,0),D249),IF($B249=MAX($B$3:$B249),0,D249)),IF($B249=MAX($B$3:$B249),0,D249))))</f>
        <v>0</v>
      </c>
      <c r="E250">
        <f t="shared" si="3"/>
        <v>0</v>
      </c>
    </row>
    <row r="251" spans="1:5" x14ac:dyDescent="0.25">
      <c r="A251">
        <v>249</v>
      </c>
      <c r="B251" s="5">
        <v>131.28</v>
      </c>
      <c r="C251" s="5">
        <f>IF($A251=1,$C$2-(ROUNDDOWN(1000/$B251,0)*$B251),IF(A251=2,C250,IF(A251&gt;3,IF(AND(B250&lt;B249,B249&lt;B248),IF(C250&gt;=1000,C250-(ROUNDDOWN(1000/$B251,0)*$B251),C250),IF($B250=MAX($B$3:$B250),C250+(D250*B251),C250)),IF($B250=MAX($B$3:$B250),C250+(D250*B251),C250))))</f>
        <v>6141.4500000000016</v>
      </c>
      <c r="D251">
        <f>IF($A251=1,D250+ROUNDDOWN(1000/$B251,0),IF(A251=2,D250,IF(A251&gt;3,IF(AND(B250&lt;B249,B249&lt;B248),IF(C250&gt;=1000,D250+ROUNDDOWN(1000/$B251,0),D250),IF($B250=MAX($B$3:$B250),0,D250)),IF($B250=MAX($B$3:$B250),0,D250))))</f>
        <v>0</v>
      </c>
      <c r="E251">
        <f t="shared" si="3"/>
        <v>0</v>
      </c>
    </row>
    <row r="252" spans="1:5" x14ac:dyDescent="0.25">
      <c r="A252">
        <v>250</v>
      </c>
      <c r="B252" s="5">
        <v>129.41</v>
      </c>
      <c r="C252" s="5">
        <f>IF($A252=1,$C$2-(ROUNDDOWN(1000/$B252,0)*$B252),IF(A252=2,C251,IF(A252&gt;3,IF(AND(B251&lt;B250,B250&lt;B249),IF(C251&gt;=1000,C251-(ROUNDDOWN(1000/$B252,0)*$B252),C251),IF($B251=MAX($B$3:$B251),C251+(D251*B252),C251)),IF($B251=MAX($B$3:$B251),C251+(D251*B252),C251))))</f>
        <v>6141.4500000000016</v>
      </c>
      <c r="D252">
        <f>IF($A252=1,D251+ROUNDDOWN(1000/$B252,0),IF(A252=2,D251,IF(A252&gt;3,IF(AND(B251&lt;B250,B250&lt;B249),IF(C251&gt;=1000,D251+ROUNDDOWN(1000/$B252,0),D251),IF($B251=MAX($B$3:$B251),0,D251)),IF($B251=MAX($B$3:$B251),0,D251))))</f>
        <v>0</v>
      </c>
      <c r="E252">
        <f t="shared" si="3"/>
        <v>0</v>
      </c>
    </row>
    <row r="253" spans="1:5" x14ac:dyDescent="0.25">
      <c r="A253">
        <v>251</v>
      </c>
      <c r="B253" s="5">
        <v>130.46</v>
      </c>
      <c r="C253" s="5">
        <f>IF($A253=1,$C$2-(ROUNDDOWN(1000/$B253,0)*$B253),IF(A253=2,C252,IF(A253&gt;3,IF(AND(B252&lt;B251,B251&lt;B250),IF(C252&gt;=1000,C252-(ROUNDDOWN(1000/$B253,0)*$B253),C252),IF($B252=MAX($B$3:$B252),C252+(D252*B253),C252)),IF($B252=MAX($B$3:$B252),C252+(D252*B253),C252))))</f>
        <v>6141.4500000000016</v>
      </c>
      <c r="D253">
        <f>IF($A253=1,D252+ROUNDDOWN(1000/$B253,0),IF(A253=2,D252,IF(A253&gt;3,IF(AND(B252&lt;B251,B251&lt;B250),IF(C252&gt;=1000,D252+ROUNDDOWN(1000/$B253,0),D252),IF($B252=MAX($B$3:$B252),0,D252)),IF($B252=MAX($B$3:$B252),0,D252))))</f>
        <v>0</v>
      </c>
      <c r="E253">
        <f t="shared" si="3"/>
        <v>0</v>
      </c>
    </row>
    <row r="254" spans="1:5" x14ac:dyDescent="0.25">
      <c r="A254">
        <v>252</v>
      </c>
      <c r="B254" s="5">
        <v>128.5</v>
      </c>
      <c r="C254" s="5">
        <f>IF($A254=1,$C$2-(ROUNDDOWN(1000/$B254,0)*$B254),IF(A254=2,C253,IF(A254&gt;3,IF(AND(B253&lt;B252,B252&lt;B251),IF(C253&gt;=1000,C253-(ROUNDDOWN(1000/$B254,0)*$B254),C253),IF($B253=MAX($B$3:$B253),C253+(D253*B254),C253)),IF($B253=MAX($B$3:$B253),C253+(D253*B254),C253))))</f>
        <v>6141.4500000000016</v>
      </c>
      <c r="D254">
        <f>IF($A254=1,D253+ROUNDDOWN(1000/$B254,0),IF(A254=2,D253,IF(A254&gt;3,IF(AND(B253&lt;B252,B252&lt;B251),IF(C253&gt;=1000,D253+ROUNDDOWN(1000/$B254,0),D253),IF($B253=MAX($B$3:$B253),0,D253)),IF($B253=MAX($B$3:$B253),0,D253))))</f>
        <v>0</v>
      </c>
      <c r="E254">
        <f t="shared" si="3"/>
        <v>0</v>
      </c>
    </row>
    <row r="255" spans="1:5" x14ac:dyDescent="0.25">
      <c r="A255">
        <v>253</v>
      </c>
      <c r="B255" s="5">
        <v>130.22</v>
      </c>
      <c r="C255" s="5">
        <f>IF($A255=1,$C$2-(ROUNDDOWN(1000/$B255,0)*$B255),IF(A255=2,C254,IF(A255&gt;3,IF(AND(B254&lt;B253,B253&lt;B252),IF(C254&gt;=1000,C254-(ROUNDDOWN(1000/$B255,0)*$B255),C254),IF($B254=MAX($B$3:$B254),C254+(D254*B255),C254)),IF($B254=MAX($B$3:$B254),C254+(D254*B255),C254))))</f>
        <v>6141.4500000000016</v>
      </c>
      <c r="D255">
        <f>IF($A255=1,D254+ROUNDDOWN(1000/$B255,0),IF(A255=2,D254,IF(A255&gt;3,IF(AND(B254&lt;B253,B253&lt;B252),IF(C254&gt;=1000,D254+ROUNDDOWN(1000/$B255,0),D254),IF($B254=MAX($B$3:$B254),0,D254)),IF($B254=MAX($B$3:$B254),0,D254))))</f>
        <v>0</v>
      </c>
      <c r="E255">
        <f t="shared" si="3"/>
        <v>0</v>
      </c>
    </row>
    <row r="256" spans="1:5" x14ac:dyDescent="0.25">
      <c r="A256">
        <v>254</v>
      </c>
      <c r="B256" s="5">
        <v>128.71</v>
      </c>
      <c r="C256" s="5">
        <f>IF($A256=1,$C$2-(ROUNDDOWN(1000/$B256,0)*$B256),IF(A256=2,C255,IF(A256&gt;3,IF(AND(B255&lt;B254,B254&lt;B253),IF(C255&gt;=1000,C255-(ROUNDDOWN(1000/$B256,0)*$B256),C255),IF($B255=MAX($B$3:$B255),C255+(D255*B256),C255)),IF($B255=MAX($B$3:$B255),C255+(D255*B256),C255))))</f>
        <v>6141.4500000000016</v>
      </c>
      <c r="D256">
        <f>IF($A256=1,D255+ROUNDDOWN(1000/$B256,0),IF(A256=2,D255,IF(A256&gt;3,IF(AND(B255&lt;B254,B254&lt;B253),IF(C255&gt;=1000,D255+ROUNDDOWN(1000/$B256,0),D255),IF($B255=MAX($B$3:$B255),0,D255)),IF($B255=MAX($B$3:$B255),0,D255))))</f>
        <v>0</v>
      </c>
      <c r="E256">
        <f t="shared" si="3"/>
        <v>0</v>
      </c>
    </row>
    <row r="257" spans="1:5" x14ac:dyDescent="0.25">
      <c r="A257">
        <v>255</v>
      </c>
      <c r="B257" s="5">
        <v>129.19999999999999</v>
      </c>
      <c r="C257" s="5">
        <f>IF($A257=1,$C$2-(ROUNDDOWN(1000/$B257,0)*$B257),IF(A257=2,C256,IF(A257&gt;3,IF(AND(B256&lt;B255,B255&lt;B254),IF(C256&gt;=1000,C256-(ROUNDDOWN(1000/$B257,0)*$B257),C256),IF($B256=MAX($B$3:$B256),C256+(D256*B257),C256)),IF($B256=MAX($B$3:$B256),C256+(D256*B257),C256))))</f>
        <v>6141.4500000000016</v>
      </c>
      <c r="D257">
        <f>IF($A257=1,D256+ROUNDDOWN(1000/$B257,0),IF(A257=2,D256,IF(A257&gt;3,IF(AND(B256&lt;B255,B255&lt;B254),IF(C256&gt;=1000,D256+ROUNDDOWN(1000/$B257,0),D256),IF($B256=MAX($B$3:$B256),0,D256)),IF($B256=MAX($B$3:$B256),0,D256))))</f>
        <v>0</v>
      </c>
      <c r="E257">
        <f t="shared" si="3"/>
        <v>0</v>
      </c>
    </row>
    <row r="258" spans="1:5" x14ac:dyDescent="0.25">
      <c r="A258">
        <v>256</v>
      </c>
      <c r="B258" s="5">
        <v>127.53</v>
      </c>
      <c r="C258" s="5">
        <f>IF($A258=1,$C$2-(ROUNDDOWN(1000/$B258,0)*$B258),IF(A258=2,C257,IF(A258&gt;3,IF(AND(B257&lt;B256,B256&lt;B255),IF(C257&gt;=1000,C257-(ROUNDDOWN(1000/$B258,0)*$B258),C257),IF($B257=MAX($B$3:$B257),C257+(D257*B258),C257)),IF($B257=MAX($B$3:$B257),C257+(D257*B258),C257))))</f>
        <v>6141.4500000000016</v>
      </c>
      <c r="D258">
        <f>IF($A258=1,D257+ROUNDDOWN(1000/$B258,0),IF(A258=2,D257,IF(A258&gt;3,IF(AND(B257&lt;B256,B256&lt;B255),IF(C257&gt;=1000,D257+ROUNDDOWN(1000/$B258,0),D257),IF($B257=MAX($B$3:$B257),0,D257)),IF($B257=MAX($B$3:$B257),0,D257))))</f>
        <v>0</v>
      </c>
      <c r="E258">
        <f t="shared" si="3"/>
        <v>0</v>
      </c>
    </row>
    <row r="259" spans="1:5" x14ac:dyDescent="0.25">
      <c r="A259">
        <v>257</v>
      </c>
      <c r="B259" s="5">
        <v>127.7</v>
      </c>
      <c r="C259" s="5">
        <f>IF($A259=1,$C$2-(ROUNDDOWN(1000/$B259,0)*$B259),IF(A259=2,C258,IF(A259&gt;3,IF(AND(B258&lt;B257,B257&lt;B256),IF(C258&gt;=1000,C258-(ROUNDDOWN(1000/$B259,0)*$B259),C258),IF($B258=MAX($B$3:$B258),C258+(D258*B259),C258)),IF($B258=MAX($B$3:$B258),C258+(D258*B259),C258))))</f>
        <v>6141.4500000000016</v>
      </c>
      <c r="D259">
        <f>IF($A259=1,D258+ROUNDDOWN(1000/$B259,0),IF(A259=2,D258,IF(A259&gt;3,IF(AND(B258&lt;B257,B257&lt;B256),IF(C258&gt;=1000,D258+ROUNDDOWN(1000/$B259,0),D258),IF($B258=MAX($B$3:$B258),0,D258)),IF($B258=MAX($B$3:$B258),0,D258))))</f>
        <v>0</v>
      </c>
      <c r="E259">
        <f t="shared" si="3"/>
        <v>0</v>
      </c>
    </row>
    <row r="260" spans="1:5" x14ac:dyDescent="0.25">
      <c r="A260">
        <v>258</v>
      </c>
      <c r="B260" s="5">
        <v>126.09</v>
      </c>
      <c r="C260" s="5">
        <f>IF($A260=1,$C$2-(ROUNDDOWN(1000/$B260,0)*$B260),IF(A260=2,C259,IF(A260&gt;3,IF(AND(B259&lt;B258,B258&lt;B257),IF(C259&gt;=1000,C259-(ROUNDDOWN(1000/$B260,0)*$B260),C259),IF($B259=MAX($B$3:$B259),C259+(D259*B260),C259)),IF($B259=MAX($B$3:$B259),C259+(D259*B260),C259))))</f>
        <v>6141.4500000000016</v>
      </c>
      <c r="D260">
        <f>IF($A260=1,D259+ROUNDDOWN(1000/$B260,0),IF(A260=2,D259,IF(A260&gt;3,IF(AND(B259&lt;B258,B258&lt;B257),IF(C259&gt;=1000,D259+ROUNDDOWN(1000/$B260,0),D259),IF($B259=MAX($B$3:$B259),0,D259)),IF($B259=MAX($B$3:$B259),0,D259))))</f>
        <v>0</v>
      </c>
      <c r="E260">
        <f t="shared" ref="E260:E323" si="4">IF(D260&gt;D259,1,0)</f>
        <v>0</v>
      </c>
    </row>
    <row r="261" spans="1:5" x14ac:dyDescent="0.25">
      <c r="A261">
        <v>259</v>
      </c>
      <c r="B261" s="5">
        <v>126.84</v>
      </c>
      <c r="C261" s="5">
        <f>IF($A261=1,$C$2-(ROUNDDOWN(1000/$B261,0)*$B261),IF(A261=2,C260,IF(A261&gt;3,IF(AND(B260&lt;B259,B259&lt;B258),IF(C260&gt;=1000,C260-(ROUNDDOWN(1000/$B261,0)*$B261),C260),IF($B260=MAX($B$3:$B260),C260+(D260*B261),C260)),IF($B260=MAX($B$3:$B260),C260+(D260*B261),C260))))</f>
        <v>6141.4500000000016</v>
      </c>
      <c r="D261">
        <f>IF($A261=1,D260+ROUNDDOWN(1000/$B261,0),IF(A261=2,D260,IF(A261&gt;3,IF(AND(B260&lt;B259,B259&lt;B258),IF(C260&gt;=1000,D260+ROUNDDOWN(1000/$B261,0),D260),IF($B260=MAX($B$3:$B260),0,D260)),IF($B260=MAX($B$3:$B260),0,D260))))</f>
        <v>0</v>
      </c>
      <c r="E261">
        <f t="shared" si="4"/>
        <v>0</v>
      </c>
    </row>
    <row r="262" spans="1:5" x14ac:dyDescent="0.25">
      <c r="A262">
        <v>260</v>
      </c>
      <c r="B262" s="5">
        <v>127.17</v>
      </c>
      <c r="C262" s="5">
        <f>IF($A262=1,$C$2-(ROUNDDOWN(1000/$B262,0)*$B262),IF(A262=2,C261,IF(A262&gt;3,IF(AND(B261&lt;B260,B260&lt;B259),IF(C261&gt;=1000,C261-(ROUNDDOWN(1000/$B262,0)*$B262),C261),IF($B261=MAX($B$3:$B261),C261+(D261*B262),C261)),IF($B261=MAX($B$3:$B261),C261+(D261*B262),C261))))</f>
        <v>6141.4500000000016</v>
      </c>
      <c r="D262">
        <f>IF($A262=1,D261+ROUNDDOWN(1000/$B262,0),IF(A262=2,D261,IF(A262&gt;3,IF(AND(B261&lt;B260,B260&lt;B259),IF(C261&gt;=1000,D261+ROUNDDOWN(1000/$B262,0),D261),IF($B261=MAX($B$3:$B261),0,D261)),IF($B261=MAX($B$3:$B261),0,D261))))</f>
        <v>0</v>
      </c>
      <c r="E262">
        <f t="shared" si="4"/>
        <v>0</v>
      </c>
    </row>
    <row r="263" spans="1:5" x14ac:dyDescent="0.25">
      <c r="A263">
        <v>261</v>
      </c>
      <c r="B263" s="5">
        <v>127.26</v>
      </c>
      <c r="C263" s="5">
        <f>IF($A263=1,$C$2-(ROUNDDOWN(1000/$B263,0)*$B263),IF(A263=2,C262,IF(A263&gt;3,IF(AND(B262&lt;B261,B261&lt;B260),IF(C262&gt;=1000,C262-(ROUNDDOWN(1000/$B263,0)*$B263),C262),IF($B262=MAX($B$3:$B262),C262+(D262*B263),C262)),IF($B262=MAX($B$3:$B262),C262+(D262*B263),C262))))</f>
        <v>6141.4500000000016</v>
      </c>
      <c r="D263">
        <f>IF($A263=1,D262+ROUNDDOWN(1000/$B263,0),IF(A263=2,D262,IF(A263&gt;3,IF(AND(B262&lt;B261,B261&lt;B260),IF(C262&gt;=1000,D262+ROUNDDOWN(1000/$B263,0),D262),IF($B262=MAX($B$3:$B262),0,D262)),IF($B262=MAX($B$3:$B262),0,D262))))</f>
        <v>0</v>
      </c>
      <c r="E263">
        <f t="shared" si="4"/>
        <v>0</v>
      </c>
    </row>
    <row r="264" spans="1:5" x14ac:dyDescent="0.25">
      <c r="A264">
        <v>262</v>
      </c>
      <c r="B264" s="5">
        <v>127.33</v>
      </c>
      <c r="C264" s="5">
        <f>IF($A264=1,$C$2-(ROUNDDOWN(1000/$B264,0)*$B264),IF(A264=2,C263,IF(A264&gt;3,IF(AND(B263&lt;B262,B262&lt;B261),IF(C263&gt;=1000,C263-(ROUNDDOWN(1000/$B264,0)*$B264),C263),IF($B263=MAX($B$3:$B263),C263+(D263*B264),C263)),IF($B263=MAX($B$3:$B263),C263+(D263*B264),C263))))</f>
        <v>6141.4500000000016</v>
      </c>
      <c r="D264">
        <f>IF($A264=1,D263+ROUNDDOWN(1000/$B264,0),IF(A264=2,D263,IF(A264&gt;3,IF(AND(B263&lt;B262,B262&lt;B261),IF(C263&gt;=1000,D263+ROUNDDOWN(1000/$B264,0),D263),IF($B263=MAX($B$3:$B263),0,D263)),IF($B263=MAX($B$3:$B263),0,D263))))</f>
        <v>0</v>
      </c>
      <c r="E264">
        <f t="shared" si="4"/>
        <v>0</v>
      </c>
    </row>
    <row r="265" spans="1:5" x14ac:dyDescent="0.25">
      <c r="A265">
        <v>263</v>
      </c>
      <c r="B265" s="5">
        <v>128.84</v>
      </c>
      <c r="C265" s="5">
        <f>IF($A265=1,$C$2-(ROUNDDOWN(1000/$B265,0)*$B265),IF(A265=2,C264,IF(A265&gt;3,IF(AND(B264&lt;B263,B263&lt;B262),IF(C264&gt;=1000,C264-(ROUNDDOWN(1000/$B265,0)*$B265),C264),IF($B264=MAX($B$3:$B264),C264+(D264*B265),C264)),IF($B264=MAX($B$3:$B264),C264+(D264*B265),C264))))</f>
        <v>6141.4500000000016</v>
      </c>
      <c r="D265">
        <f>IF($A265=1,D264+ROUNDDOWN(1000/$B265,0),IF(A265=2,D264,IF(A265&gt;3,IF(AND(B264&lt;B263,B263&lt;B262),IF(C264&gt;=1000,D264+ROUNDDOWN(1000/$B265,0),D264),IF($B264=MAX($B$3:$B264),0,D264)),IF($B264=MAX($B$3:$B264),0,D264))))</f>
        <v>0</v>
      </c>
      <c r="E265">
        <f t="shared" si="4"/>
        <v>0</v>
      </c>
    </row>
    <row r="266" spans="1:5" x14ac:dyDescent="0.25">
      <c r="A266">
        <v>264</v>
      </c>
      <c r="B266" s="5">
        <v>130.11000000000001</v>
      </c>
      <c r="C266" s="5">
        <f>IF($A266=1,$C$2-(ROUNDDOWN(1000/$B266,0)*$B266),IF(A266=2,C265,IF(A266&gt;3,IF(AND(B265&lt;B264,B264&lt;B263),IF(C265&gt;=1000,C265-(ROUNDDOWN(1000/$B266,0)*$B266),C265),IF($B265=MAX($B$3:$B265),C265+(D265*B266),C265)),IF($B265=MAX($B$3:$B265),C265+(D265*B266),C265))))</f>
        <v>6141.4500000000016</v>
      </c>
      <c r="D266">
        <f>IF($A266=1,D265+ROUNDDOWN(1000/$B266,0),IF(A266=2,D265,IF(A266&gt;3,IF(AND(B265&lt;B264,B264&lt;B263),IF(C265&gt;=1000,D265+ROUNDDOWN(1000/$B266,0),D265),IF($B265=MAX($B$3:$B265),0,D265)),IF($B265=MAX($B$3:$B265),0,D265))))</f>
        <v>0</v>
      </c>
      <c r="E266">
        <f t="shared" si="4"/>
        <v>0</v>
      </c>
    </row>
    <row r="267" spans="1:5" x14ac:dyDescent="0.25">
      <c r="A267">
        <v>265</v>
      </c>
      <c r="B267" s="5">
        <v>130.80000000000001</v>
      </c>
      <c r="C267" s="5">
        <f>IF($A267=1,$C$2-(ROUNDDOWN(1000/$B267,0)*$B267),IF(A267=2,C266,IF(A267&gt;3,IF(AND(B266&lt;B265,B265&lt;B264),IF(C266&gt;=1000,C266-(ROUNDDOWN(1000/$B267,0)*$B267),C266),IF($B266=MAX($B$3:$B266),C266+(D266*B267),C266)),IF($B266=MAX($B$3:$B266),C266+(D266*B267),C266))))</f>
        <v>6141.4500000000016</v>
      </c>
      <c r="D267">
        <f>IF($A267=1,D266+ROUNDDOWN(1000/$B267,0),IF(A267=2,D266,IF(A267&gt;3,IF(AND(B266&lt;B265,B265&lt;B264),IF(C266&gt;=1000,D266+ROUNDDOWN(1000/$B267,0),D266),IF($B266=MAX($B$3:$B266),0,D266)),IF($B266=MAX($B$3:$B266),0,D266))))</f>
        <v>0</v>
      </c>
      <c r="E267">
        <f t="shared" si="4"/>
        <v>0</v>
      </c>
    </row>
    <row r="268" spans="1:5" x14ac:dyDescent="0.25">
      <c r="A268">
        <v>266</v>
      </c>
      <c r="B268" s="5">
        <v>131.66</v>
      </c>
      <c r="C268" s="5">
        <f>IF($A268=1,$C$2-(ROUNDDOWN(1000/$B268,0)*$B268),IF(A268=2,C267,IF(A268&gt;3,IF(AND(B267&lt;B266,B266&lt;B265),IF(C267&gt;=1000,C267-(ROUNDDOWN(1000/$B268,0)*$B268),C267),IF($B267=MAX($B$3:$B267),C267+(D267*B268),C267)),IF($B267=MAX($B$3:$B267),C267+(D267*B268),C267))))</f>
        <v>6141.4500000000016</v>
      </c>
      <c r="D268">
        <f>IF($A268=1,D267+ROUNDDOWN(1000/$B268,0),IF(A268=2,D267,IF(A268&gt;3,IF(AND(B267&lt;B266,B266&lt;B265),IF(C267&gt;=1000,D267+ROUNDDOWN(1000/$B268,0),D267),IF($B267=MAX($B$3:$B267),0,D267)),IF($B267=MAX($B$3:$B267),0,D267))))</f>
        <v>0</v>
      </c>
      <c r="E268">
        <f t="shared" si="4"/>
        <v>0</v>
      </c>
    </row>
    <row r="269" spans="1:5" x14ac:dyDescent="0.25">
      <c r="A269">
        <v>267</v>
      </c>
      <c r="B269" s="5">
        <v>133.33000000000001</v>
      </c>
      <c r="C269" s="5">
        <f>IF($A269=1,$C$2-(ROUNDDOWN(1000/$B269,0)*$B269),IF(A269=2,C268,IF(A269&gt;3,IF(AND(B268&lt;B267,B267&lt;B266),IF(C268&gt;=1000,C268-(ROUNDDOWN(1000/$B269,0)*$B269),C268),IF($B268=MAX($B$3:$B268),C268+(D268*B269),C268)),IF($B268=MAX($B$3:$B268),C268+(D268*B269),C268))))</f>
        <v>6141.4500000000016</v>
      </c>
      <c r="D269">
        <f>IF($A269=1,D268+ROUNDDOWN(1000/$B269,0),IF(A269=2,D268,IF(A269&gt;3,IF(AND(B268&lt;B267,B267&lt;B266),IF(C268&gt;=1000,D268+ROUNDDOWN(1000/$B269,0),D268),IF($B268=MAX($B$3:$B268),0,D268)),IF($B268=MAX($B$3:$B268),0,D268))))</f>
        <v>0</v>
      </c>
      <c r="E269">
        <f t="shared" si="4"/>
        <v>0</v>
      </c>
    </row>
    <row r="270" spans="1:5" x14ac:dyDescent="0.25">
      <c r="A270">
        <v>268</v>
      </c>
      <c r="B270" s="5">
        <v>135</v>
      </c>
      <c r="C270" s="5">
        <f>IF($A270=1,$C$2-(ROUNDDOWN(1000/$B270,0)*$B270),IF(A270=2,C269,IF(A270&gt;3,IF(AND(B269&lt;B268,B268&lt;B267),IF(C269&gt;=1000,C269-(ROUNDDOWN(1000/$B270,0)*$B270),C269),IF($B269=MAX($B$3:$B269),C269+(D269*B270),C269)),IF($B269=MAX($B$3:$B269),C269+(D269*B270),C269))))</f>
        <v>6141.4500000000016</v>
      </c>
      <c r="D270">
        <f>IF($A270=1,D269+ROUNDDOWN(1000/$B270,0),IF(A270=2,D269,IF(A270&gt;3,IF(AND(B269&lt;B268,B268&lt;B267),IF(C269&gt;=1000,D269+ROUNDDOWN(1000/$B270,0),D269),IF($B269=MAX($B$3:$B269),0,D269)),IF($B269=MAX($B$3:$B269),0,D269))))</f>
        <v>0</v>
      </c>
      <c r="E270">
        <f t="shared" si="4"/>
        <v>0</v>
      </c>
    </row>
    <row r="271" spans="1:5" x14ac:dyDescent="0.25">
      <c r="A271">
        <v>269</v>
      </c>
      <c r="B271" s="5">
        <v>133.07</v>
      </c>
      <c r="C271" s="5">
        <f>IF($A271=1,$C$2-(ROUNDDOWN(1000/$B271,0)*$B271),IF(A271=2,C270,IF(A271&gt;3,IF(AND(B270&lt;B269,B269&lt;B268),IF(C270&gt;=1000,C270-(ROUNDDOWN(1000/$B271,0)*$B271),C270),IF($B270=MAX($B$3:$B270),C270+(D270*B271),C270)),IF($B270=MAX($B$3:$B270),C270+(D270*B271),C270))))</f>
        <v>6141.4500000000016</v>
      </c>
      <c r="D271">
        <f>IF($A271=1,D270+ROUNDDOWN(1000/$B271,0),IF(A271=2,D270,IF(A271&gt;3,IF(AND(B270&lt;B269,B269&lt;B268),IF(C270&gt;=1000,D270+ROUNDDOWN(1000/$B271,0),D270),IF($B270=MAX($B$3:$B270),0,D270)),IF($B270=MAX($B$3:$B270),0,D270))))</f>
        <v>0</v>
      </c>
      <c r="E271">
        <f t="shared" si="4"/>
        <v>0</v>
      </c>
    </row>
    <row r="272" spans="1:5" x14ac:dyDescent="0.25">
      <c r="A272">
        <v>270</v>
      </c>
      <c r="B272" s="5">
        <v>133.78</v>
      </c>
      <c r="C272" s="5">
        <f>IF($A272=1,$C$2-(ROUNDDOWN(1000/$B272,0)*$B272),IF(A272=2,C271,IF(A272&gt;3,IF(AND(B271&lt;B270,B270&lt;B269),IF(C271&gt;=1000,C271-(ROUNDDOWN(1000/$B272,0)*$B272),C271),IF($B271=MAX($B$3:$B271),C271+(D271*B272),C271)),IF($B271=MAX($B$3:$B271),C271+(D271*B272),C271))))</f>
        <v>6141.4500000000016</v>
      </c>
      <c r="D272">
        <f>IF($A272=1,D271+ROUNDDOWN(1000/$B272,0),IF(A272=2,D271,IF(A272&gt;3,IF(AND(B271&lt;B270,B270&lt;B269),IF(C271&gt;=1000,D271+ROUNDDOWN(1000/$B272,0),D271),IF($B271=MAX($B$3:$B271),0,D271)),IF($B271=MAX($B$3:$B271),0,D271))))</f>
        <v>0</v>
      </c>
      <c r="E272">
        <f t="shared" si="4"/>
        <v>0</v>
      </c>
    </row>
    <row r="273" spans="1:5" x14ac:dyDescent="0.25">
      <c r="A273">
        <v>271</v>
      </c>
      <c r="B273" s="5">
        <v>132.02000000000001</v>
      </c>
      <c r="C273" s="5">
        <f>IF($A273=1,$C$2-(ROUNDDOWN(1000/$B273,0)*$B273),IF(A273=2,C272,IF(A273&gt;3,IF(AND(B272&lt;B271,B271&lt;B270),IF(C272&gt;=1000,C272-(ROUNDDOWN(1000/$B273,0)*$B273),C272),IF($B272=MAX($B$3:$B272),C272+(D272*B273),C272)),IF($B272=MAX($B$3:$B272),C272+(D272*B273),C272))))</f>
        <v>6141.4500000000016</v>
      </c>
      <c r="D273">
        <f>IF($A273=1,D272+ROUNDDOWN(1000/$B273,0),IF(A273=2,D272,IF(A273&gt;3,IF(AND(B272&lt;B271,B271&lt;B270),IF(C272&gt;=1000,D272+ROUNDDOWN(1000/$B273,0),D272),IF($B272=MAX($B$3:$B272),0,D272)),IF($B272=MAX($B$3:$B272),0,D272))))</f>
        <v>0</v>
      </c>
      <c r="E273">
        <f t="shared" si="4"/>
        <v>0</v>
      </c>
    </row>
    <row r="274" spans="1:5" x14ac:dyDescent="0.25">
      <c r="A274">
        <v>272</v>
      </c>
      <c r="B274" s="5">
        <v>130.4</v>
      </c>
      <c r="C274" s="5">
        <f>IF($A274=1,$C$2-(ROUNDDOWN(1000/$B274,0)*$B274),IF(A274=2,C273,IF(A274&gt;3,IF(AND(B273&lt;B272,B272&lt;B271),IF(C273&gt;=1000,C273-(ROUNDDOWN(1000/$B274,0)*$B274),C273),IF($B273=MAX($B$3:$B273),C273+(D273*B274),C273)),IF($B273=MAX($B$3:$B273),C273+(D273*B274),C273))))</f>
        <v>6141.4500000000016</v>
      </c>
      <c r="D274">
        <f>IF($A274=1,D273+ROUNDDOWN(1000/$B274,0),IF(A274=2,D273,IF(A274&gt;3,IF(AND(B273&lt;B272,B272&lt;B271),IF(C273&gt;=1000,D273+ROUNDDOWN(1000/$B274,0),D273),IF($B273=MAX($B$3:$B273),0,D273)),IF($B273=MAX($B$3:$B273),0,D273))))</f>
        <v>0</v>
      </c>
      <c r="E274">
        <f t="shared" si="4"/>
        <v>0</v>
      </c>
    </row>
    <row r="275" spans="1:5" x14ac:dyDescent="0.25">
      <c r="A275">
        <v>273</v>
      </c>
      <c r="B275" s="5">
        <v>132.28</v>
      </c>
      <c r="C275" s="5">
        <f>IF($A275=1,$C$2-(ROUNDDOWN(1000/$B275,0)*$B275),IF(A275=2,C274,IF(A275&gt;3,IF(AND(B274&lt;B273,B273&lt;B272),IF(C274&gt;=1000,C274-(ROUNDDOWN(1000/$B275,0)*$B275),C274),IF($B274=MAX($B$3:$B274),C274+(D274*B275),C274)),IF($B274=MAX($B$3:$B274),C274+(D274*B275),C274))))</f>
        <v>5215.4900000000016</v>
      </c>
      <c r="D275">
        <f>IF($A275=1,D274+ROUNDDOWN(1000/$B275,0),IF(A275=2,D274,IF(A275&gt;3,IF(AND(B274&lt;B273,B273&lt;B272),IF(C274&gt;=1000,D274+ROUNDDOWN(1000/$B275,0),D274),IF($B274=MAX($B$3:$B274),0,D274)),IF($B274=MAX($B$3:$B274),0,D274))))</f>
        <v>7</v>
      </c>
      <c r="E275">
        <f t="shared" si="4"/>
        <v>1</v>
      </c>
    </row>
    <row r="276" spans="1:5" x14ac:dyDescent="0.25">
      <c r="A276">
        <v>274</v>
      </c>
      <c r="B276" s="5">
        <v>132.38999999999999</v>
      </c>
      <c r="C276" s="5">
        <f>IF($A276=1,$C$2-(ROUNDDOWN(1000/$B276,0)*$B276),IF(A276=2,C275,IF(A276&gt;3,IF(AND(B275&lt;B274,B274&lt;B273),IF(C275&gt;=1000,C275-(ROUNDDOWN(1000/$B276,0)*$B276),C275),IF($B275=MAX($B$3:$B275),C275+(D275*B276),C275)),IF($B275=MAX($B$3:$B275),C275+(D275*B276),C275))))</f>
        <v>5215.4900000000016</v>
      </c>
      <c r="D276">
        <f>IF($A276=1,D275+ROUNDDOWN(1000/$B276,0),IF(A276=2,D275,IF(A276&gt;3,IF(AND(B275&lt;B274,B274&lt;B273),IF(C275&gt;=1000,D275+ROUNDDOWN(1000/$B276,0),D275),IF($B275=MAX($B$3:$B275),0,D275)),IF($B275=MAX($B$3:$B275),0,D275))))</f>
        <v>7</v>
      </c>
      <c r="E276">
        <f t="shared" si="4"/>
        <v>0</v>
      </c>
    </row>
    <row r="277" spans="1:5" x14ac:dyDescent="0.25">
      <c r="A277">
        <v>275</v>
      </c>
      <c r="B277" s="5">
        <v>130.94</v>
      </c>
      <c r="C277" s="5">
        <f>IF($A277=1,$C$2-(ROUNDDOWN(1000/$B277,0)*$B277),IF(A277=2,C276,IF(A277&gt;3,IF(AND(B276&lt;B275,B275&lt;B274),IF(C276&gt;=1000,C276-(ROUNDDOWN(1000/$B277,0)*$B277),C276),IF($B276=MAX($B$3:$B276),C276+(D276*B277),C276)),IF($B276=MAX($B$3:$B276),C276+(D276*B277),C276))))</f>
        <v>5215.4900000000016</v>
      </c>
      <c r="D277">
        <f>IF($A277=1,D276+ROUNDDOWN(1000/$B277,0),IF(A277=2,D276,IF(A277&gt;3,IF(AND(B276&lt;B275,B275&lt;B274),IF(C276&gt;=1000,D276+ROUNDDOWN(1000/$B277,0),D276),IF($B276=MAX($B$3:$B276),0,D276)),IF($B276=MAX($B$3:$B276),0,D276))))</f>
        <v>7</v>
      </c>
      <c r="E277">
        <f t="shared" si="4"/>
        <v>0</v>
      </c>
    </row>
    <row r="278" spans="1:5" x14ac:dyDescent="0.25">
      <c r="A278">
        <v>276</v>
      </c>
      <c r="B278" s="5">
        <v>129.53</v>
      </c>
      <c r="C278" s="5">
        <f>IF($A278=1,$C$2-(ROUNDDOWN(1000/$B278,0)*$B278),IF(A278=2,C277,IF(A278&gt;3,IF(AND(B277&lt;B276,B276&lt;B275),IF(C277&gt;=1000,C277-(ROUNDDOWN(1000/$B278,0)*$B278),C277),IF($B277=MAX($B$3:$B277),C277+(D277*B278),C277)),IF($B277=MAX($B$3:$B277),C277+(D277*B278),C277))))</f>
        <v>5215.4900000000016</v>
      </c>
      <c r="D278">
        <f>IF($A278=1,D277+ROUNDDOWN(1000/$B278,0),IF(A278=2,D277,IF(A278&gt;3,IF(AND(B277&lt;B276,B276&lt;B275),IF(C277&gt;=1000,D277+ROUNDDOWN(1000/$B278,0),D277),IF($B277=MAX($B$3:$B277),0,D277)),IF($B277=MAX($B$3:$B277),0,D277))))</f>
        <v>7</v>
      </c>
      <c r="E278">
        <f t="shared" si="4"/>
        <v>0</v>
      </c>
    </row>
    <row r="279" spans="1:5" x14ac:dyDescent="0.25">
      <c r="A279">
        <v>277</v>
      </c>
      <c r="B279" s="5">
        <v>129.55000000000001</v>
      </c>
      <c r="C279" s="5">
        <f>IF($A279=1,$C$2-(ROUNDDOWN(1000/$B279,0)*$B279),IF(A279=2,C278,IF(A279&gt;3,IF(AND(B278&lt;B277,B277&lt;B276),IF(C278&gt;=1000,C278-(ROUNDDOWN(1000/$B279,0)*$B279),C278),IF($B278=MAX($B$3:$B278),C278+(D278*B279),C278)),IF($B278=MAX($B$3:$B278),C278+(D278*B279),C278))))</f>
        <v>4308.6400000000012</v>
      </c>
      <c r="D279">
        <f>IF($A279=1,D278+ROUNDDOWN(1000/$B279,0),IF(A279=2,D278,IF(A279&gt;3,IF(AND(B278&lt;B277,B277&lt;B276),IF(C278&gt;=1000,D278+ROUNDDOWN(1000/$B279,0),D278),IF($B278=MAX($B$3:$B278),0,D278)),IF($B278=MAX($B$3:$B278),0,D278))))</f>
        <v>14</v>
      </c>
      <c r="E279">
        <f t="shared" si="4"/>
        <v>1</v>
      </c>
    </row>
    <row r="280" spans="1:5" x14ac:dyDescent="0.25">
      <c r="A280">
        <v>278</v>
      </c>
      <c r="B280" s="5">
        <v>130.43</v>
      </c>
      <c r="C280" s="5">
        <f>IF($A280=1,$C$2-(ROUNDDOWN(1000/$B280,0)*$B280),IF(A280=2,C279,IF(A280&gt;3,IF(AND(B279&lt;B278,B278&lt;B277),IF(C279&gt;=1000,C279-(ROUNDDOWN(1000/$B280,0)*$B280),C279),IF($B279=MAX($B$3:$B279),C279+(D279*B280),C279)),IF($B279=MAX($B$3:$B279),C279+(D279*B280),C279))))</f>
        <v>4308.6400000000012</v>
      </c>
      <c r="D280">
        <f>IF($A280=1,D279+ROUNDDOWN(1000/$B280,0),IF(A280=2,D279,IF(A280&gt;3,IF(AND(B279&lt;B278,B278&lt;B277),IF(C279&gt;=1000,D279+ROUNDDOWN(1000/$B280,0),D279),IF($B279=MAX($B$3:$B279),0,D279)),IF($B279=MAX($B$3:$B279),0,D279))))</f>
        <v>14</v>
      </c>
      <c r="E280">
        <f t="shared" si="4"/>
        <v>0</v>
      </c>
    </row>
    <row r="281" spans="1:5" x14ac:dyDescent="0.25">
      <c r="A281">
        <v>279</v>
      </c>
      <c r="B281" s="5">
        <v>130.88999999999999</v>
      </c>
      <c r="C281" s="5">
        <f>IF($A281=1,$C$2-(ROUNDDOWN(1000/$B281,0)*$B281),IF(A281=2,C280,IF(A281&gt;3,IF(AND(B280&lt;B279,B279&lt;B278),IF(C280&gt;=1000,C280-(ROUNDDOWN(1000/$B281,0)*$B281),C280),IF($B280=MAX($B$3:$B280),C280+(D280*B281),C280)),IF($B280=MAX($B$3:$B280),C280+(D280*B281),C280))))</f>
        <v>4308.6400000000012</v>
      </c>
      <c r="D281">
        <f>IF($A281=1,D280+ROUNDDOWN(1000/$B281,0),IF(A281=2,D280,IF(A281&gt;3,IF(AND(B280&lt;B279,B279&lt;B278),IF(C280&gt;=1000,D280+ROUNDDOWN(1000/$B281,0),D280),IF($B280=MAX($B$3:$B280),0,D280)),IF($B280=MAX($B$3:$B280),0,D280))))</f>
        <v>14</v>
      </c>
      <c r="E281">
        <f t="shared" si="4"/>
        <v>0</v>
      </c>
    </row>
    <row r="282" spans="1:5" x14ac:dyDescent="0.25">
      <c r="A282">
        <v>280</v>
      </c>
      <c r="B282" s="5">
        <v>129.18</v>
      </c>
      <c r="C282" s="5">
        <f>IF($A282=1,$C$2-(ROUNDDOWN(1000/$B282,0)*$B282),IF(A282=2,C281,IF(A282&gt;3,IF(AND(B281&lt;B280,B280&lt;B279),IF(C281&gt;=1000,C281-(ROUNDDOWN(1000/$B282,0)*$B282),C281),IF($B281=MAX($B$3:$B281),C281+(D281*B282),C281)),IF($B281=MAX($B$3:$B281),C281+(D281*B282),C281))))</f>
        <v>4308.6400000000012</v>
      </c>
      <c r="D282">
        <f>IF($A282=1,D281+ROUNDDOWN(1000/$B282,0),IF(A282=2,D281,IF(A282&gt;3,IF(AND(B281&lt;B280,B280&lt;B279),IF(C281&gt;=1000,D281+ROUNDDOWN(1000/$B282,0),D281),IF($B281=MAX($B$3:$B281),0,D281)),IF($B281=MAX($B$3:$B281),0,D281))))</f>
        <v>14</v>
      </c>
      <c r="E282">
        <f t="shared" si="4"/>
        <v>0</v>
      </c>
    </row>
    <row r="283" spans="1:5" x14ac:dyDescent="0.25">
      <c r="A283">
        <v>281</v>
      </c>
      <c r="B283" s="5">
        <v>129.96</v>
      </c>
      <c r="C283" s="5">
        <f>IF($A283=1,$C$2-(ROUNDDOWN(1000/$B283,0)*$B283),IF(A283=2,C282,IF(A283&gt;3,IF(AND(B282&lt;B281,B281&lt;B280),IF(C282&gt;=1000,C282-(ROUNDDOWN(1000/$B283,0)*$B283),C282),IF($B282=MAX($B$3:$B282),C282+(D282*B283),C282)),IF($B282=MAX($B$3:$B282),C282+(D282*B283),C282))))</f>
        <v>4308.6400000000012</v>
      </c>
      <c r="D283">
        <f>IF($A283=1,D282+ROUNDDOWN(1000/$B283,0),IF(A283=2,D282,IF(A283&gt;3,IF(AND(B282&lt;B281,B281&lt;B280),IF(C282&gt;=1000,D282+ROUNDDOWN(1000/$B283,0),D282),IF($B282=MAX($B$3:$B282),0,D282)),IF($B282=MAX($B$3:$B282),0,D282))))</f>
        <v>14</v>
      </c>
      <c r="E283">
        <f t="shared" si="4"/>
        <v>0</v>
      </c>
    </row>
    <row r="284" spans="1:5" x14ac:dyDescent="0.25">
      <c r="A284">
        <v>282</v>
      </c>
      <c r="B284" s="5">
        <v>130.33000000000001</v>
      </c>
      <c r="C284" s="5">
        <f>IF($A284=1,$C$2-(ROUNDDOWN(1000/$B284,0)*$B284),IF(A284=2,C283,IF(A284&gt;3,IF(AND(B283&lt;B282,B282&lt;B281),IF(C283&gt;=1000,C283-(ROUNDDOWN(1000/$B284,0)*$B284),C283),IF($B283=MAX($B$3:$B283),C283+(D283*B284),C283)),IF($B283=MAX($B$3:$B283),C283+(D283*B284),C283))))</f>
        <v>4308.6400000000012</v>
      </c>
      <c r="D284">
        <f>IF($A284=1,D283+ROUNDDOWN(1000/$B284,0),IF(A284=2,D283,IF(A284&gt;3,IF(AND(B283&lt;B282,B282&lt;B281),IF(C283&gt;=1000,D283+ROUNDDOWN(1000/$B284,0),D283),IF($B283=MAX($B$3:$B283),0,D283)),IF($B283=MAX($B$3:$B283),0,D283))))</f>
        <v>14</v>
      </c>
      <c r="E284">
        <f t="shared" si="4"/>
        <v>0</v>
      </c>
    </row>
    <row r="285" spans="1:5" x14ac:dyDescent="0.25">
      <c r="A285">
        <v>283</v>
      </c>
      <c r="B285" s="5">
        <v>130.63999999999999</v>
      </c>
      <c r="C285" s="5">
        <f>IF($A285=1,$C$2-(ROUNDDOWN(1000/$B285,0)*$B285),IF(A285=2,C284,IF(A285&gt;3,IF(AND(B284&lt;B283,B283&lt;B282),IF(C284&gt;=1000,C284-(ROUNDDOWN(1000/$B285,0)*$B285),C284),IF($B284=MAX($B$3:$B284),C284+(D284*B285),C284)),IF($B284=MAX($B$3:$B284),C284+(D284*B285),C284))))</f>
        <v>4308.6400000000012</v>
      </c>
      <c r="D285">
        <f>IF($A285=1,D284+ROUNDDOWN(1000/$B285,0),IF(A285=2,D284,IF(A285&gt;3,IF(AND(B284&lt;B283,B283&lt;B282),IF(C284&gt;=1000,D284+ROUNDDOWN(1000/$B285,0),D284),IF($B284=MAX($B$3:$B284),0,D284)),IF($B284=MAX($B$3:$B284),0,D284))))</f>
        <v>14</v>
      </c>
      <c r="E285">
        <f t="shared" si="4"/>
        <v>0</v>
      </c>
    </row>
    <row r="286" spans="1:5" x14ac:dyDescent="0.25">
      <c r="A286">
        <v>284</v>
      </c>
      <c r="B286" s="5">
        <v>130.78</v>
      </c>
      <c r="C286" s="5">
        <f>IF($A286=1,$C$2-(ROUNDDOWN(1000/$B286,0)*$B286),IF(A286=2,C285,IF(A286&gt;3,IF(AND(B285&lt;B284,B284&lt;B283),IF(C285&gt;=1000,C285-(ROUNDDOWN(1000/$B286,0)*$B286),C285),IF($B285=MAX($B$3:$B285),C285+(D285*B286),C285)),IF($B285=MAX($B$3:$B285),C285+(D285*B286),C285))))</f>
        <v>4308.6400000000012</v>
      </c>
      <c r="D286">
        <f>IF($A286=1,D285+ROUNDDOWN(1000/$B286,0),IF(A286=2,D285,IF(A286&gt;3,IF(AND(B285&lt;B284,B284&lt;B283),IF(C285&gt;=1000,D285+ROUNDDOWN(1000/$B286,0),D285),IF($B285=MAX($B$3:$B285),0,D285)),IF($B285=MAX($B$3:$B285),0,D285))))</f>
        <v>14</v>
      </c>
      <c r="E286">
        <f t="shared" si="4"/>
        <v>0</v>
      </c>
    </row>
    <row r="287" spans="1:5" x14ac:dyDescent="0.25">
      <c r="A287">
        <v>285</v>
      </c>
      <c r="B287" s="5">
        <v>129.13999999999999</v>
      </c>
      <c r="C287" s="5">
        <f>IF($A287=1,$C$2-(ROUNDDOWN(1000/$B287,0)*$B287),IF(A287=2,C286,IF(A287&gt;3,IF(AND(B286&lt;B285,B285&lt;B284),IF(C286&gt;=1000,C286-(ROUNDDOWN(1000/$B287,0)*$B287),C286),IF($B286=MAX($B$3:$B286),C286+(D286*B287),C286)),IF($B286=MAX($B$3:$B286),C286+(D286*B287),C286))))</f>
        <v>4308.6400000000012</v>
      </c>
      <c r="D287">
        <f>IF($A287=1,D286+ROUNDDOWN(1000/$B287,0),IF(A287=2,D286,IF(A287&gt;3,IF(AND(B286&lt;B285,B285&lt;B284),IF(C286&gt;=1000,D286+ROUNDDOWN(1000/$B287,0),D286),IF($B286=MAX($B$3:$B286),0,D286)),IF($B286=MAX($B$3:$B286),0,D286))))</f>
        <v>14</v>
      </c>
      <c r="E287">
        <f t="shared" si="4"/>
        <v>0</v>
      </c>
    </row>
    <row r="288" spans="1:5" x14ac:dyDescent="0.25">
      <c r="A288">
        <v>286</v>
      </c>
      <c r="B288" s="5">
        <v>130.85</v>
      </c>
      <c r="C288" s="5">
        <f>IF($A288=1,$C$2-(ROUNDDOWN(1000/$B288,0)*$B288),IF(A288=2,C287,IF(A288&gt;3,IF(AND(B287&lt;B286,B286&lt;B285),IF(C287&gt;=1000,C287-(ROUNDDOWN(1000/$B288,0)*$B288),C287),IF($B287=MAX($B$3:$B287),C287+(D287*B288),C287)),IF($B287=MAX($B$3:$B287),C287+(D287*B288),C287))))</f>
        <v>4308.6400000000012</v>
      </c>
      <c r="D288">
        <f>IF($A288=1,D287+ROUNDDOWN(1000/$B288,0),IF(A288=2,D287,IF(A288&gt;3,IF(AND(B287&lt;B286,B286&lt;B285),IF(C287&gt;=1000,D287+ROUNDDOWN(1000/$B288,0),D287),IF($B287=MAX($B$3:$B287),0,D287)),IF($B287=MAX($B$3:$B287),0,D287))))</f>
        <v>14</v>
      </c>
      <c r="E288">
        <f t="shared" si="4"/>
        <v>0</v>
      </c>
    </row>
    <row r="289" spans="1:5" x14ac:dyDescent="0.25">
      <c r="A289">
        <v>287</v>
      </c>
      <c r="B289" s="5">
        <v>131.24</v>
      </c>
      <c r="C289" s="5">
        <f>IF($A289=1,$C$2-(ROUNDDOWN(1000/$B289,0)*$B289),IF(A289=2,C288,IF(A289&gt;3,IF(AND(B288&lt;B287,B287&lt;B286),IF(C288&gt;=1000,C288-(ROUNDDOWN(1000/$B289,0)*$B289),C288),IF($B288=MAX($B$3:$B288),C288+(D288*B289),C288)),IF($B288=MAX($B$3:$B288),C288+(D288*B289),C288))))</f>
        <v>4308.6400000000012</v>
      </c>
      <c r="D289">
        <f>IF($A289=1,D288+ROUNDDOWN(1000/$B289,0),IF(A289=2,D288,IF(A289&gt;3,IF(AND(B288&lt;B287,B287&lt;B286),IF(C288&gt;=1000,D288+ROUNDDOWN(1000/$B289,0),D288),IF($B288=MAX($B$3:$B288),0,D288)),IF($B288=MAX($B$3:$B288),0,D288))))</f>
        <v>14</v>
      </c>
      <c r="E289">
        <f t="shared" si="4"/>
        <v>0</v>
      </c>
    </row>
    <row r="290" spans="1:5" x14ac:dyDescent="0.25">
      <c r="A290">
        <v>288</v>
      </c>
      <c r="B290" s="5">
        <v>131.37</v>
      </c>
      <c r="C290" s="5">
        <f>IF($A290=1,$C$2-(ROUNDDOWN(1000/$B290,0)*$B290),IF(A290=2,C289,IF(A290&gt;3,IF(AND(B289&lt;B288,B288&lt;B287),IF(C289&gt;=1000,C289-(ROUNDDOWN(1000/$B290,0)*$B290),C289),IF($B289=MAX($B$3:$B289),C289+(D289*B290),C289)),IF($B289=MAX($B$3:$B289),C289+(D289*B290),C289))))</f>
        <v>4308.6400000000012</v>
      </c>
      <c r="D290">
        <f>IF($A290=1,D289+ROUNDDOWN(1000/$B290,0),IF(A290=2,D289,IF(A290&gt;3,IF(AND(B289&lt;B288,B288&lt;B287),IF(C289&gt;=1000,D289+ROUNDDOWN(1000/$B290,0),D289),IF($B289=MAX($B$3:$B289),0,D289)),IF($B289=MAX($B$3:$B289),0,D289))))</f>
        <v>14</v>
      </c>
      <c r="E290">
        <f t="shared" si="4"/>
        <v>0</v>
      </c>
    </row>
    <row r="291" spans="1:5" x14ac:dyDescent="0.25">
      <c r="A291">
        <v>289</v>
      </c>
      <c r="B291" s="5">
        <v>129.88</v>
      </c>
      <c r="C291" s="5">
        <f>IF($A291=1,$C$2-(ROUNDDOWN(1000/$B291,0)*$B291),IF(A291=2,C290,IF(A291&gt;3,IF(AND(B290&lt;B289,B289&lt;B288),IF(C290&gt;=1000,C290-(ROUNDDOWN(1000/$B291,0)*$B291),C290),IF($B290=MAX($B$3:$B290),C290+(D290*B291),C290)),IF($B290=MAX($B$3:$B290),C290+(D290*B291),C290))))</f>
        <v>4308.6400000000012</v>
      </c>
      <c r="D291">
        <f>IF($A291=1,D290+ROUNDDOWN(1000/$B291,0),IF(A291=2,D290,IF(A291&gt;3,IF(AND(B290&lt;B289,B289&lt;B288),IF(C290&gt;=1000,D290+ROUNDDOWN(1000/$B291,0),D290),IF($B290=MAX($B$3:$B290),0,D290)),IF($B290=MAX($B$3:$B290),0,D290))))</f>
        <v>14</v>
      </c>
      <c r="E291">
        <f t="shared" si="4"/>
        <v>0</v>
      </c>
    </row>
    <row r="292" spans="1:5" x14ac:dyDescent="0.25">
      <c r="A292">
        <v>290</v>
      </c>
      <c r="B292" s="5">
        <v>131.79</v>
      </c>
      <c r="C292" s="5">
        <f>IF($A292=1,$C$2-(ROUNDDOWN(1000/$B292,0)*$B292),IF(A292=2,C291,IF(A292&gt;3,IF(AND(B291&lt;B290,B290&lt;B289),IF(C291&gt;=1000,C291-(ROUNDDOWN(1000/$B292,0)*$B292),C291),IF($B291=MAX($B$3:$B291),C291+(D291*B292),C291)),IF($B291=MAX($B$3:$B291),C291+(D291*B292),C291))))</f>
        <v>4308.6400000000012</v>
      </c>
      <c r="D292">
        <f>IF($A292=1,D291+ROUNDDOWN(1000/$B292,0),IF(A292=2,D291,IF(A292&gt;3,IF(AND(B291&lt;B290,B290&lt;B289),IF(C291&gt;=1000,D291+ROUNDDOWN(1000/$B292,0),D291),IF($B291=MAX($B$3:$B291),0,D291)),IF($B291=MAX($B$3:$B291),0,D291))))</f>
        <v>14</v>
      </c>
      <c r="E292">
        <f t="shared" si="4"/>
        <v>0</v>
      </c>
    </row>
    <row r="293" spans="1:5" x14ac:dyDescent="0.25">
      <c r="A293">
        <v>291</v>
      </c>
      <c r="B293" s="5">
        <v>129.97999999999999</v>
      </c>
      <c r="C293" s="5">
        <f>IF($A293=1,$C$2-(ROUNDDOWN(1000/$B293,0)*$B293),IF(A293=2,C292,IF(A293&gt;3,IF(AND(B292&lt;B291,B291&lt;B290),IF(C292&gt;=1000,C292-(ROUNDDOWN(1000/$B293,0)*$B293),C292),IF($B292=MAX($B$3:$B292),C292+(D292*B293),C292)),IF($B292=MAX($B$3:$B292),C292+(D292*B293),C292))))</f>
        <v>4308.6400000000012</v>
      </c>
      <c r="D293">
        <f>IF($A293=1,D292+ROUNDDOWN(1000/$B293,0),IF(A293=2,D292,IF(A293&gt;3,IF(AND(B292&lt;B291,B291&lt;B290),IF(C292&gt;=1000,D292+ROUNDDOWN(1000/$B293,0),D292),IF($B292=MAX($B$3:$B292),0,D292)),IF($B292=MAX($B$3:$B292),0,D292))))</f>
        <v>14</v>
      </c>
      <c r="E293">
        <f t="shared" si="4"/>
        <v>0</v>
      </c>
    </row>
    <row r="294" spans="1:5" x14ac:dyDescent="0.25">
      <c r="A294">
        <v>292</v>
      </c>
      <c r="B294" s="5">
        <v>130.77000000000001</v>
      </c>
      <c r="C294" s="5">
        <f>IF($A294=1,$C$2-(ROUNDDOWN(1000/$B294,0)*$B294),IF(A294=2,C293,IF(A294&gt;3,IF(AND(B293&lt;B292,B292&lt;B291),IF(C293&gt;=1000,C293-(ROUNDDOWN(1000/$B294,0)*$B294),C293),IF($B293=MAX($B$3:$B293),C293+(D293*B294),C293)),IF($B293=MAX($B$3:$B293),C293+(D293*B294),C293))))</f>
        <v>4308.6400000000012</v>
      </c>
      <c r="D294">
        <f>IF($A294=1,D293+ROUNDDOWN(1000/$B294,0),IF(A294=2,D293,IF(A294&gt;3,IF(AND(B293&lt;B292,B292&lt;B291),IF(C293&gt;=1000,D293+ROUNDDOWN(1000/$B294,0),D293),IF($B293=MAX($B$3:$B293),0,D293)),IF($B293=MAX($B$3:$B293),0,D293))))</f>
        <v>14</v>
      </c>
      <c r="E294">
        <f t="shared" si="4"/>
        <v>0</v>
      </c>
    </row>
    <row r="295" spans="1:5" x14ac:dyDescent="0.25">
      <c r="A295">
        <v>293</v>
      </c>
      <c r="B295" s="5">
        <v>129.31</v>
      </c>
      <c r="C295" s="5">
        <f>IF($A295=1,$C$2-(ROUNDDOWN(1000/$B295,0)*$B295),IF(A295=2,C294,IF(A295&gt;3,IF(AND(B294&lt;B293,B293&lt;B292),IF(C294&gt;=1000,C294-(ROUNDDOWN(1000/$B295,0)*$B295),C294),IF($B294=MAX($B$3:$B294),C294+(D294*B295),C294)),IF($B294=MAX($B$3:$B294),C294+(D294*B295),C294))))</f>
        <v>4308.6400000000012</v>
      </c>
      <c r="D295">
        <f>IF($A295=1,D294+ROUNDDOWN(1000/$B295,0),IF(A295=2,D294,IF(A295&gt;3,IF(AND(B294&lt;B293,B293&lt;B292),IF(C294&gt;=1000,D294+ROUNDDOWN(1000/$B295,0),D294),IF($B294=MAX($B$3:$B294),0,D294)),IF($B294=MAX($B$3:$B294),0,D294))))</f>
        <v>14</v>
      </c>
      <c r="E295">
        <f t="shared" si="4"/>
        <v>0</v>
      </c>
    </row>
    <row r="296" spans="1:5" x14ac:dyDescent="0.25">
      <c r="A296">
        <v>294</v>
      </c>
      <c r="B296" s="5">
        <v>130.66999999999999</v>
      </c>
      <c r="C296" s="5">
        <f>IF($A296=1,$C$2-(ROUNDDOWN(1000/$B296,0)*$B296),IF(A296=2,C295,IF(A296&gt;3,IF(AND(B295&lt;B294,B294&lt;B293),IF(C295&gt;=1000,C295-(ROUNDDOWN(1000/$B296,0)*$B296),C295),IF($B295=MAX($B$3:$B295),C295+(D295*B296),C295)),IF($B295=MAX($B$3:$B295),C295+(D295*B296),C295))))</f>
        <v>4308.6400000000012</v>
      </c>
      <c r="D296">
        <f>IF($A296=1,D295+ROUNDDOWN(1000/$B296,0),IF(A296=2,D295,IF(A296&gt;3,IF(AND(B295&lt;B294,B294&lt;B293),IF(C295&gt;=1000,D295+ROUNDDOWN(1000/$B296,0),D295),IF($B295=MAX($B$3:$B295),0,D295)),IF($B295=MAX($B$3:$B295),0,D295))))</f>
        <v>14</v>
      </c>
      <c r="E296">
        <f t="shared" si="4"/>
        <v>0</v>
      </c>
    </row>
    <row r="297" spans="1:5" x14ac:dyDescent="0.25">
      <c r="A297">
        <v>295</v>
      </c>
      <c r="B297" s="5">
        <v>128.88</v>
      </c>
      <c r="C297" s="5">
        <f>IF($A297=1,$C$2-(ROUNDDOWN(1000/$B297,0)*$B297),IF(A297=2,C296,IF(A297&gt;3,IF(AND(B296&lt;B295,B295&lt;B294),IF(C296&gt;=1000,C296-(ROUNDDOWN(1000/$B297,0)*$B297),C296),IF($B296=MAX($B$3:$B296),C296+(D296*B297),C296)),IF($B296=MAX($B$3:$B296),C296+(D296*B297),C296))))</f>
        <v>4308.6400000000012</v>
      </c>
      <c r="D297">
        <f>IF($A297=1,D296+ROUNDDOWN(1000/$B297,0),IF(A297=2,D296,IF(A297&gt;3,IF(AND(B296&lt;B295,B295&lt;B294),IF(C296&gt;=1000,D296+ROUNDDOWN(1000/$B297,0),D296),IF($B296=MAX($B$3:$B296),0,D296)),IF($B296=MAX($B$3:$B296),0,D296))))</f>
        <v>14</v>
      </c>
      <c r="E297">
        <f t="shared" si="4"/>
        <v>0</v>
      </c>
    </row>
    <row r="298" spans="1:5" x14ac:dyDescent="0.25">
      <c r="A298">
        <v>296</v>
      </c>
      <c r="B298" s="5">
        <v>127.1</v>
      </c>
      <c r="C298" s="5">
        <f>IF($A298=1,$C$2-(ROUNDDOWN(1000/$B298,0)*$B298),IF(A298=2,C297,IF(A298&gt;3,IF(AND(B297&lt;B296,B296&lt;B295),IF(C297&gt;=1000,C297-(ROUNDDOWN(1000/$B298,0)*$B298),C297),IF($B297=MAX($B$3:$B297),C297+(D297*B298),C297)),IF($B297=MAX($B$3:$B297),C297+(D297*B298),C297))))</f>
        <v>4308.6400000000012</v>
      </c>
      <c r="D298">
        <f>IF($A298=1,D297+ROUNDDOWN(1000/$B298,0),IF(A298=2,D297,IF(A298&gt;3,IF(AND(B297&lt;B296,B296&lt;B295),IF(C297&gt;=1000,D297+ROUNDDOWN(1000/$B298,0),D297),IF($B297=MAX($B$3:$B297),0,D297)),IF($B297=MAX($B$3:$B297),0,D297))))</f>
        <v>14</v>
      </c>
      <c r="E298">
        <f t="shared" si="4"/>
        <v>0</v>
      </c>
    </row>
    <row r="299" spans="1:5" x14ac:dyDescent="0.25">
      <c r="A299">
        <v>297</v>
      </c>
      <c r="B299" s="5">
        <v>128.56</v>
      </c>
      <c r="C299" s="5">
        <f>IF($A299=1,$C$2-(ROUNDDOWN(1000/$B299,0)*$B299),IF(A299=2,C298,IF(A299&gt;3,IF(AND(B298&lt;B297,B297&lt;B296),IF(C298&gt;=1000,C298-(ROUNDDOWN(1000/$B299,0)*$B299),C298),IF($B298=MAX($B$3:$B298),C298+(D298*B299),C298)),IF($B298=MAX($B$3:$B298),C298+(D298*B299),C298))))</f>
        <v>3408.7200000000012</v>
      </c>
      <c r="D299">
        <f>IF($A299=1,D298+ROUNDDOWN(1000/$B299,0),IF(A299=2,D298,IF(A299&gt;3,IF(AND(B298&lt;B297,B297&lt;B296),IF(C298&gt;=1000,D298+ROUNDDOWN(1000/$B299,0),D298),IF($B298=MAX($B$3:$B298),0,D298)),IF($B298=MAX($B$3:$B298),0,D298))))</f>
        <v>21</v>
      </c>
      <c r="E299">
        <f t="shared" si="4"/>
        <v>1</v>
      </c>
    </row>
    <row r="300" spans="1:5" x14ac:dyDescent="0.25">
      <c r="A300">
        <v>298</v>
      </c>
      <c r="B300" s="5">
        <v>126.64</v>
      </c>
      <c r="C300" s="5">
        <f>IF($A300=1,$C$2-(ROUNDDOWN(1000/$B300,0)*$B300),IF(A300=2,C299,IF(A300&gt;3,IF(AND(B299&lt;B298,B298&lt;B297),IF(C299&gt;=1000,C299-(ROUNDDOWN(1000/$B300,0)*$B300),C299),IF($B299=MAX($B$3:$B299),C299+(D299*B300),C299)),IF($B299=MAX($B$3:$B299),C299+(D299*B300),C299))))</f>
        <v>3408.7200000000012</v>
      </c>
      <c r="D300">
        <f>IF($A300=1,D299+ROUNDDOWN(1000/$B300,0),IF(A300=2,D299,IF(A300&gt;3,IF(AND(B299&lt;B298,B298&lt;B297),IF(C299&gt;=1000,D299+ROUNDDOWN(1000/$B300,0),D299),IF($B299=MAX($B$3:$B299),0,D299)),IF($B299=MAX($B$3:$B299),0,D299))))</f>
        <v>21</v>
      </c>
      <c r="E300">
        <f t="shared" si="4"/>
        <v>0</v>
      </c>
    </row>
    <row r="301" spans="1:5" x14ac:dyDescent="0.25">
      <c r="A301">
        <v>299</v>
      </c>
      <c r="B301" s="5">
        <v>127.5</v>
      </c>
      <c r="C301" s="5">
        <f>IF($A301=1,$C$2-(ROUNDDOWN(1000/$B301,0)*$B301),IF(A301=2,C300,IF(A301&gt;3,IF(AND(B300&lt;B299,B299&lt;B298),IF(C300&gt;=1000,C300-(ROUNDDOWN(1000/$B301,0)*$B301),C300),IF($B300=MAX($B$3:$B300),C300+(D300*B301),C300)),IF($B300=MAX($B$3:$B300),C300+(D300*B301),C300))))</f>
        <v>3408.7200000000012</v>
      </c>
      <c r="D301">
        <f>IF($A301=1,D300+ROUNDDOWN(1000/$B301,0),IF(A301=2,D300,IF(A301&gt;3,IF(AND(B300&lt;B299,B299&lt;B298),IF(C300&gt;=1000,D300+ROUNDDOWN(1000/$B301,0),D300),IF($B300=MAX($B$3:$B300),0,D300)),IF($B300=MAX($B$3:$B300),0,D300))))</f>
        <v>21</v>
      </c>
      <c r="E301">
        <f t="shared" si="4"/>
        <v>0</v>
      </c>
    </row>
    <row r="302" spans="1:5" x14ac:dyDescent="0.25">
      <c r="A302">
        <v>300</v>
      </c>
      <c r="B302" s="5">
        <v>127.51</v>
      </c>
      <c r="C302" s="5">
        <f>IF($A302=1,$C$2-(ROUNDDOWN(1000/$B302,0)*$B302),IF(A302=2,C301,IF(A302&gt;3,IF(AND(B301&lt;B300,B300&lt;B299),IF(C301&gt;=1000,C301-(ROUNDDOWN(1000/$B302,0)*$B302),C301),IF($B301=MAX($B$3:$B301),C301+(D301*B302),C301)),IF($B301=MAX($B$3:$B301),C301+(D301*B302),C301))))</f>
        <v>3408.7200000000012</v>
      </c>
      <c r="D302">
        <f>IF($A302=1,D301+ROUNDDOWN(1000/$B302,0),IF(A302=2,D301,IF(A302&gt;3,IF(AND(B301&lt;B300,B300&lt;B299),IF(C301&gt;=1000,D301+ROUNDDOWN(1000/$B302,0),D301),IF($B301=MAX($B$3:$B301),0,D301)),IF($B301=MAX($B$3:$B301),0,D301))))</f>
        <v>21</v>
      </c>
      <c r="E302">
        <f t="shared" si="4"/>
        <v>0</v>
      </c>
    </row>
    <row r="303" spans="1:5" x14ac:dyDescent="0.25">
      <c r="A303">
        <v>301</v>
      </c>
      <c r="B303" s="5">
        <v>128.83000000000001</v>
      </c>
      <c r="C303" s="5">
        <f>IF($A303=1,$C$2-(ROUNDDOWN(1000/$B303,0)*$B303),IF(A303=2,C302,IF(A303&gt;3,IF(AND(B302&lt;B301,B301&lt;B300),IF(C302&gt;=1000,C302-(ROUNDDOWN(1000/$B303,0)*$B303),C302),IF($B302=MAX($B$3:$B302),C302+(D302*B303),C302)),IF($B302=MAX($B$3:$B302),C302+(D302*B303),C302))))</f>
        <v>3408.7200000000012</v>
      </c>
      <c r="D303">
        <f>IF($A303=1,D302+ROUNDDOWN(1000/$B303,0),IF(A303=2,D302,IF(A303&gt;3,IF(AND(B302&lt;B301,B301&lt;B300),IF(C302&gt;=1000,D302+ROUNDDOWN(1000/$B303,0),D302),IF($B302=MAX($B$3:$B302),0,D302)),IF($B302=MAX($B$3:$B302),0,D302))))</f>
        <v>21</v>
      </c>
      <c r="E303">
        <f t="shared" si="4"/>
        <v>0</v>
      </c>
    </row>
    <row r="304" spans="1:5" x14ac:dyDescent="0.25">
      <c r="A304">
        <v>302</v>
      </c>
      <c r="B304" s="5">
        <v>126.93</v>
      </c>
      <c r="C304" s="5">
        <f>IF($A304=1,$C$2-(ROUNDDOWN(1000/$B304,0)*$B304),IF(A304=2,C303,IF(A304&gt;3,IF(AND(B303&lt;B302,B302&lt;B301),IF(C303&gt;=1000,C303-(ROUNDDOWN(1000/$B304,0)*$B304),C303),IF($B303=MAX($B$3:$B303),C303+(D303*B304),C303)),IF($B303=MAX($B$3:$B303),C303+(D303*B304),C303))))</f>
        <v>3408.7200000000012</v>
      </c>
      <c r="D304">
        <f>IF($A304=1,D303+ROUNDDOWN(1000/$B304,0),IF(A304=2,D303,IF(A304&gt;3,IF(AND(B303&lt;B302,B302&lt;B301),IF(C303&gt;=1000,D303+ROUNDDOWN(1000/$B304,0),D303),IF($B303=MAX($B$3:$B303),0,D303)),IF($B303=MAX($B$3:$B303),0,D303))))</f>
        <v>21</v>
      </c>
      <c r="E304">
        <f t="shared" si="4"/>
        <v>0</v>
      </c>
    </row>
    <row r="305" spans="1:5" x14ac:dyDescent="0.25">
      <c r="A305">
        <v>303</v>
      </c>
      <c r="B305" s="5">
        <v>128.9</v>
      </c>
      <c r="C305" s="5">
        <f>IF($A305=1,$C$2-(ROUNDDOWN(1000/$B305,0)*$B305),IF(A305=2,C304,IF(A305&gt;3,IF(AND(B304&lt;B303,B303&lt;B302),IF(C304&gt;=1000,C304-(ROUNDDOWN(1000/$B305,0)*$B305),C304),IF($B304=MAX($B$3:$B304),C304+(D304*B305),C304)),IF($B304=MAX($B$3:$B304),C304+(D304*B305),C304))))</f>
        <v>3408.7200000000012</v>
      </c>
      <c r="D305">
        <f>IF($A305=1,D304+ROUNDDOWN(1000/$B305,0),IF(A305=2,D304,IF(A305&gt;3,IF(AND(B304&lt;B303,B303&lt;B302),IF(C304&gt;=1000,D304+ROUNDDOWN(1000/$B305,0),D304),IF($B304=MAX($B$3:$B304),0,D304)),IF($B304=MAX($B$3:$B304),0,D304))))</f>
        <v>21</v>
      </c>
      <c r="E305">
        <f t="shared" si="4"/>
        <v>0</v>
      </c>
    </row>
    <row r="306" spans="1:5" x14ac:dyDescent="0.25">
      <c r="A306">
        <v>304</v>
      </c>
      <c r="B306" s="5">
        <v>129.55000000000001</v>
      </c>
      <c r="C306" s="5">
        <f>IF($A306=1,$C$2-(ROUNDDOWN(1000/$B306,0)*$B306),IF(A306=2,C305,IF(A306&gt;3,IF(AND(B305&lt;B304,B304&lt;B303),IF(C305&gt;=1000,C305-(ROUNDDOWN(1000/$B306,0)*$B306),C305),IF($B305=MAX($B$3:$B305),C305+(D305*B306),C305)),IF($B305=MAX($B$3:$B305),C305+(D305*B306),C305))))</f>
        <v>3408.7200000000012</v>
      </c>
      <c r="D306">
        <f>IF($A306=1,D305+ROUNDDOWN(1000/$B306,0),IF(A306=2,D305,IF(A306&gt;3,IF(AND(B305&lt;B304,B304&lt;B303),IF(C305&gt;=1000,D305+ROUNDDOWN(1000/$B306,0),D305),IF($B305=MAX($B$3:$B305),0,D305)),IF($B305=MAX($B$3:$B305),0,D305))))</f>
        <v>21</v>
      </c>
      <c r="E306">
        <f t="shared" si="4"/>
        <v>0</v>
      </c>
    </row>
    <row r="307" spans="1:5" x14ac:dyDescent="0.25">
      <c r="A307">
        <v>305</v>
      </c>
      <c r="B307" s="5">
        <v>130</v>
      </c>
      <c r="C307" s="5">
        <f>IF($A307=1,$C$2-(ROUNDDOWN(1000/$B307,0)*$B307),IF(A307=2,C306,IF(A307&gt;3,IF(AND(B306&lt;B305,B305&lt;B304),IF(C306&gt;=1000,C306-(ROUNDDOWN(1000/$B307,0)*$B307),C306),IF($B306=MAX($B$3:$B306),C306+(D306*B307),C306)),IF($B306=MAX($B$3:$B306),C306+(D306*B307),C306))))</f>
        <v>3408.7200000000012</v>
      </c>
      <c r="D307">
        <f>IF($A307=1,D306+ROUNDDOWN(1000/$B307,0),IF(A307=2,D306,IF(A307&gt;3,IF(AND(B306&lt;B305,B305&lt;B304),IF(C306&gt;=1000,D306+ROUNDDOWN(1000/$B307,0),D306),IF($B306=MAX($B$3:$B306),0,D306)),IF($B306=MAX($B$3:$B306),0,D306))))</f>
        <v>21</v>
      </c>
      <c r="E307">
        <f t="shared" si="4"/>
        <v>0</v>
      </c>
    </row>
    <row r="308" spans="1:5" x14ac:dyDescent="0.25">
      <c r="A308">
        <v>306</v>
      </c>
      <c r="B308" s="5">
        <v>129.80000000000001</v>
      </c>
      <c r="C308" s="5">
        <f>IF($A308=1,$C$2-(ROUNDDOWN(1000/$B308,0)*$B308),IF(A308=2,C307,IF(A308&gt;3,IF(AND(B307&lt;B306,B306&lt;B305),IF(C307&gt;=1000,C307-(ROUNDDOWN(1000/$B308,0)*$B308),C307),IF($B307=MAX($B$3:$B307),C307+(D307*B308),C307)),IF($B307=MAX($B$3:$B307),C307+(D307*B308),C307))))</f>
        <v>3408.7200000000012</v>
      </c>
      <c r="D308">
        <f>IF($A308=1,D307+ROUNDDOWN(1000/$B308,0),IF(A308=2,D307,IF(A308&gt;3,IF(AND(B307&lt;B306,B306&lt;B305),IF(C307&gt;=1000,D307+ROUNDDOWN(1000/$B308,0),D307),IF($B307=MAX($B$3:$B307),0,D307)),IF($B307=MAX($B$3:$B307),0,D307))))</f>
        <v>21</v>
      </c>
      <c r="E308">
        <f t="shared" si="4"/>
        <v>0</v>
      </c>
    </row>
    <row r="309" spans="1:5" x14ac:dyDescent="0.25">
      <c r="A309">
        <v>307</v>
      </c>
      <c r="B309" s="5">
        <v>131.47</v>
      </c>
      <c r="C309" s="5">
        <f>IF($A309=1,$C$2-(ROUNDDOWN(1000/$B309,0)*$B309),IF(A309=2,C308,IF(A309&gt;3,IF(AND(B308&lt;B307,B307&lt;B306),IF(C308&gt;=1000,C308-(ROUNDDOWN(1000/$B309,0)*$B309),C308),IF($B308=MAX($B$3:$B308),C308+(D308*B309),C308)),IF($B308=MAX($B$3:$B308),C308+(D308*B309),C308))))</f>
        <v>3408.7200000000012</v>
      </c>
      <c r="D309">
        <f>IF($A309=1,D308+ROUNDDOWN(1000/$B309,0),IF(A309=2,D308,IF(A309&gt;3,IF(AND(B308&lt;B307,B307&lt;B306),IF(C308&gt;=1000,D308+ROUNDDOWN(1000/$B309,0),D308),IF($B308=MAX($B$3:$B308),0,D308)),IF($B308=MAX($B$3:$B308),0,D308))))</f>
        <v>21</v>
      </c>
      <c r="E309">
        <f t="shared" si="4"/>
        <v>0</v>
      </c>
    </row>
    <row r="310" spans="1:5" x14ac:dyDescent="0.25">
      <c r="A310">
        <v>308</v>
      </c>
      <c r="B310" s="5">
        <v>131.77000000000001</v>
      </c>
      <c r="C310" s="5">
        <f>IF($A310=1,$C$2-(ROUNDDOWN(1000/$B310,0)*$B310),IF(A310=2,C309,IF(A310&gt;3,IF(AND(B309&lt;B308,B308&lt;B307),IF(C309&gt;=1000,C309-(ROUNDDOWN(1000/$B310,0)*$B310),C309),IF($B309=MAX($B$3:$B309),C309+(D309*B310),C309)),IF($B309=MAX($B$3:$B309),C309+(D309*B310),C309))))</f>
        <v>3408.7200000000012</v>
      </c>
      <c r="D310">
        <f>IF($A310=1,D309+ROUNDDOWN(1000/$B310,0),IF(A310=2,D309,IF(A310&gt;3,IF(AND(B309&lt;B308,B308&lt;B307),IF(C309&gt;=1000,D309+ROUNDDOWN(1000/$B310,0),D309),IF($B309=MAX($B$3:$B309),0,D309)),IF($B309=MAX($B$3:$B309),0,D309))))</f>
        <v>21</v>
      </c>
      <c r="E310">
        <f t="shared" si="4"/>
        <v>0</v>
      </c>
    </row>
    <row r="311" spans="1:5" x14ac:dyDescent="0.25">
      <c r="A311">
        <v>309</v>
      </c>
      <c r="B311" s="5">
        <v>132.02000000000001</v>
      </c>
      <c r="C311" s="5">
        <f>IF($A311=1,$C$2-(ROUNDDOWN(1000/$B311,0)*$B311),IF(A311=2,C310,IF(A311&gt;3,IF(AND(B310&lt;B309,B309&lt;B308),IF(C310&gt;=1000,C310-(ROUNDDOWN(1000/$B311,0)*$B311),C310),IF($B310=MAX($B$3:$B310),C310+(D310*B311),C310)),IF($B310=MAX($B$3:$B310),C310+(D310*B311),C310))))</f>
        <v>3408.7200000000012</v>
      </c>
      <c r="D311">
        <f>IF($A311=1,D310+ROUNDDOWN(1000/$B311,0),IF(A311=2,D310,IF(A311&gt;3,IF(AND(B310&lt;B309,B309&lt;B308),IF(C310&gt;=1000,D310+ROUNDDOWN(1000/$B311,0),D310),IF($B310=MAX($B$3:$B310),0,D310)),IF($B310=MAX($B$3:$B310),0,D310))))</f>
        <v>21</v>
      </c>
      <c r="E311">
        <f t="shared" si="4"/>
        <v>0</v>
      </c>
    </row>
    <row r="312" spans="1:5" x14ac:dyDescent="0.25">
      <c r="A312">
        <v>310</v>
      </c>
      <c r="B312" s="5">
        <v>133.83000000000001</v>
      </c>
      <c r="C312" s="5">
        <f>IF($A312=1,$C$2-(ROUNDDOWN(1000/$B312,0)*$B312),IF(A312=2,C311,IF(A312&gt;3,IF(AND(B311&lt;B310,B310&lt;B309),IF(C311&gt;=1000,C311-(ROUNDDOWN(1000/$B312,0)*$B312),C311),IF($B311=MAX($B$3:$B311),C311+(D311*B312),C311)),IF($B311=MAX($B$3:$B311),C311+(D311*B312),C311))))</f>
        <v>3408.7200000000012</v>
      </c>
      <c r="D312">
        <f>IF($A312=1,D311+ROUNDDOWN(1000/$B312,0),IF(A312=2,D311,IF(A312&gt;3,IF(AND(B311&lt;B310,B310&lt;B309),IF(C311&gt;=1000,D311+ROUNDDOWN(1000/$B312,0),D311),IF($B311=MAX($B$3:$B311),0,D311)),IF($B311=MAX($B$3:$B311),0,D311))))</f>
        <v>21</v>
      </c>
      <c r="E312">
        <f t="shared" si="4"/>
        <v>0</v>
      </c>
    </row>
    <row r="313" spans="1:5" x14ac:dyDescent="0.25">
      <c r="A313">
        <v>311</v>
      </c>
      <c r="B313" s="5">
        <v>135.18</v>
      </c>
      <c r="C313" s="5">
        <f>IF($A313=1,$C$2-(ROUNDDOWN(1000/$B313,0)*$B313),IF(A313=2,C312,IF(A313&gt;3,IF(AND(B312&lt;B311,B311&lt;B310),IF(C312&gt;=1000,C312-(ROUNDDOWN(1000/$B313,0)*$B313),C312),IF($B312=MAX($B$3:$B312),C312+(D312*B313),C312)),IF($B312=MAX($B$3:$B312),C312+(D312*B313),C312))))</f>
        <v>3408.7200000000012</v>
      </c>
      <c r="D313">
        <f>IF($A313=1,D312+ROUNDDOWN(1000/$B313,0),IF(A313=2,D312,IF(A313&gt;3,IF(AND(B312&lt;B311,B311&lt;B310),IF(C312&gt;=1000,D312+ROUNDDOWN(1000/$B313,0),D312),IF($B312=MAX($B$3:$B312),0,D312)),IF($B312=MAX($B$3:$B312),0,D312))))</f>
        <v>21</v>
      </c>
      <c r="E313">
        <f t="shared" si="4"/>
        <v>0</v>
      </c>
    </row>
    <row r="314" spans="1:5" x14ac:dyDescent="0.25">
      <c r="A314">
        <v>312</v>
      </c>
      <c r="B314" s="5">
        <v>137.03</v>
      </c>
      <c r="C314" s="5">
        <f>IF($A314=1,$C$2-(ROUNDDOWN(1000/$B314,0)*$B314),IF(A314=2,C313,IF(A314&gt;3,IF(AND(B313&lt;B312,B312&lt;B311),IF(C313&gt;=1000,C313-(ROUNDDOWN(1000/$B314,0)*$B314),C313),IF($B313=MAX($B$3:$B313),C313+(D313*B314),C313)),IF($B313=MAX($B$3:$B313),C313+(D313*B314),C313))))</f>
        <v>6286.3500000000013</v>
      </c>
      <c r="D314">
        <f>IF($A314=1,D313+ROUNDDOWN(1000/$B314,0),IF(A314=2,D313,IF(A314&gt;3,IF(AND(B313&lt;B312,B312&lt;B311),IF(C313&gt;=1000,D313+ROUNDDOWN(1000/$B314,0),D313),IF($B313=MAX($B$3:$B313),0,D313)),IF($B313=MAX($B$3:$B313),0,D313))))</f>
        <v>0</v>
      </c>
      <c r="E314">
        <f t="shared" si="4"/>
        <v>0</v>
      </c>
    </row>
    <row r="315" spans="1:5" x14ac:dyDescent="0.25">
      <c r="A315">
        <v>313</v>
      </c>
      <c r="B315" s="5">
        <v>138.52000000000001</v>
      </c>
      <c r="C315" s="5">
        <f>IF($A315=1,$C$2-(ROUNDDOWN(1000/$B315,0)*$B315),IF(A315=2,C314,IF(A315&gt;3,IF(AND(B314&lt;B313,B313&lt;B312),IF(C314&gt;=1000,C314-(ROUNDDOWN(1000/$B315,0)*$B315),C314),IF($B314=MAX($B$3:$B314),C314+(D314*B315),C314)),IF($B314=MAX($B$3:$B314),C314+(D314*B315),C314))))</f>
        <v>6286.3500000000013</v>
      </c>
      <c r="D315">
        <f>IF($A315=1,D314+ROUNDDOWN(1000/$B315,0),IF(A315=2,D314,IF(A315&gt;3,IF(AND(B314&lt;B313,B313&lt;B312),IF(C314&gt;=1000,D314+ROUNDDOWN(1000/$B315,0),D314),IF($B314=MAX($B$3:$B314),0,D314)),IF($B314=MAX($B$3:$B314),0,D314))))</f>
        <v>0</v>
      </c>
      <c r="E315">
        <f t="shared" si="4"/>
        <v>0</v>
      </c>
    </row>
    <row r="316" spans="1:5" x14ac:dyDescent="0.25">
      <c r="A316">
        <v>314</v>
      </c>
      <c r="B316" s="5">
        <v>137.19</v>
      </c>
      <c r="C316" s="5">
        <f>IF($A316=1,$C$2-(ROUNDDOWN(1000/$B316,0)*$B316),IF(A316=2,C315,IF(A316&gt;3,IF(AND(B315&lt;B314,B314&lt;B313),IF(C315&gt;=1000,C315-(ROUNDDOWN(1000/$B316,0)*$B316),C315),IF($B315=MAX($B$3:$B315),C315+(D315*B316),C315)),IF($B315=MAX($B$3:$B315),C315+(D315*B316),C315))))</f>
        <v>6286.3500000000013</v>
      </c>
      <c r="D316">
        <f>IF($A316=1,D315+ROUNDDOWN(1000/$B316,0),IF(A316=2,D315,IF(A316&gt;3,IF(AND(B315&lt;B314,B314&lt;B313),IF(C315&gt;=1000,D315+ROUNDDOWN(1000/$B316,0),D315),IF($B315=MAX($B$3:$B315),0,D315)),IF($B315=MAX($B$3:$B315),0,D315))))</f>
        <v>0</v>
      </c>
      <c r="E316">
        <f t="shared" si="4"/>
        <v>0</v>
      </c>
    </row>
    <row r="317" spans="1:5" x14ac:dyDescent="0.25">
      <c r="A317">
        <v>315</v>
      </c>
      <c r="B317" s="5">
        <v>135.94999999999999</v>
      </c>
      <c r="C317" s="5">
        <f>IF($A317=1,$C$2-(ROUNDDOWN(1000/$B317,0)*$B317),IF(A317=2,C316,IF(A317&gt;3,IF(AND(B316&lt;B315,B315&lt;B314),IF(C316&gt;=1000,C316-(ROUNDDOWN(1000/$B317,0)*$B317),C316),IF($B316=MAX($B$3:$B316),C316+(D316*B317),C316)),IF($B316=MAX($B$3:$B316),C316+(D316*B317),C316))))</f>
        <v>6286.3500000000013</v>
      </c>
      <c r="D317">
        <f>IF($A317=1,D316+ROUNDDOWN(1000/$B317,0),IF(A317=2,D316,IF(A317&gt;3,IF(AND(B316&lt;B315,B315&lt;B314),IF(C316&gt;=1000,D316+ROUNDDOWN(1000/$B317,0),D316),IF($B316=MAX($B$3:$B316),0,D316)),IF($B316=MAX($B$3:$B316),0,D316))))</f>
        <v>0</v>
      </c>
      <c r="E317">
        <f t="shared" si="4"/>
        <v>0</v>
      </c>
    </row>
    <row r="318" spans="1:5" x14ac:dyDescent="0.25">
      <c r="A318">
        <v>316</v>
      </c>
      <c r="B318" s="5">
        <v>137</v>
      </c>
      <c r="C318" s="5">
        <f>IF($A318=1,$C$2-(ROUNDDOWN(1000/$B318,0)*$B318),IF(A318=2,C317,IF(A318&gt;3,IF(AND(B317&lt;B316,B316&lt;B315),IF(C317&gt;=1000,C317-(ROUNDDOWN(1000/$B318,0)*$B318),C317),IF($B317=MAX($B$3:$B317),C317+(D317*B318),C317)),IF($B317=MAX($B$3:$B317),C317+(D317*B318),C317))))</f>
        <v>5327.3500000000013</v>
      </c>
      <c r="D318">
        <f>IF($A318=1,D317+ROUNDDOWN(1000/$B318,0),IF(A318=2,D317,IF(A318&gt;3,IF(AND(B317&lt;B316,B316&lt;B315),IF(C317&gt;=1000,D317+ROUNDDOWN(1000/$B318,0),D317),IF($B317=MAX($B$3:$B317),0,D317)),IF($B317=MAX($B$3:$B317),0,D317))))</f>
        <v>7</v>
      </c>
      <c r="E318">
        <f t="shared" si="4"/>
        <v>1</v>
      </c>
    </row>
    <row r="319" spans="1:5" x14ac:dyDescent="0.25">
      <c r="A319">
        <v>317</v>
      </c>
      <c r="B319" s="5">
        <v>137.66999999999999</v>
      </c>
      <c r="C319" s="5">
        <f>IF($A319=1,$C$2-(ROUNDDOWN(1000/$B319,0)*$B319),IF(A319=2,C318,IF(A319&gt;3,IF(AND(B318&lt;B317,B317&lt;B316),IF(C318&gt;=1000,C318-(ROUNDDOWN(1000/$B319,0)*$B319),C318),IF($B318=MAX($B$3:$B318),C318+(D318*B319),C318)),IF($B318=MAX($B$3:$B318),C318+(D318*B319),C318))))</f>
        <v>5327.3500000000013</v>
      </c>
      <c r="D319">
        <f>IF($A319=1,D318+ROUNDDOWN(1000/$B319,0),IF(A319=2,D318,IF(A319&gt;3,IF(AND(B318&lt;B317,B317&lt;B316),IF(C318&gt;=1000,D318+ROUNDDOWN(1000/$B319,0),D318),IF($B318=MAX($B$3:$B318),0,D318)),IF($B318=MAX($B$3:$B318),0,D318))))</f>
        <v>7</v>
      </c>
      <c r="E319">
        <f t="shared" si="4"/>
        <v>0</v>
      </c>
    </row>
    <row r="320" spans="1:5" x14ac:dyDescent="0.25">
      <c r="A320">
        <v>318</v>
      </c>
      <c r="B320" s="5">
        <v>136.63</v>
      </c>
      <c r="C320" s="5">
        <f>IF($A320=1,$C$2-(ROUNDDOWN(1000/$B320,0)*$B320),IF(A320=2,C319,IF(A320&gt;3,IF(AND(B319&lt;B318,B318&lt;B317),IF(C319&gt;=1000,C319-(ROUNDDOWN(1000/$B320,0)*$B320),C319),IF($B319=MAX($B$3:$B319),C319+(D319*B320),C319)),IF($B319=MAX($B$3:$B319),C319+(D319*B320),C319))))</f>
        <v>5327.3500000000013</v>
      </c>
      <c r="D320">
        <f>IF($A320=1,D319+ROUNDDOWN(1000/$B320,0),IF(A320=2,D319,IF(A320&gt;3,IF(AND(B319&lt;B318,B318&lt;B317),IF(C319&gt;=1000,D319+ROUNDDOWN(1000/$B320,0),D319),IF($B319=MAX($B$3:$B319),0,D319)),IF($B319=MAX($B$3:$B319),0,D319))))</f>
        <v>7</v>
      </c>
      <c r="E320">
        <f t="shared" si="4"/>
        <v>0</v>
      </c>
    </row>
    <row r="321" spans="1:5" x14ac:dyDescent="0.25">
      <c r="A321">
        <v>319</v>
      </c>
      <c r="B321" s="5">
        <v>137.87</v>
      </c>
      <c r="C321" s="5">
        <f>IF($A321=1,$C$2-(ROUNDDOWN(1000/$B321,0)*$B321),IF(A321=2,C320,IF(A321&gt;3,IF(AND(B320&lt;B319,B319&lt;B318),IF(C320&gt;=1000,C320-(ROUNDDOWN(1000/$B321,0)*$B321),C320),IF($B320=MAX($B$3:$B320),C320+(D320*B321),C320)),IF($B320=MAX($B$3:$B320),C320+(D320*B321),C320))))</f>
        <v>5327.3500000000013</v>
      </c>
      <c r="D321">
        <f>IF($A321=1,D320+ROUNDDOWN(1000/$B321,0),IF(A321=2,D320,IF(A321&gt;3,IF(AND(B320&lt;B319,B319&lt;B318),IF(C320&gt;=1000,D320+ROUNDDOWN(1000/$B321,0),D320),IF($B320=MAX($B$3:$B320),0,D320)),IF($B320=MAX($B$3:$B320),0,D320))))</f>
        <v>7</v>
      </c>
      <c r="E321">
        <f t="shared" si="4"/>
        <v>0</v>
      </c>
    </row>
    <row r="322" spans="1:5" x14ac:dyDescent="0.25">
      <c r="A322">
        <v>320</v>
      </c>
      <c r="B322" s="5">
        <v>139.09</v>
      </c>
      <c r="C322" s="5">
        <f>IF($A322=1,$C$2-(ROUNDDOWN(1000/$B322,0)*$B322),IF(A322=2,C321,IF(A322&gt;3,IF(AND(B321&lt;B320,B320&lt;B319),IF(C321&gt;=1000,C321-(ROUNDDOWN(1000/$B322,0)*$B322),C321),IF($B321=MAX($B$3:$B321),C321+(D321*B322),C321)),IF($B321=MAX($B$3:$B321),C321+(D321*B322),C321))))</f>
        <v>5327.3500000000013</v>
      </c>
      <c r="D322">
        <f>IF($A322=1,D321+ROUNDDOWN(1000/$B322,0),IF(A322=2,D321,IF(A322&gt;3,IF(AND(B321&lt;B320,B320&lt;B319),IF(C321&gt;=1000,D321+ROUNDDOWN(1000/$B322,0),D321),IF($B321=MAX($B$3:$B321),0,D321)),IF($B321=MAX($B$3:$B321),0,D321))))</f>
        <v>7</v>
      </c>
      <c r="E322">
        <f t="shared" si="4"/>
        <v>0</v>
      </c>
    </row>
    <row r="323" spans="1:5" x14ac:dyDescent="0.25">
      <c r="A323">
        <v>321</v>
      </c>
      <c r="B323" s="5">
        <v>140.12</v>
      </c>
      <c r="C323" s="5">
        <f>IF($A323=1,$C$2-(ROUNDDOWN(1000/$B323,0)*$B323),IF(A323=2,C322,IF(A323&gt;3,IF(AND(B322&lt;B321,B321&lt;B320),IF(C322&gt;=1000,C322-(ROUNDDOWN(1000/$B323,0)*$B323),C322),IF($B322=MAX($B$3:$B322),C322+(D322*B323),C322)),IF($B322=MAX($B$3:$B322),C322+(D322*B323),C322))))</f>
        <v>6308.1900000000014</v>
      </c>
      <c r="D323">
        <f>IF($A323=1,D322+ROUNDDOWN(1000/$B323,0),IF(A323=2,D322,IF(A323&gt;3,IF(AND(B322&lt;B321,B321&lt;B320),IF(C322&gt;=1000,D322+ROUNDDOWN(1000/$B323,0),D322),IF($B322=MAX($B$3:$B322),0,D322)),IF($B322=MAX($B$3:$B322),0,D322))))</f>
        <v>0</v>
      </c>
      <c r="E323">
        <f t="shared" si="4"/>
        <v>0</v>
      </c>
    </row>
    <row r="324" spans="1:5" x14ac:dyDescent="0.25">
      <c r="A324">
        <v>322</v>
      </c>
      <c r="B324" s="5">
        <v>138.57</v>
      </c>
      <c r="C324" s="5">
        <f>IF($A324=1,$C$2-(ROUNDDOWN(1000/$B324,0)*$B324),IF(A324=2,C323,IF(A324&gt;3,IF(AND(B323&lt;B322,B322&lt;B321),IF(C323&gt;=1000,C323-(ROUNDDOWN(1000/$B324,0)*$B324),C323),IF($B323=MAX($B$3:$B323),C323+(D323*B324),C323)),IF($B323=MAX($B$3:$B323),C323+(D323*B324),C323))))</f>
        <v>6308.1900000000014</v>
      </c>
      <c r="D324">
        <f>IF($A324=1,D323+ROUNDDOWN(1000/$B324,0),IF(A324=2,D323,IF(A324&gt;3,IF(AND(B323&lt;B322,B322&lt;B321),IF(C323&gt;=1000,D323+ROUNDDOWN(1000/$B324,0),D323),IF($B323=MAX($B$3:$B323),0,D323)),IF($B323=MAX($B$3:$B323),0,D323))))</f>
        <v>0</v>
      </c>
      <c r="E324">
        <f t="shared" ref="E324:E387" si="5">IF(D324&gt;D323,1,0)</f>
        <v>0</v>
      </c>
    </row>
    <row r="325" spans="1:5" x14ac:dyDescent="0.25">
      <c r="A325">
        <v>323</v>
      </c>
      <c r="B325" s="5">
        <v>138.84</v>
      </c>
      <c r="C325" s="5">
        <f>IF($A325=1,$C$2-(ROUNDDOWN(1000/$B325,0)*$B325),IF(A325=2,C324,IF(A325&gt;3,IF(AND(B324&lt;B323,B323&lt;B322),IF(C324&gt;=1000,C324-(ROUNDDOWN(1000/$B325,0)*$B325),C324),IF($B324=MAX($B$3:$B324),C324+(D324*B325),C324)),IF($B324=MAX($B$3:$B324),C324+(D324*B325),C324))))</f>
        <v>6308.1900000000014</v>
      </c>
      <c r="D325">
        <f>IF($A325=1,D324+ROUNDDOWN(1000/$B325,0),IF(A325=2,D324,IF(A325&gt;3,IF(AND(B324&lt;B323,B323&lt;B322),IF(C324&gt;=1000,D324+ROUNDDOWN(1000/$B325,0),D324),IF($B324=MAX($B$3:$B324),0,D324)),IF($B324=MAX($B$3:$B324),0,D324))))</f>
        <v>0</v>
      </c>
      <c r="E325">
        <f t="shared" si="5"/>
        <v>0</v>
      </c>
    </row>
    <row r="326" spans="1:5" x14ac:dyDescent="0.25">
      <c r="A326">
        <v>324</v>
      </c>
      <c r="B326" s="5">
        <v>140.71</v>
      </c>
      <c r="C326" s="5">
        <f>IF($A326=1,$C$2-(ROUNDDOWN(1000/$B326,0)*$B326),IF(A326=2,C325,IF(A326&gt;3,IF(AND(B325&lt;B324,B324&lt;B323),IF(C325&gt;=1000,C325-(ROUNDDOWN(1000/$B326,0)*$B326),C325),IF($B325=MAX($B$3:$B325),C325+(D325*B326),C325)),IF($B325=MAX($B$3:$B325),C325+(D325*B326),C325))))</f>
        <v>6308.1900000000014</v>
      </c>
      <c r="D326">
        <f>IF($A326=1,D325+ROUNDDOWN(1000/$B326,0),IF(A326=2,D325,IF(A326&gt;3,IF(AND(B325&lt;B324,B324&lt;B323),IF(C325&gt;=1000,D325+ROUNDDOWN(1000/$B326,0),D325),IF($B325=MAX($B$3:$B325),0,D325)),IF($B325=MAX($B$3:$B325),0,D325))))</f>
        <v>0</v>
      </c>
      <c r="E326">
        <f t="shared" si="5"/>
        <v>0</v>
      </c>
    </row>
    <row r="327" spans="1:5" x14ac:dyDescent="0.25">
      <c r="A327">
        <v>325</v>
      </c>
      <c r="B327" s="5">
        <v>140.85</v>
      </c>
      <c r="C327" s="5">
        <f>IF($A327=1,$C$2-(ROUNDDOWN(1000/$B327,0)*$B327),IF(A327=2,C326,IF(A327&gt;3,IF(AND(B326&lt;B325,B325&lt;B324),IF(C326&gt;=1000,C326-(ROUNDDOWN(1000/$B327,0)*$B327),C326),IF($B326=MAX($B$3:$B326),C326+(D326*B327),C326)),IF($B326=MAX($B$3:$B326),C326+(D326*B327),C326))))</f>
        <v>6308.1900000000014</v>
      </c>
      <c r="D327">
        <f>IF($A327=1,D326+ROUNDDOWN(1000/$B327,0),IF(A327=2,D326,IF(A327&gt;3,IF(AND(B326&lt;B325,B325&lt;B324),IF(C326&gt;=1000,D326+ROUNDDOWN(1000/$B327,0),D326),IF($B326=MAX($B$3:$B326),0,D326)),IF($B326=MAX($B$3:$B326),0,D326))))</f>
        <v>0</v>
      </c>
      <c r="E327">
        <f t="shared" si="5"/>
        <v>0</v>
      </c>
    </row>
    <row r="328" spans="1:5" x14ac:dyDescent="0.25">
      <c r="A328">
        <v>326</v>
      </c>
      <c r="B328" s="5">
        <v>138.94999999999999</v>
      </c>
      <c r="C328" s="5">
        <f>IF($A328=1,$C$2-(ROUNDDOWN(1000/$B328,0)*$B328),IF(A328=2,C327,IF(A328&gt;3,IF(AND(B327&lt;B326,B326&lt;B325),IF(C327&gt;=1000,C327-(ROUNDDOWN(1000/$B328,0)*$B328),C327),IF($B327=MAX($B$3:$B327),C327+(D327*B328),C327)),IF($B327=MAX($B$3:$B327),C327+(D327*B328),C327))))</f>
        <v>6308.1900000000014</v>
      </c>
      <c r="D328">
        <f>IF($A328=1,D327+ROUNDDOWN(1000/$B328,0),IF(A328=2,D327,IF(A328&gt;3,IF(AND(B327&lt;B326,B326&lt;B325),IF(C327&gt;=1000,D327+ROUNDDOWN(1000/$B328,0),D327),IF($B327=MAX($B$3:$B327),0,D327)),IF($B327=MAX($B$3:$B327),0,D327))))</f>
        <v>0</v>
      </c>
      <c r="E328">
        <f t="shared" si="5"/>
        <v>0</v>
      </c>
    </row>
    <row r="329" spans="1:5" x14ac:dyDescent="0.25">
      <c r="A329">
        <v>327</v>
      </c>
      <c r="B329" s="5">
        <v>140.37</v>
      </c>
      <c r="C329" s="5">
        <f>IF($A329=1,$C$2-(ROUNDDOWN(1000/$B329,0)*$B329),IF(A329=2,C328,IF(A329&gt;3,IF(AND(B328&lt;B327,B327&lt;B326),IF(C328&gt;=1000,C328-(ROUNDDOWN(1000/$B329,0)*$B329),C328),IF($B328=MAX($B$3:$B328),C328+(D328*B329),C328)),IF($B328=MAX($B$3:$B328),C328+(D328*B329),C328))))</f>
        <v>6308.1900000000014</v>
      </c>
      <c r="D329">
        <f>IF($A329=1,D328+ROUNDDOWN(1000/$B329,0),IF(A329=2,D328,IF(A329&gt;3,IF(AND(B328&lt;B327,B327&lt;B326),IF(C328&gt;=1000,D328+ROUNDDOWN(1000/$B329,0),D328),IF($B328=MAX($B$3:$B328),0,D328)),IF($B328=MAX($B$3:$B328),0,D328))))</f>
        <v>0</v>
      </c>
      <c r="E329">
        <f t="shared" si="5"/>
        <v>0</v>
      </c>
    </row>
    <row r="330" spans="1:5" x14ac:dyDescent="0.25">
      <c r="A330">
        <v>328</v>
      </c>
      <c r="B330" s="5">
        <v>139.33000000000001</v>
      </c>
      <c r="C330" s="5">
        <f>IF($A330=1,$C$2-(ROUNDDOWN(1000/$B330,0)*$B330),IF(A330=2,C329,IF(A330&gt;3,IF(AND(B329&lt;B328,B328&lt;B327),IF(C329&gt;=1000,C329-(ROUNDDOWN(1000/$B330,0)*$B330),C329),IF($B329=MAX($B$3:$B329),C329+(D329*B330),C329)),IF($B329=MAX($B$3:$B329),C329+(D329*B330),C329))))</f>
        <v>6308.1900000000014</v>
      </c>
      <c r="D330">
        <f>IF($A330=1,D329+ROUNDDOWN(1000/$B330,0),IF(A330=2,D329,IF(A330&gt;3,IF(AND(B329&lt;B328,B328&lt;B327),IF(C329&gt;=1000,D329+ROUNDDOWN(1000/$B330,0),D329),IF($B329=MAX($B$3:$B329),0,D329)),IF($B329=MAX($B$3:$B329),0,D329))))</f>
        <v>0</v>
      </c>
      <c r="E330">
        <f t="shared" si="5"/>
        <v>0</v>
      </c>
    </row>
    <row r="331" spans="1:5" x14ac:dyDescent="0.25">
      <c r="A331">
        <v>329</v>
      </c>
      <c r="B331" s="5">
        <v>141.26</v>
      </c>
      <c r="C331" s="5">
        <f>IF($A331=1,$C$2-(ROUNDDOWN(1000/$B331,0)*$B331),IF(A331=2,C330,IF(A331&gt;3,IF(AND(B330&lt;B329,B329&lt;B328),IF(C330&gt;=1000,C330-(ROUNDDOWN(1000/$B331,0)*$B331),C330),IF($B330=MAX($B$3:$B330),C330+(D330*B331),C330)),IF($B330=MAX($B$3:$B330),C330+(D330*B331),C330))))</f>
        <v>6308.1900000000014</v>
      </c>
      <c r="D331">
        <f>IF($A331=1,D330+ROUNDDOWN(1000/$B331,0),IF(A331=2,D330,IF(A331&gt;3,IF(AND(B330&lt;B329,B329&lt;B328),IF(C330&gt;=1000,D330+ROUNDDOWN(1000/$B331,0),D330),IF($B330=MAX($B$3:$B330),0,D330)),IF($B330=MAX($B$3:$B330),0,D330))))</f>
        <v>0</v>
      </c>
      <c r="E331">
        <f t="shared" si="5"/>
        <v>0</v>
      </c>
    </row>
    <row r="332" spans="1:5" x14ac:dyDescent="0.25">
      <c r="A332">
        <v>330</v>
      </c>
      <c r="B332" s="5">
        <v>142.91999999999999</v>
      </c>
      <c r="C332" s="5">
        <f>IF($A332=1,$C$2-(ROUNDDOWN(1000/$B332,0)*$B332),IF(A332=2,C331,IF(A332&gt;3,IF(AND(B331&lt;B330,B330&lt;B329),IF(C331&gt;=1000,C331-(ROUNDDOWN(1000/$B332,0)*$B332),C331),IF($B331=MAX($B$3:$B331),C331+(D331*B332),C331)),IF($B331=MAX($B$3:$B331),C331+(D331*B332),C331))))</f>
        <v>6308.1900000000014</v>
      </c>
      <c r="D332">
        <f>IF($A332=1,D331+ROUNDDOWN(1000/$B332,0),IF(A332=2,D331,IF(A332&gt;3,IF(AND(B331&lt;B330,B330&lt;B329),IF(C331&gt;=1000,D331+ROUNDDOWN(1000/$B332,0),D331),IF($B331=MAX($B$3:$B331),0,D331)),IF($B331=MAX($B$3:$B331),0,D331))))</f>
        <v>0</v>
      </c>
      <c r="E332">
        <f t="shared" si="5"/>
        <v>0</v>
      </c>
    </row>
    <row r="333" spans="1:5" x14ac:dyDescent="0.25">
      <c r="A333">
        <v>331</v>
      </c>
      <c r="B333" s="5">
        <v>145.30000000000001</v>
      </c>
      <c r="C333" s="5">
        <f>IF($A333=1,$C$2-(ROUNDDOWN(1000/$B333,0)*$B333),IF(A333=2,C332,IF(A333&gt;3,IF(AND(B332&lt;B331,B331&lt;B330),IF(C332&gt;=1000,C332-(ROUNDDOWN(1000/$B333,0)*$B333),C332),IF($B332=MAX($B$3:$B332),C332+(D332*B333),C332)),IF($B332=MAX($B$3:$B332),C332+(D332*B333),C332))))</f>
        <v>6308.1900000000014</v>
      </c>
      <c r="D333">
        <f>IF($A333=1,D332+ROUNDDOWN(1000/$B333,0),IF(A333=2,D332,IF(A333&gt;3,IF(AND(B332&lt;B331,B331&lt;B330),IF(C332&gt;=1000,D332+ROUNDDOWN(1000/$B333,0),D332),IF($B332=MAX($B$3:$B332),0,D332)),IF($B332=MAX($B$3:$B332),0,D332))))</f>
        <v>0</v>
      </c>
      <c r="E333">
        <f t="shared" si="5"/>
        <v>0</v>
      </c>
    </row>
    <row r="334" spans="1:5" x14ac:dyDescent="0.25">
      <c r="A334">
        <v>332</v>
      </c>
      <c r="B334" s="5">
        <v>143.49</v>
      </c>
      <c r="C334" s="5">
        <f>IF($A334=1,$C$2-(ROUNDDOWN(1000/$B334,0)*$B334),IF(A334=2,C333,IF(A334&gt;3,IF(AND(B333&lt;B332,B332&lt;B331),IF(C333&gt;=1000,C333-(ROUNDDOWN(1000/$B334,0)*$B334),C333),IF($B333=MAX($B$3:$B333),C333+(D333*B334),C333)),IF($B333=MAX($B$3:$B333),C333+(D333*B334),C333))))</f>
        <v>6308.1900000000014</v>
      </c>
      <c r="D334">
        <f>IF($A334=1,D333+ROUNDDOWN(1000/$B334,0),IF(A334=2,D333,IF(A334&gt;3,IF(AND(B333&lt;B332,B332&lt;B331),IF(C333&gt;=1000,D333+ROUNDDOWN(1000/$B334,0),D333),IF($B333=MAX($B$3:$B333),0,D333)),IF($B333=MAX($B$3:$B333),0,D333))))</f>
        <v>0</v>
      </c>
      <c r="E334">
        <f t="shared" si="5"/>
        <v>0</v>
      </c>
    </row>
    <row r="335" spans="1:5" x14ac:dyDescent="0.25">
      <c r="A335">
        <v>333</v>
      </c>
      <c r="B335" s="5">
        <v>145.41</v>
      </c>
      <c r="C335" s="5">
        <f>IF($A335=1,$C$2-(ROUNDDOWN(1000/$B335,0)*$B335),IF(A335=2,C334,IF(A335&gt;3,IF(AND(B334&lt;B333,B333&lt;B332),IF(C334&gt;=1000,C334-(ROUNDDOWN(1000/$B335,0)*$B335),C334),IF($B334=MAX($B$3:$B334),C334+(D334*B335),C334)),IF($B334=MAX($B$3:$B334),C334+(D334*B335),C334))))</f>
        <v>6308.1900000000014</v>
      </c>
      <c r="D335">
        <f>IF($A335=1,D334+ROUNDDOWN(1000/$B335,0),IF(A335=2,D334,IF(A335&gt;3,IF(AND(B334&lt;B333,B333&lt;B332),IF(C334&gt;=1000,D334+ROUNDDOWN(1000/$B335,0),D334),IF($B334=MAX($B$3:$B334),0,D334)),IF($B334=MAX($B$3:$B334),0,D334))))</f>
        <v>0</v>
      </c>
      <c r="E335">
        <f t="shared" si="5"/>
        <v>0</v>
      </c>
    </row>
    <row r="336" spans="1:5" x14ac:dyDescent="0.25">
      <c r="A336">
        <v>334</v>
      </c>
      <c r="B336" s="5">
        <v>147.4</v>
      </c>
      <c r="C336" s="5">
        <f>IF($A336=1,$C$2-(ROUNDDOWN(1000/$B336,0)*$B336),IF(A336=2,C335,IF(A336&gt;3,IF(AND(B335&lt;B334,B334&lt;B333),IF(C335&gt;=1000,C335-(ROUNDDOWN(1000/$B336,0)*$B336),C335),IF($B335=MAX($B$3:$B335),C335+(D335*B336),C335)),IF($B335=MAX($B$3:$B335),C335+(D335*B336),C335))))</f>
        <v>6308.1900000000014</v>
      </c>
      <c r="D336">
        <f>IF($A336=1,D335+ROUNDDOWN(1000/$B336,0),IF(A336=2,D335,IF(A336&gt;3,IF(AND(B335&lt;B334,B334&lt;B333),IF(C335&gt;=1000,D335+ROUNDDOWN(1000/$B336,0),D335),IF($B335=MAX($B$3:$B335),0,D335)),IF($B335=MAX($B$3:$B335),0,D335))))</f>
        <v>0</v>
      </c>
      <c r="E336">
        <f t="shared" si="5"/>
        <v>0</v>
      </c>
    </row>
    <row r="337" spans="1:5" x14ac:dyDescent="0.25">
      <c r="A337">
        <v>335</v>
      </c>
      <c r="B337" s="5">
        <v>146.27000000000001</v>
      </c>
      <c r="C337" s="5">
        <f>IF($A337=1,$C$2-(ROUNDDOWN(1000/$B337,0)*$B337),IF(A337=2,C336,IF(A337&gt;3,IF(AND(B336&lt;B335,B335&lt;B334),IF(C336&gt;=1000,C336-(ROUNDDOWN(1000/$B337,0)*$B337),C336),IF($B336=MAX($B$3:$B336),C336+(D336*B337),C336)),IF($B336=MAX($B$3:$B336),C336+(D336*B337),C336))))</f>
        <v>6308.1900000000014</v>
      </c>
      <c r="D337">
        <f>IF($A337=1,D336+ROUNDDOWN(1000/$B337,0),IF(A337=2,D336,IF(A337&gt;3,IF(AND(B336&lt;B335,B335&lt;B334),IF(C336&gt;=1000,D336+ROUNDDOWN(1000/$B337,0),D336),IF($B336=MAX($B$3:$B336),0,D336)),IF($B336=MAX($B$3:$B336),0,D336))))</f>
        <v>0</v>
      </c>
      <c r="E337">
        <f t="shared" si="5"/>
        <v>0</v>
      </c>
    </row>
    <row r="338" spans="1:5" x14ac:dyDescent="0.25">
      <c r="A338">
        <v>336</v>
      </c>
      <c r="B338" s="5">
        <v>148.38</v>
      </c>
      <c r="C338" s="5">
        <f>IF($A338=1,$C$2-(ROUNDDOWN(1000/$B338,0)*$B338),IF(A338=2,C337,IF(A338&gt;3,IF(AND(B337&lt;B336,B336&lt;B335),IF(C337&gt;=1000,C337-(ROUNDDOWN(1000/$B338,0)*$B338),C337),IF($B337=MAX($B$3:$B337),C337+(D337*B338),C337)),IF($B337=MAX($B$3:$B337),C337+(D337*B338),C337))))</f>
        <v>6308.1900000000014</v>
      </c>
      <c r="D338">
        <f>IF($A338=1,D337+ROUNDDOWN(1000/$B338,0),IF(A338=2,D337,IF(A338&gt;3,IF(AND(B337&lt;B336,B336&lt;B335),IF(C337&gt;=1000,D337+ROUNDDOWN(1000/$B338,0),D337),IF($B337=MAX($B$3:$B337),0,D337)),IF($B337=MAX($B$3:$B337),0,D337))))</f>
        <v>0</v>
      </c>
      <c r="E338">
        <f t="shared" si="5"/>
        <v>0</v>
      </c>
    </row>
    <row r="339" spans="1:5" x14ac:dyDescent="0.25">
      <c r="A339">
        <v>337</v>
      </c>
      <c r="B339" s="5">
        <v>150.66999999999999</v>
      </c>
      <c r="C339" s="5">
        <f>IF($A339=1,$C$2-(ROUNDDOWN(1000/$B339,0)*$B339),IF(A339=2,C338,IF(A339&gt;3,IF(AND(B338&lt;B337,B337&lt;B336),IF(C338&gt;=1000,C338-(ROUNDDOWN(1000/$B339,0)*$B339),C338),IF($B338=MAX($B$3:$B338),C338+(D338*B339),C338)),IF($B338=MAX($B$3:$B338),C338+(D338*B339),C338))))</f>
        <v>6308.1900000000014</v>
      </c>
      <c r="D339">
        <f>IF($A339=1,D338+ROUNDDOWN(1000/$B339,0),IF(A339=2,D338,IF(A339&gt;3,IF(AND(B338&lt;B337,B337&lt;B336),IF(C338&gt;=1000,D338+ROUNDDOWN(1000/$B339,0),D338),IF($B338=MAX($B$3:$B338),0,D338)),IF($B338=MAX($B$3:$B338),0,D338))))</f>
        <v>0</v>
      </c>
      <c r="E339">
        <f t="shared" si="5"/>
        <v>0</v>
      </c>
    </row>
    <row r="340" spans="1:5" x14ac:dyDescent="0.25">
      <c r="A340">
        <v>338</v>
      </c>
      <c r="B340" s="5">
        <v>150.84</v>
      </c>
      <c r="C340" s="5">
        <f>IF($A340=1,$C$2-(ROUNDDOWN(1000/$B340,0)*$B340),IF(A340=2,C339,IF(A340&gt;3,IF(AND(B339&lt;B338,B338&lt;B337),IF(C339&gt;=1000,C339-(ROUNDDOWN(1000/$B340,0)*$B340),C339),IF($B339=MAX($B$3:$B339),C339+(D339*B340),C339)),IF($B339=MAX($B$3:$B339),C339+(D339*B340),C339))))</f>
        <v>6308.1900000000014</v>
      </c>
      <c r="D340">
        <f>IF($A340=1,D339+ROUNDDOWN(1000/$B340,0),IF(A340=2,D339,IF(A340&gt;3,IF(AND(B339&lt;B338,B338&lt;B337),IF(C339&gt;=1000,D339+ROUNDDOWN(1000/$B340,0),D339),IF($B339=MAX($B$3:$B339),0,D339)),IF($B339=MAX($B$3:$B339),0,D339))))</f>
        <v>0</v>
      </c>
      <c r="E340">
        <f t="shared" si="5"/>
        <v>0</v>
      </c>
    </row>
    <row r="341" spans="1:5" x14ac:dyDescent="0.25">
      <c r="A341">
        <v>339</v>
      </c>
      <c r="B341" s="5">
        <v>149.72999999999999</v>
      </c>
      <c r="C341" s="5">
        <f>IF($A341=1,$C$2-(ROUNDDOWN(1000/$B341,0)*$B341),IF(A341=2,C340,IF(A341&gt;3,IF(AND(B340&lt;B339,B339&lt;B338),IF(C340&gt;=1000,C340-(ROUNDDOWN(1000/$B341,0)*$B341),C340),IF($B340=MAX($B$3:$B340),C340+(D340*B341),C340)),IF($B340=MAX($B$3:$B340),C340+(D340*B341),C340))))</f>
        <v>6308.1900000000014</v>
      </c>
      <c r="D341">
        <f>IF($A341=1,D340+ROUNDDOWN(1000/$B341,0),IF(A341=2,D340,IF(A341&gt;3,IF(AND(B340&lt;B339,B339&lt;B338),IF(C340&gt;=1000,D340+ROUNDDOWN(1000/$B341,0),D340),IF($B340=MAX($B$3:$B340),0,D340)),IF($B340=MAX($B$3:$B340),0,D340))))</f>
        <v>0</v>
      </c>
      <c r="E341">
        <f t="shared" si="5"/>
        <v>0</v>
      </c>
    </row>
    <row r="342" spans="1:5" x14ac:dyDescent="0.25">
      <c r="A342">
        <v>340</v>
      </c>
      <c r="B342" s="5">
        <v>148.35</v>
      </c>
      <c r="C342" s="5">
        <f>IF($A342=1,$C$2-(ROUNDDOWN(1000/$B342,0)*$B342),IF(A342=2,C341,IF(A342&gt;3,IF(AND(B341&lt;B340,B340&lt;B339),IF(C341&gt;=1000,C341-(ROUNDDOWN(1000/$B342,0)*$B342),C341),IF($B341=MAX($B$3:$B341),C341+(D341*B342),C341)),IF($B341=MAX($B$3:$B341),C341+(D341*B342),C341))))</f>
        <v>6308.1900000000014</v>
      </c>
      <c r="D342">
        <f>IF($A342=1,D341+ROUNDDOWN(1000/$B342,0),IF(A342=2,D341,IF(A342&gt;3,IF(AND(B341&lt;B340,B340&lt;B339),IF(C341&gt;=1000,D341+ROUNDDOWN(1000/$B342,0),D341),IF($B341=MAX($B$3:$B341),0,D341)),IF($B341=MAX($B$3:$B341),0,D341))))</f>
        <v>0</v>
      </c>
      <c r="E342">
        <f t="shared" si="5"/>
        <v>0</v>
      </c>
    </row>
    <row r="343" spans="1:5" x14ac:dyDescent="0.25">
      <c r="A343">
        <v>341</v>
      </c>
      <c r="B343" s="5">
        <v>150.61000000000001</v>
      </c>
      <c r="C343" s="5">
        <f>IF($A343=1,$C$2-(ROUNDDOWN(1000/$B343,0)*$B343),IF(A343=2,C342,IF(A343&gt;3,IF(AND(B342&lt;B341,B341&lt;B340),IF(C342&gt;=1000,C342-(ROUNDDOWN(1000/$B343,0)*$B343),C342),IF($B342=MAX($B$3:$B342),C342+(D342*B343),C342)),IF($B342=MAX($B$3:$B342),C342+(D342*B343),C342))))</f>
        <v>5404.5300000000016</v>
      </c>
      <c r="D343">
        <f>IF($A343=1,D342+ROUNDDOWN(1000/$B343,0),IF(A343=2,D342,IF(A343&gt;3,IF(AND(B342&lt;B341,B341&lt;B340),IF(C342&gt;=1000,D342+ROUNDDOWN(1000/$B343,0),D342),IF($B342=MAX($B$3:$B342),0,D342)),IF($B342=MAX($B$3:$B342),0,D342))))</f>
        <v>6</v>
      </c>
      <c r="E343">
        <f t="shared" si="5"/>
        <v>1</v>
      </c>
    </row>
    <row r="344" spans="1:5" x14ac:dyDescent="0.25">
      <c r="A344">
        <v>342</v>
      </c>
      <c r="B344" s="5">
        <v>148.94999999999999</v>
      </c>
      <c r="C344" s="5">
        <f>IF($A344=1,$C$2-(ROUNDDOWN(1000/$B344,0)*$B344),IF(A344=2,C343,IF(A344&gt;3,IF(AND(B343&lt;B342,B342&lt;B341),IF(C343&gt;=1000,C343-(ROUNDDOWN(1000/$B344,0)*$B344),C343),IF($B343=MAX($B$3:$B343),C343+(D343*B344),C343)),IF($B343=MAX($B$3:$B343),C343+(D343*B344),C343))))</f>
        <v>5404.5300000000016</v>
      </c>
      <c r="D344">
        <f>IF($A344=1,D343+ROUNDDOWN(1000/$B344,0),IF(A344=2,D343,IF(A344&gt;3,IF(AND(B343&lt;B342,B342&lt;B341),IF(C343&gt;=1000,D343+ROUNDDOWN(1000/$B344,0),D343),IF($B343=MAX($B$3:$B343),0,D343)),IF($B343=MAX($B$3:$B343),0,D343))))</f>
        <v>6</v>
      </c>
      <c r="E344">
        <f t="shared" si="5"/>
        <v>0</v>
      </c>
    </row>
    <row r="345" spans="1:5" x14ac:dyDescent="0.25">
      <c r="A345">
        <v>343</v>
      </c>
      <c r="B345" s="5">
        <v>147.16999999999999</v>
      </c>
      <c r="C345" s="5">
        <f>IF($A345=1,$C$2-(ROUNDDOWN(1000/$B345,0)*$B345),IF(A345=2,C344,IF(A345&gt;3,IF(AND(B344&lt;B343,B343&lt;B342),IF(C344&gt;=1000,C344-(ROUNDDOWN(1000/$B345,0)*$B345),C344),IF($B344=MAX($B$3:$B344),C344+(D344*B345),C344)),IF($B344=MAX($B$3:$B344),C344+(D344*B345),C344))))</f>
        <v>5404.5300000000016</v>
      </c>
      <c r="D345">
        <f>IF($A345=1,D344+ROUNDDOWN(1000/$B345,0),IF(A345=2,D344,IF(A345&gt;3,IF(AND(B344&lt;B343,B343&lt;B342),IF(C344&gt;=1000,D344+ROUNDDOWN(1000/$B345,0),D344),IF($B344=MAX($B$3:$B344),0,D344)),IF($B344=MAX($B$3:$B344),0,D344))))</f>
        <v>6</v>
      </c>
      <c r="E345">
        <f t="shared" si="5"/>
        <v>0</v>
      </c>
    </row>
    <row r="346" spans="1:5" x14ac:dyDescent="0.25">
      <c r="A346">
        <v>344</v>
      </c>
      <c r="B346" s="5">
        <v>147.86000000000001</v>
      </c>
      <c r="C346" s="5">
        <f>IF($A346=1,$C$2-(ROUNDDOWN(1000/$B346,0)*$B346),IF(A346=2,C345,IF(A346&gt;3,IF(AND(B345&lt;B344,B344&lt;B343),IF(C345&gt;=1000,C345-(ROUNDDOWN(1000/$B346,0)*$B346),C345),IF($B345=MAX($B$3:$B345),C345+(D345*B346),C345)),IF($B345=MAX($B$3:$B345),C345+(D345*B346),C345))))</f>
        <v>4517.3700000000017</v>
      </c>
      <c r="D346">
        <f>IF($A346=1,D345+ROUNDDOWN(1000/$B346,0),IF(A346=2,D345,IF(A346&gt;3,IF(AND(B345&lt;B344,B344&lt;B343),IF(C345&gt;=1000,D345+ROUNDDOWN(1000/$B346,0),D345),IF($B345=MAX($B$3:$B345),0,D345)),IF($B345=MAX($B$3:$B345),0,D345))))</f>
        <v>12</v>
      </c>
      <c r="E346">
        <f t="shared" si="5"/>
        <v>1</v>
      </c>
    </row>
    <row r="347" spans="1:5" x14ac:dyDescent="0.25">
      <c r="A347">
        <v>345</v>
      </c>
      <c r="B347" s="5">
        <v>149.49</v>
      </c>
      <c r="C347" s="5">
        <f>IF($A347=1,$C$2-(ROUNDDOWN(1000/$B347,0)*$B347),IF(A347=2,C346,IF(A347&gt;3,IF(AND(B346&lt;B345,B345&lt;B344),IF(C346&gt;=1000,C346-(ROUNDDOWN(1000/$B347,0)*$B347),C346),IF($B346=MAX($B$3:$B346),C346+(D346*B347),C346)),IF($B346=MAX($B$3:$B346),C346+(D346*B347),C346))))</f>
        <v>4517.3700000000017</v>
      </c>
      <c r="D347">
        <f>IF($A347=1,D346+ROUNDDOWN(1000/$B347,0),IF(A347=2,D346,IF(A347&gt;3,IF(AND(B346&lt;B345,B345&lt;B344),IF(C346&gt;=1000,D346+ROUNDDOWN(1000/$B347,0),D346),IF($B346=MAX($B$3:$B346),0,D346)),IF($B346=MAX($B$3:$B346),0,D346))))</f>
        <v>12</v>
      </c>
      <c r="E347">
        <f t="shared" si="5"/>
        <v>0</v>
      </c>
    </row>
    <row r="348" spans="1:5" x14ac:dyDescent="0.25">
      <c r="A348">
        <v>346</v>
      </c>
      <c r="B348" s="5">
        <v>147.9</v>
      </c>
      <c r="C348" s="5">
        <f>IF($A348=1,$C$2-(ROUNDDOWN(1000/$B348,0)*$B348),IF(A348=2,C347,IF(A348&gt;3,IF(AND(B347&lt;B346,B346&lt;B345),IF(C347&gt;=1000,C347-(ROUNDDOWN(1000/$B348,0)*$B348),C347),IF($B347=MAX($B$3:$B347),C347+(D347*B348),C347)),IF($B347=MAX($B$3:$B347),C347+(D347*B348),C347))))</f>
        <v>4517.3700000000017</v>
      </c>
      <c r="D348">
        <f>IF($A348=1,D347+ROUNDDOWN(1000/$B348,0),IF(A348=2,D347,IF(A348&gt;3,IF(AND(B347&lt;B346,B346&lt;B345),IF(C347&gt;=1000,D347+ROUNDDOWN(1000/$B348,0),D347),IF($B347=MAX($B$3:$B347),0,D347)),IF($B347=MAX($B$3:$B347),0,D347))))</f>
        <v>12</v>
      </c>
      <c r="E348">
        <f t="shared" si="5"/>
        <v>0</v>
      </c>
    </row>
    <row r="349" spans="1:5" x14ac:dyDescent="0.25">
      <c r="A349">
        <v>347</v>
      </c>
      <c r="B349" s="5">
        <v>146.46</v>
      </c>
      <c r="C349" s="5">
        <f>IF($A349=1,$C$2-(ROUNDDOWN(1000/$B349,0)*$B349),IF(A349=2,C348,IF(A349&gt;3,IF(AND(B348&lt;B347,B347&lt;B346),IF(C348&gt;=1000,C348-(ROUNDDOWN(1000/$B349,0)*$B349),C348),IF($B348=MAX($B$3:$B348),C348+(D348*B349),C348)),IF($B348=MAX($B$3:$B348),C348+(D348*B349),C348))))</f>
        <v>4517.3700000000017</v>
      </c>
      <c r="D349">
        <f>IF($A349=1,D348+ROUNDDOWN(1000/$B349,0),IF(A349=2,D348,IF(A349&gt;3,IF(AND(B348&lt;B347,B347&lt;B346),IF(C348&gt;=1000,D348+ROUNDDOWN(1000/$B349,0),D348),IF($B348=MAX($B$3:$B348),0,D348)),IF($B348=MAX($B$3:$B348),0,D348))))</f>
        <v>12</v>
      </c>
      <c r="E349">
        <f t="shared" si="5"/>
        <v>0</v>
      </c>
    </row>
    <row r="350" spans="1:5" x14ac:dyDescent="0.25">
      <c r="A350">
        <v>348</v>
      </c>
      <c r="B350" s="5">
        <v>144.76</v>
      </c>
      <c r="C350" s="5">
        <f>IF($A350=1,$C$2-(ROUNDDOWN(1000/$B350,0)*$B350),IF(A350=2,C349,IF(A350&gt;3,IF(AND(B349&lt;B348,B348&lt;B347),IF(C349&gt;=1000,C349-(ROUNDDOWN(1000/$B350,0)*$B350),C349),IF($B349=MAX($B$3:$B349),C349+(D349*B350),C349)),IF($B349=MAX($B$3:$B349),C349+(D349*B350),C349))))</f>
        <v>3648.8100000000018</v>
      </c>
      <c r="D350">
        <f>IF($A350=1,D349+ROUNDDOWN(1000/$B350,0),IF(A350=2,D349,IF(A350&gt;3,IF(AND(B349&lt;B348,B348&lt;B347),IF(C349&gt;=1000,D349+ROUNDDOWN(1000/$B350,0),D349),IF($B349=MAX($B$3:$B349),0,D349)),IF($B349=MAX($B$3:$B349),0,D349))))</f>
        <v>18</v>
      </c>
      <c r="E350">
        <f t="shared" si="5"/>
        <v>1</v>
      </c>
    </row>
    <row r="351" spans="1:5" x14ac:dyDescent="0.25">
      <c r="A351">
        <v>349</v>
      </c>
      <c r="B351" s="5">
        <v>146.63999999999999</v>
      </c>
      <c r="C351" s="5">
        <f>IF($A351=1,$C$2-(ROUNDDOWN(1000/$B351,0)*$B351),IF(A351=2,C350,IF(A351&gt;3,IF(AND(B350&lt;B349,B349&lt;B348),IF(C350&gt;=1000,C350-(ROUNDDOWN(1000/$B351,0)*$B351),C350),IF($B350=MAX($B$3:$B350),C350+(D350*B351),C350)),IF($B350=MAX($B$3:$B350),C350+(D350*B351),C350))))</f>
        <v>2768.9700000000021</v>
      </c>
      <c r="D351">
        <f>IF($A351=1,D350+ROUNDDOWN(1000/$B351,0),IF(A351=2,D350,IF(A351&gt;3,IF(AND(B350&lt;B349,B349&lt;B348),IF(C350&gt;=1000,D350+ROUNDDOWN(1000/$B351,0),D350),IF($B350=MAX($B$3:$B350),0,D350)),IF($B350=MAX($B$3:$B350),0,D350))))</f>
        <v>24</v>
      </c>
      <c r="E351">
        <f t="shared" si="5"/>
        <v>1</v>
      </c>
    </row>
    <row r="352" spans="1:5" x14ac:dyDescent="0.25">
      <c r="A352">
        <v>350</v>
      </c>
      <c r="B352" s="5">
        <v>146.84</v>
      </c>
      <c r="C352" s="5">
        <f>IF($A352=1,$C$2-(ROUNDDOWN(1000/$B352,0)*$B352),IF(A352=2,C351,IF(A352&gt;3,IF(AND(B351&lt;B350,B350&lt;B349),IF(C351&gt;=1000,C351-(ROUNDDOWN(1000/$B352,0)*$B352),C351),IF($B351=MAX($B$3:$B351),C351+(D351*B352),C351)),IF($B351=MAX($B$3:$B351),C351+(D351*B352),C351))))</f>
        <v>2768.9700000000021</v>
      </c>
      <c r="D352">
        <f>IF($A352=1,D351+ROUNDDOWN(1000/$B352,0),IF(A352=2,D351,IF(A352&gt;3,IF(AND(B351&lt;B350,B350&lt;B349),IF(C351&gt;=1000,D351+ROUNDDOWN(1000/$B352,0),D351),IF($B351=MAX($B$3:$B351),0,D351)),IF($B351=MAX($B$3:$B351),0,D351))))</f>
        <v>24</v>
      </c>
      <c r="E352">
        <f t="shared" si="5"/>
        <v>0</v>
      </c>
    </row>
    <row r="353" spans="1:5" x14ac:dyDescent="0.25">
      <c r="A353">
        <v>351</v>
      </c>
      <c r="B353" s="5">
        <v>145.82</v>
      </c>
      <c r="C353" s="5">
        <f>IF($A353=1,$C$2-(ROUNDDOWN(1000/$B353,0)*$B353),IF(A353=2,C352,IF(A353&gt;3,IF(AND(B352&lt;B351,B351&lt;B350),IF(C352&gt;=1000,C352-(ROUNDDOWN(1000/$B353,0)*$B353),C352),IF($B352=MAX($B$3:$B352),C352+(D352*B353),C352)),IF($B352=MAX($B$3:$B352),C352+(D352*B353),C352))))</f>
        <v>2768.9700000000021</v>
      </c>
      <c r="D353">
        <f>IF($A353=1,D352+ROUNDDOWN(1000/$B353,0),IF(A353=2,D352,IF(A353&gt;3,IF(AND(B352&lt;B351,B351&lt;B350),IF(C352&gt;=1000,D352+ROUNDDOWN(1000/$B353,0),D352),IF($B352=MAX($B$3:$B352),0,D352)),IF($B352=MAX($B$3:$B352),0,D352))))</f>
        <v>24</v>
      </c>
      <c r="E353">
        <f t="shared" si="5"/>
        <v>0</v>
      </c>
    </row>
    <row r="354" spans="1:5" x14ac:dyDescent="0.25">
      <c r="A354">
        <v>352</v>
      </c>
      <c r="B354" s="5">
        <v>147.19999999999999</v>
      </c>
      <c r="C354" s="5">
        <f>IF($A354=1,$C$2-(ROUNDDOWN(1000/$B354,0)*$B354),IF(A354=2,C353,IF(A354&gt;3,IF(AND(B353&lt;B352,B352&lt;B351),IF(C353&gt;=1000,C353-(ROUNDDOWN(1000/$B354,0)*$B354),C353),IF($B353=MAX($B$3:$B353),C353+(D353*B354),C353)),IF($B353=MAX($B$3:$B353),C353+(D353*B354),C353))))</f>
        <v>2768.9700000000021</v>
      </c>
      <c r="D354">
        <f>IF($A354=1,D353+ROUNDDOWN(1000/$B354,0),IF(A354=2,D353,IF(A354&gt;3,IF(AND(B353&lt;B352,B352&lt;B351),IF(C353&gt;=1000,D353+ROUNDDOWN(1000/$B354,0),D353),IF($B353=MAX($B$3:$B353),0,D353)),IF($B353=MAX($B$3:$B353),0,D353))))</f>
        <v>24</v>
      </c>
      <c r="E354">
        <f t="shared" si="5"/>
        <v>0</v>
      </c>
    </row>
    <row r="355" spans="1:5" x14ac:dyDescent="0.25">
      <c r="A355">
        <v>353</v>
      </c>
      <c r="B355" s="5">
        <v>149.22999999999999</v>
      </c>
      <c r="C355" s="5">
        <f>IF($A355=1,$C$2-(ROUNDDOWN(1000/$B355,0)*$B355),IF(A355=2,C354,IF(A355&gt;3,IF(AND(B354&lt;B353,B353&lt;B352),IF(C354&gt;=1000,C354-(ROUNDDOWN(1000/$B355,0)*$B355),C354),IF($B354=MAX($B$3:$B354),C354+(D354*B355),C354)),IF($B354=MAX($B$3:$B354),C354+(D354*B355),C354))))</f>
        <v>2768.9700000000021</v>
      </c>
      <c r="D355">
        <f>IF($A355=1,D354+ROUNDDOWN(1000/$B355,0),IF(A355=2,D354,IF(A355&gt;3,IF(AND(B354&lt;B353,B353&lt;B352),IF(C354&gt;=1000,D354+ROUNDDOWN(1000/$B355,0),D354),IF($B354=MAX($B$3:$B354),0,D354)),IF($B354=MAX($B$3:$B354),0,D354))))</f>
        <v>24</v>
      </c>
      <c r="E355">
        <f t="shared" si="5"/>
        <v>0</v>
      </c>
    </row>
    <row r="356" spans="1:5" x14ac:dyDescent="0.25">
      <c r="A356">
        <v>354</v>
      </c>
      <c r="B356" s="5">
        <v>150.75</v>
      </c>
      <c r="C356" s="5">
        <f>IF($A356=1,$C$2-(ROUNDDOWN(1000/$B356,0)*$B356),IF(A356=2,C355,IF(A356&gt;3,IF(AND(B355&lt;B354,B354&lt;B353),IF(C355&gt;=1000,C355-(ROUNDDOWN(1000/$B356,0)*$B356),C355),IF($B355=MAX($B$3:$B355),C355+(D355*B356),C355)),IF($B355=MAX($B$3:$B355),C355+(D355*B356),C355))))</f>
        <v>2768.9700000000021</v>
      </c>
      <c r="D356">
        <f>IF($A356=1,D355+ROUNDDOWN(1000/$B356,0),IF(A356=2,D355,IF(A356&gt;3,IF(AND(B355&lt;B354,B354&lt;B353),IF(C355&gt;=1000,D355+ROUNDDOWN(1000/$B356,0),D355),IF($B355=MAX($B$3:$B355),0,D355)),IF($B355=MAX($B$3:$B355),0,D355))))</f>
        <v>24</v>
      </c>
      <c r="E356">
        <f t="shared" si="5"/>
        <v>0</v>
      </c>
    </row>
    <row r="357" spans="1:5" x14ac:dyDescent="0.25">
      <c r="A357">
        <v>355</v>
      </c>
      <c r="B357" s="5">
        <v>151.94999999999999</v>
      </c>
      <c r="C357" s="5">
        <f>IF($A357=1,$C$2-(ROUNDDOWN(1000/$B357,0)*$B357),IF(A357=2,C356,IF(A357&gt;3,IF(AND(B356&lt;B355,B355&lt;B354),IF(C356&gt;=1000,C356-(ROUNDDOWN(1000/$B357,0)*$B357),C356),IF($B356=MAX($B$3:$B356),C356+(D356*B357),C356)),IF($B356=MAX($B$3:$B356),C356+(D356*B357),C356))))</f>
        <v>2768.9700000000021</v>
      </c>
      <c r="D357">
        <f>IF($A357=1,D356+ROUNDDOWN(1000/$B357,0),IF(A357=2,D356,IF(A357&gt;3,IF(AND(B356&lt;B355,B355&lt;B354),IF(C356&gt;=1000,D356+ROUNDDOWN(1000/$B357,0),D356),IF($B356=MAX($B$3:$B356),0,D356)),IF($B356=MAX($B$3:$B356),0,D356))))</f>
        <v>24</v>
      </c>
      <c r="E357">
        <f t="shared" si="5"/>
        <v>0</v>
      </c>
    </row>
    <row r="358" spans="1:5" x14ac:dyDescent="0.25">
      <c r="A358">
        <v>356</v>
      </c>
      <c r="B358" s="5">
        <v>154.04</v>
      </c>
      <c r="C358" s="5">
        <f>IF($A358=1,$C$2-(ROUNDDOWN(1000/$B358,0)*$B358),IF(A358=2,C357,IF(A358&gt;3,IF(AND(B357&lt;B356,B356&lt;B355),IF(C357&gt;=1000,C357-(ROUNDDOWN(1000/$B358,0)*$B358),C357),IF($B357=MAX($B$3:$B357),C357+(D357*B358),C357)),IF($B357=MAX($B$3:$B357),C357+(D357*B358),C357))))</f>
        <v>6465.9300000000021</v>
      </c>
      <c r="D358">
        <f>IF($A358=1,D357+ROUNDDOWN(1000/$B358,0),IF(A358=2,D357,IF(A358&gt;3,IF(AND(B357&lt;B356,B356&lt;B355),IF(C357&gt;=1000,D357+ROUNDDOWN(1000/$B358,0),D357),IF($B357=MAX($B$3:$B357),0,D357)),IF($B357=MAX($B$3:$B357),0,D357))))</f>
        <v>0</v>
      </c>
      <c r="E358">
        <f t="shared" si="5"/>
        <v>0</v>
      </c>
    </row>
    <row r="359" spans="1:5" x14ac:dyDescent="0.25">
      <c r="A359">
        <v>357</v>
      </c>
      <c r="B359" s="5">
        <v>155.46</v>
      </c>
      <c r="C359" s="5">
        <f>IF($A359=1,$C$2-(ROUNDDOWN(1000/$B359,0)*$B359),IF(A359=2,C358,IF(A359&gt;3,IF(AND(B358&lt;B357,B357&lt;B356),IF(C358&gt;=1000,C358-(ROUNDDOWN(1000/$B359,0)*$B359),C358),IF($B358=MAX($B$3:$B358),C358+(D358*B359),C358)),IF($B358=MAX($B$3:$B358),C358+(D358*B359),C358))))</f>
        <v>6465.9300000000021</v>
      </c>
      <c r="D359">
        <f>IF($A359=1,D358+ROUNDDOWN(1000/$B359,0),IF(A359=2,D358,IF(A359&gt;3,IF(AND(B358&lt;B357,B357&lt;B356),IF(C358&gt;=1000,D358+ROUNDDOWN(1000/$B359,0),D358),IF($B358=MAX($B$3:$B358),0,D358)),IF($B358=MAX($B$3:$B358),0,D358))))</f>
        <v>0</v>
      </c>
      <c r="E359">
        <f t="shared" si="5"/>
        <v>0</v>
      </c>
    </row>
    <row r="360" spans="1:5" x14ac:dyDescent="0.25">
      <c r="A360">
        <v>358</v>
      </c>
      <c r="B360" s="5">
        <v>157.47</v>
      </c>
      <c r="C360" s="5">
        <f>IF($A360=1,$C$2-(ROUNDDOWN(1000/$B360,0)*$B360),IF(A360=2,C359,IF(A360&gt;3,IF(AND(B359&lt;B358,B358&lt;B357),IF(C359&gt;=1000,C359-(ROUNDDOWN(1000/$B360,0)*$B360),C359),IF($B359=MAX($B$3:$B359),C359+(D359*B360),C359)),IF($B359=MAX($B$3:$B359),C359+(D359*B360),C359))))</f>
        <v>6465.9300000000021</v>
      </c>
      <c r="D360">
        <f>IF($A360=1,D359+ROUNDDOWN(1000/$B360,0),IF(A360=2,D359,IF(A360&gt;3,IF(AND(B359&lt;B358,B358&lt;B357),IF(C359&gt;=1000,D359+ROUNDDOWN(1000/$B360,0),D359),IF($B359=MAX($B$3:$B359),0,D359)),IF($B359=MAX($B$3:$B359),0,D359))))</f>
        <v>0</v>
      </c>
      <c r="E360">
        <f t="shared" si="5"/>
        <v>0</v>
      </c>
    </row>
    <row r="361" spans="1:5" x14ac:dyDescent="0.25">
      <c r="A361">
        <v>359</v>
      </c>
      <c r="B361" s="5">
        <v>155.78</v>
      </c>
      <c r="C361" s="5">
        <f>IF($A361=1,$C$2-(ROUNDDOWN(1000/$B361,0)*$B361),IF(A361=2,C360,IF(A361&gt;3,IF(AND(B360&lt;B359,B359&lt;B358),IF(C360&gt;=1000,C360-(ROUNDDOWN(1000/$B361,0)*$B361),C360),IF($B360=MAX($B$3:$B360),C360+(D360*B361),C360)),IF($B360=MAX($B$3:$B360),C360+(D360*B361),C360))))</f>
        <v>6465.9300000000021</v>
      </c>
      <c r="D361">
        <f>IF($A361=1,D360+ROUNDDOWN(1000/$B361,0),IF(A361=2,D360,IF(A361&gt;3,IF(AND(B360&lt;B359,B359&lt;B358),IF(C360&gt;=1000,D360+ROUNDDOWN(1000/$B361,0),D360),IF($B360=MAX($B$3:$B360),0,D360)),IF($B360=MAX($B$3:$B360),0,D360))))</f>
        <v>0</v>
      </c>
      <c r="E361">
        <f t="shared" si="5"/>
        <v>0</v>
      </c>
    </row>
    <row r="362" spans="1:5" x14ac:dyDescent="0.25">
      <c r="A362">
        <v>360</v>
      </c>
      <c r="B362" s="5">
        <v>154.38999999999999</v>
      </c>
      <c r="C362" s="5">
        <f>IF($A362=1,$C$2-(ROUNDDOWN(1000/$B362,0)*$B362),IF(A362=2,C361,IF(A362&gt;3,IF(AND(B361&lt;B360,B360&lt;B359),IF(C361&gt;=1000,C361-(ROUNDDOWN(1000/$B362,0)*$B362),C361),IF($B361=MAX($B$3:$B361),C361+(D361*B362),C361)),IF($B361=MAX($B$3:$B361),C361+(D361*B362),C361))))</f>
        <v>6465.9300000000021</v>
      </c>
      <c r="D362">
        <f>IF($A362=1,D361+ROUNDDOWN(1000/$B362,0),IF(A362=2,D361,IF(A362&gt;3,IF(AND(B361&lt;B360,B360&lt;B359),IF(C361&gt;=1000,D361+ROUNDDOWN(1000/$B362,0),D361),IF($B361=MAX($B$3:$B361),0,D361)),IF($B361=MAX($B$3:$B361),0,D361))))</f>
        <v>0</v>
      </c>
      <c r="E362">
        <f t="shared" si="5"/>
        <v>0</v>
      </c>
    </row>
    <row r="363" spans="1:5" x14ac:dyDescent="0.25">
      <c r="A363">
        <v>361</v>
      </c>
      <c r="B363" s="5">
        <v>155.91999999999999</v>
      </c>
      <c r="C363" s="5">
        <f>IF($A363=1,$C$2-(ROUNDDOWN(1000/$B363,0)*$B363),IF(A363=2,C362,IF(A363&gt;3,IF(AND(B362&lt;B361,B361&lt;B360),IF(C362&gt;=1000,C362-(ROUNDDOWN(1000/$B363,0)*$B363),C362),IF($B362=MAX($B$3:$B362),C362+(D362*B363),C362)),IF($B362=MAX($B$3:$B362),C362+(D362*B363),C362))))</f>
        <v>5530.4100000000017</v>
      </c>
      <c r="D363">
        <f>IF($A363=1,D362+ROUNDDOWN(1000/$B363,0),IF(A363=2,D362,IF(A363&gt;3,IF(AND(B362&lt;B361,B361&lt;B360),IF(C362&gt;=1000,D362+ROUNDDOWN(1000/$B363,0),D362),IF($B362=MAX($B$3:$B362),0,D362)),IF($B362=MAX($B$3:$B362),0,D362))))</f>
        <v>6</v>
      </c>
      <c r="E363">
        <f t="shared" si="5"/>
        <v>1</v>
      </c>
    </row>
    <row r="364" spans="1:5" x14ac:dyDescent="0.25">
      <c r="A364">
        <v>362</v>
      </c>
      <c r="B364" s="5">
        <v>154.41999999999999</v>
      </c>
      <c r="C364" s="5">
        <f>IF($A364=1,$C$2-(ROUNDDOWN(1000/$B364,0)*$B364),IF(A364=2,C363,IF(A364&gt;3,IF(AND(B363&lt;B362,B362&lt;B361),IF(C363&gt;=1000,C363-(ROUNDDOWN(1000/$B364,0)*$B364),C363),IF($B363=MAX($B$3:$B363),C363+(D363*B364),C363)),IF($B363=MAX($B$3:$B363),C363+(D363*B364),C363))))</f>
        <v>5530.4100000000017</v>
      </c>
      <c r="D364">
        <f>IF($A364=1,D363+ROUNDDOWN(1000/$B364,0),IF(A364=2,D363,IF(A364&gt;3,IF(AND(B363&lt;B362,B362&lt;B361),IF(C363&gt;=1000,D363+ROUNDDOWN(1000/$B364,0),D363),IF($B363=MAX($B$3:$B363),0,D363)),IF($B363=MAX($B$3:$B363),0,D363))))</f>
        <v>6</v>
      </c>
      <c r="E364">
        <f t="shared" si="5"/>
        <v>0</v>
      </c>
    </row>
    <row r="365" spans="1:5" x14ac:dyDescent="0.25">
      <c r="A365">
        <v>363</v>
      </c>
      <c r="B365" s="5">
        <v>153.37</v>
      </c>
      <c r="C365" s="5">
        <f>IF($A365=1,$C$2-(ROUNDDOWN(1000/$B365,0)*$B365),IF(A365=2,C364,IF(A365&gt;3,IF(AND(B364&lt;B363,B363&lt;B362),IF(C364&gt;=1000,C364-(ROUNDDOWN(1000/$B365,0)*$B365),C364),IF($B364=MAX($B$3:$B364),C364+(D364*B365),C364)),IF($B364=MAX($B$3:$B364),C364+(D364*B365),C364))))</f>
        <v>5530.4100000000017</v>
      </c>
      <c r="D365">
        <f>IF($A365=1,D364+ROUNDDOWN(1000/$B365,0),IF(A365=2,D364,IF(A365&gt;3,IF(AND(B364&lt;B363,B363&lt;B362),IF(C364&gt;=1000,D364+ROUNDDOWN(1000/$B365,0),D364),IF($B364=MAX($B$3:$B364),0,D364)),IF($B364=MAX($B$3:$B364),0,D364))))</f>
        <v>6</v>
      </c>
      <c r="E365">
        <f t="shared" si="5"/>
        <v>0</v>
      </c>
    </row>
    <row r="366" spans="1:5" x14ac:dyDescent="0.25">
      <c r="A366">
        <v>364</v>
      </c>
      <c r="B366" s="5">
        <v>154.38</v>
      </c>
      <c r="C366" s="5">
        <f>IF($A366=1,$C$2-(ROUNDDOWN(1000/$B366,0)*$B366),IF(A366=2,C365,IF(A366&gt;3,IF(AND(B365&lt;B364,B364&lt;B363),IF(C365&gt;=1000,C365-(ROUNDDOWN(1000/$B366,0)*$B366),C365),IF($B365=MAX($B$3:$B365),C365+(D365*B366),C365)),IF($B365=MAX($B$3:$B365),C365+(D365*B366),C365))))</f>
        <v>4604.1300000000019</v>
      </c>
      <c r="D366">
        <f>IF($A366=1,D365+ROUNDDOWN(1000/$B366,0),IF(A366=2,D365,IF(A366&gt;3,IF(AND(B365&lt;B364,B364&lt;B363),IF(C365&gt;=1000,D365+ROUNDDOWN(1000/$B366,0),D365),IF($B365=MAX($B$3:$B365),0,D365)),IF($B365=MAX($B$3:$B365),0,D365))))</f>
        <v>12</v>
      </c>
      <c r="E366">
        <f t="shared" si="5"/>
        <v>1</v>
      </c>
    </row>
    <row r="367" spans="1:5" x14ac:dyDescent="0.25">
      <c r="A367">
        <v>365</v>
      </c>
      <c r="B367" s="5">
        <v>152.55000000000001</v>
      </c>
      <c r="C367" s="5">
        <f>IF($A367=1,$C$2-(ROUNDDOWN(1000/$B367,0)*$B367),IF(A367=2,C366,IF(A367&gt;3,IF(AND(B366&lt;B365,B365&lt;B364),IF(C366&gt;=1000,C366-(ROUNDDOWN(1000/$B367,0)*$B367),C366),IF($B366=MAX($B$3:$B366),C366+(D366*B367),C366)),IF($B366=MAX($B$3:$B366),C366+(D366*B367),C366))))</f>
        <v>4604.1300000000019</v>
      </c>
      <c r="D367">
        <f>IF($A367=1,D366+ROUNDDOWN(1000/$B367,0),IF(A367=2,D366,IF(A367&gt;3,IF(AND(B366&lt;B365,B365&lt;B364),IF(C366&gt;=1000,D366+ROUNDDOWN(1000/$B367,0),D366),IF($B366=MAX($B$3:$B366),0,D366)),IF($B366=MAX($B$3:$B366),0,D366))))</f>
        <v>12</v>
      </c>
      <c r="E367">
        <f t="shared" si="5"/>
        <v>0</v>
      </c>
    </row>
    <row r="368" spans="1:5" x14ac:dyDescent="0.25">
      <c r="A368">
        <v>366</v>
      </c>
      <c r="B368" s="5">
        <v>150.97999999999999</v>
      </c>
      <c r="C368" s="5">
        <f>IF($A368=1,$C$2-(ROUNDDOWN(1000/$B368,0)*$B368),IF(A368=2,C367,IF(A368&gt;3,IF(AND(B367&lt;B366,B366&lt;B365),IF(C367&gt;=1000,C367-(ROUNDDOWN(1000/$B368,0)*$B368),C367),IF($B367=MAX($B$3:$B367),C367+(D367*B368),C367)),IF($B367=MAX($B$3:$B367),C367+(D367*B368),C367))))</f>
        <v>4604.1300000000019</v>
      </c>
      <c r="D368">
        <f>IF($A368=1,D367+ROUNDDOWN(1000/$B368,0),IF(A368=2,D367,IF(A368&gt;3,IF(AND(B367&lt;B366,B366&lt;B365),IF(C367&gt;=1000,D367+ROUNDDOWN(1000/$B368,0),D367),IF($B367=MAX($B$3:$B367),0,D367)),IF($B367=MAX($B$3:$B367),0,D367))))</f>
        <v>12</v>
      </c>
      <c r="E368">
        <f t="shared" si="5"/>
        <v>0</v>
      </c>
    </row>
    <row r="369" spans="1:5" x14ac:dyDescent="0.25">
      <c r="A369">
        <v>367</v>
      </c>
      <c r="B369" s="5">
        <v>151.24</v>
      </c>
      <c r="C369" s="5">
        <f>IF($A369=1,$C$2-(ROUNDDOWN(1000/$B369,0)*$B369),IF(A369=2,C368,IF(A369&gt;3,IF(AND(B368&lt;B367,B367&lt;B366),IF(C368&gt;=1000,C368-(ROUNDDOWN(1000/$B369,0)*$B369),C368),IF($B368=MAX($B$3:$B368),C368+(D368*B369),C368)),IF($B368=MAX($B$3:$B368),C368+(D368*B369),C368))))</f>
        <v>3696.6900000000019</v>
      </c>
      <c r="D369">
        <f>IF($A369=1,D368+ROUNDDOWN(1000/$B369,0),IF(A369=2,D368,IF(A369&gt;3,IF(AND(B368&lt;B367,B367&lt;B366),IF(C368&gt;=1000,D368+ROUNDDOWN(1000/$B369,0),D368),IF($B368=MAX($B$3:$B368),0,D368)),IF($B368=MAX($B$3:$B368),0,D368))))</f>
        <v>18</v>
      </c>
      <c r="E369">
        <f t="shared" si="5"/>
        <v>1</v>
      </c>
    </row>
    <row r="370" spans="1:5" x14ac:dyDescent="0.25">
      <c r="A370">
        <v>368</v>
      </c>
      <c r="B370" s="5">
        <v>153.69</v>
      </c>
      <c r="C370" s="5">
        <f>IF($A370=1,$C$2-(ROUNDDOWN(1000/$B370,0)*$B370),IF(A370=2,C369,IF(A370&gt;3,IF(AND(B369&lt;B368,B368&lt;B367),IF(C369&gt;=1000,C369-(ROUNDDOWN(1000/$B370,0)*$B370),C369),IF($B369=MAX($B$3:$B369),C369+(D369*B370),C369)),IF($B369=MAX($B$3:$B369),C369+(D369*B370),C369))))</f>
        <v>3696.6900000000019</v>
      </c>
      <c r="D370">
        <f>IF($A370=1,D369+ROUNDDOWN(1000/$B370,0),IF(A370=2,D369,IF(A370&gt;3,IF(AND(B369&lt;B368,B368&lt;B367),IF(C369&gt;=1000,D369+ROUNDDOWN(1000/$B370,0),D369),IF($B369=MAX($B$3:$B369),0,D369)),IF($B369=MAX($B$3:$B369),0,D369))))</f>
        <v>18</v>
      </c>
      <c r="E370">
        <f t="shared" si="5"/>
        <v>0</v>
      </c>
    </row>
    <row r="371" spans="1:5" x14ac:dyDescent="0.25">
      <c r="A371">
        <v>369</v>
      </c>
      <c r="B371" s="5">
        <v>155.26</v>
      </c>
      <c r="C371" s="5">
        <f>IF($A371=1,$C$2-(ROUNDDOWN(1000/$B371,0)*$B371),IF(A371=2,C370,IF(A371&gt;3,IF(AND(B370&lt;B369,B369&lt;B368),IF(C370&gt;=1000,C370-(ROUNDDOWN(1000/$B371,0)*$B371),C370),IF($B370=MAX($B$3:$B370),C370+(D370*B371),C370)),IF($B370=MAX($B$3:$B370),C370+(D370*B371),C370))))</f>
        <v>3696.6900000000019</v>
      </c>
      <c r="D371">
        <f>IF($A371=1,D370+ROUNDDOWN(1000/$B371,0),IF(A371=2,D370,IF(A371&gt;3,IF(AND(B370&lt;B369,B369&lt;B368),IF(C370&gt;=1000,D370+ROUNDDOWN(1000/$B371,0),D370),IF($B370=MAX($B$3:$B370),0,D370)),IF($B370=MAX($B$3:$B370),0,D370))))</f>
        <v>18</v>
      </c>
      <c r="E371">
        <f t="shared" si="5"/>
        <v>0</v>
      </c>
    </row>
    <row r="372" spans="1:5" x14ac:dyDescent="0.25">
      <c r="A372">
        <v>370</v>
      </c>
      <c r="B372" s="5">
        <v>153.86000000000001</v>
      </c>
      <c r="C372" s="5">
        <f>IF($A372=1,$C$2-(ROUNDDOWN(1000/$B372,0)*$B372),IF(A372=2,C371,IF(A372&gt;3,IF(AND(B371&lt;B370,B370&lt;B369),IF(C371&gt;=1000,C371-(ROUNDDOWN(1000/$B372,0)*$B372),C371),IF($B371=MAX($B$3:$B371),C371+(D371*B372),C371)),IF($B371=MAX($B$3:$B371),C371+(D371*B372),C371))))</f>
        <v>3696.6900000000019</v>
      </c>
      <c r="D372">
        <f>IF($A372=1,D371+ROUNDDOWN(1000/$B372,0),IF(A372=2,D371,IF(A372&gt;3,IF(AND(B371&lt;B370,B370&lt;B369),IF(C371&gt;=1000,D371+ROUNDDOWN(1000/$B372,0),D371),IF($B371=MAX($B$3:$B371),0,D371)),IF($B371=MAX($B$3:$B371),0,D371))))</f>
        <v>18</v>
      </c>
      <c r="E372">
        <f t="shared" si="5"/>
        <v>0</v>
      </c>
    </row>
    <row r="373" spans="1:5" x14ac:dyDescent="0.25">
      <c r="A373">
        <v>371</v>
      </c>
      <c r="B373" s="5">
        <v>152.09</v>
      </c>
      <c r="C373" s="5">
        <f>IF($A373=1,$C$2-(ROUNDDOWN(1000/$B373,0)*$B373),IF(A373=2,C372,IF(A373&gt;3,IF(AND(B372&lt;B371,B371&lt;B370),IF(C372&gt;=1000,C372-(ROUNDDOWN(1000/$B373,0)*$B373),C372),IF($B372=MAX($B$3:$B372),C372+(D372*B373),C372)),IF($B372=MAX($B$3:$B372),C372+(D372*B373),C372))))</f>
        <v>3696.6900000000019</v>
      </c>
      <c r="D373">
        <f>IF($A373=1,D372+ROUNDDOWN(1000/$B373,0),IF(A373=2,D372,IF(A373&gt;3,IF(AND(B372&lt;B371,B371&lt;B370),IF(C372&gt;=1000,D372+ROUNDDOWN(1000/$B373,0),D372),IF($B372=MAX($B$3:$B372),0,D372)),IF($B372=MAX($B$3:$B372),0,D372))))</f>
        <v>18</v>
      </c>
      <c r="E373">
        <f t="shared" si="5"/>
        <v>0</v>
      </c>
    </row>
    <row r="374" spans="1:5" x14ac:dyDescent="0.25">
      <c r="A374">
        <v>372</v>
      </c>
      <c r="B374" s="5">
        <v>150.44</v>
      </c>
      <c r="C374" s="5">
        <f>IF($A374=1,$C$2-(ROUNDDOWN(1000/$B374,0)*$B374),IF(A374=2,C373,IF(A374&gt;3,IF(AND(B373&lt;B372,B372&lt;B371),IF(C373&gt;=1000,C373-(ROUNDDOWN(1000/$B374,0)*$B374),C373),IF($B373=MAX($B$3:$B373),C373+(D373*B374),C373)),IF($B373=MAX($B$3:$B373),C373+(D373*B374),C373))))</f>
        <v>2794.050000000002</v>
      </c>
      <c r="D374">
        <f>IF($A374=1,D373+ROUNDDOWN(1000/$B374,0),IF(A374=2,D373,IF(A374&gt;3,IF(AND(B373&lt;B372,B372&lt;B371),IF(C373&gt;=1000,D373+ROUNDDOWN(1000/$B374,0),D373),IF($B373=MAX($B$3:$B373),0,D373)),IF($B373=MAX($B$3:$B373),0,D373))))</f>
        <v>24</v>
      </c>
      <c r="E374">
        <f t="shared" si="5"/>
        <v>1</v>
      </c>
    </row>
    <row r="375" spans="1:5" x14ac:dyDescent="0.25">
      <c r="A375">
        <v>373</v>
      </c>
      <c r="B375" s="5">
        <v>152.88</v>
      </c>
      <c r="C375" s="5">
        <f>IF($A375=1,$C$2-(ROUNDDOWN(1000/$B375,0)*$B375),IF(A375=2,C374,IF(A375&gt;3,IF(AND(B374&lt;B373,B373&lt;B372),IF(C374&gt;=1000,C374-(ROUNDDOWN(1000/$B375,0)*$B375),C374),IF($B374=MAX($B$3:$B374),C374+(D374*B375),C374)),IF($B374=MAX($B$3:$B374),C374+(D374*B375),C374))))</f>
        <v>1876.770000000002</v>
      </c>
      <c r="D375">
        <f>IF($A375=1,D374+ROUNDDOWN(1000/$B375,0),IF(A375=2,D374,IF(A375&gt;3,IF(AND(B374&lt;B373,B373&lt;B372),IF(C374&gt;=1000,D374+ROUNDDOWN(1000/$B375,0),D374),IF($B374=MAX($B$3:$B374),0,D374)),IF($B374=MAX($B$3:$B374),0,D374))))</f>
        <v>30</v>
      </c>
      <c r="E375">
        <f t="shared" si="5"/>
        <v>1</v>
      </c>
    </row>
    <row r="376" spans="1:5" x14ac:dyDescent="0.25">
      <c r="A376">
        <v>374</v>
      </c>
      <c r="B376" s="5">
        <v>153.57</v>
      </c>
      <c r="C376" s="5">
        <f>IF($A376=1,$C$2-(ROUNDDOWN(1000/$B376,0)*$B376),IF(A376=2,C375,IF(A376&gt;3,IF(AND(B375&lt;B374,B374&lt;B373),IF(C375&gt;=1000,C375-(ROUNDDOWN(1000/$B376,0)*$B376),C375),IF($B375=MAX($B$3:$B375),C375+(D375*B376),C375)),IF($B375=MAX($B$3:$B375),C375+(D375*B376),C375))))</f>
        <v>1876.770000000002</v>
      </c>
      <c r="D376">
        <f>IF($A376=1,D375+ROUNDDOWN(1000/$B376,0),IF(A376=2,D375,IF(A376&gt;3,IF(AND(B375&lt;B374,B374&lt;B373),IF(C375&gt;=1000,D375+ROUNDDOWN(1000/$B376,0),D375),IF($B375=MAX($B$3:$B375),0,D375)),IF($B375=MAX($B$3:$B375),0,D375))))</f>
        <v>30</v>
      </c>
      <c r="E376">
        <f t="shared" si="5"/>
        <v>0</v>
      </c>
    </row>
    <row r="377" spans="1:5" x14ac:dyDescent="0.25">
      <c r="A377">
        <v>375</v>
      </c>
      <c r="B377" s="5">
        <v>151.80000000000001</v>
      </c>
      <c r="C377" s="5">
        <f>IF($A377=1,$C$2-(ROUNDDOWN(1000/$B377,0)*$B377),IF(A377=2,C376,IF(A377&gt;3,IF(AND(B376&lt;B375,B375&lt;B374),IF(C376&gt;=1000,C376-(ROUNDDOWN(1000/$B377,0)*$B377),C376),IF($B376=MAX($B$3:$B376),C376+(D376*B377),C376)),IF($B376=MAX($B$3:$B376),C376+(D376*B377),C376))))</f>
        <v>1876.770000000002</v>
      </c>
      <c r="D377">
        <f>IF($A377=1,D376+ROUNDDOWN(1000/$B377,0),IF(A377=2,D376,IF(A377&gt;3,IF(AND(B376&lt;B375,B375&lt;B374),IF(C376&gt;=1000,D376+ROUNDDOWN(1000/$B377,0),D376),IF($B376=MAX($B$3:$B376),0,D376)),IF($B376=MAX($B$3:$B376),0,D376))))</f>
        <v>30</v>
      </c>
      <c r="E377">
        <f t="shared" si="5"/>
        <v>0</v>
      </c>
    </row>
    <row r="378" spans="1:5" x14ac:dyDescent="0.25">
      <c r="A378">
        <v>376</v>
      </c>
      <c r="B378" s="5">
        <v>153.21</v>
      </c>
      <c r="C378" s="5">
        <f>IF($A378=1,$C$2-(ROUNDDOWN(1000/$B378,0)*$B378),IF(A378=2,C377,IF(A378&gt;3,IF(AND(B377&lt;B376,B376&lt;B375),IF(C377&gt;=1000,C377-(ROUNDDOWN(1000/$B378,0)*$B378),C377),IF($B377=MAX($B$3:$B377),C377+(D377*B378),C377)),IF($B377=MAX($B$3:$B377),C377+(D377*B378),C377))))</f>
        <v>1876.770000000002</v>
      </c>
      <c r="D378">
        <f>IF($A378=1,D377+ROUNDDOWN(1000/$B378,0),IF(A378=2,D377,IF(A378&gt;3,IF(AND(B377&lt;B376,B376&lt;B375),IF(C377&gt;=1000,D377+ROUNDDOWN(1000/$B378,0),D377),IF($B377=MAX($B$3:$B377),0,D377)),IF($B377=MAX($B$3:$B377),0,D377))))</f>
        <v>30</v>
      </c>
      <c r="E378">
        <f t="shared" si="5"/>
        <v>0</v>
      </c>
    </row>
    <row r="379" spans="1:5" x14ac:dyDescent="0.25">
      <c r="A379">
        <v>377</v>
      </c>
      <c r="B379" s="5">
        <v>154.75</v>
      </c>
      <c r="C379" s="5">
        <f>IF($A379=1,$C$2-(ROUNDDOWN(1000/$B379,0)*$B379),IF(A379=2,C378,IF(A379&gt;3,IF(AND(B378&lt;B377,B377&lt;B376),IF(C378&gt;=1000,C378-(ROUNDDOWN(1000/$B379,0)*$B379),C378),IF($B378=MAX($B$3:$B378),C378+(D378*B379),C378)),IF($B378=MAX($B$3:$B378),C378+(D378*B379),C378))))</f>
        <v>1876.770000000002</v>
      </c>
      <c r="D379">
        <f>IF($A379=1,D378+ROUNDDOWN(1000/$B379,0),IF(A379=2,D378,IF(A379&gt;3,IF(AND(B378&lt;B377,B377&lt;B376),IF(C378&gt;=1000,D378+ROUNDDOWN(1000/$B379,0),D378),IF($B378=MAX($B$3:$B378),0,D378)),IF($B378=MAX($B$3:$B378),0,D378))))</f>
        <v>30</v>
      </c>
      <c r="E379">
        <f t="shared" si="5"/>
        <v>0</v>
      </c>
    </row>
    <row r="380" spans="1:5" x14ac:dyDescent="0.25">
      <c r="A380">
        <v>378</v>
      </c>
      <c r="B380" s="5">
        <v>153.43</v>
      </c>
      <c r="C380" s="5">
        <f>IF($A380=1,$C$2-(ROUNDDOWN(1000/$B380,0)*$B380),IF(A380=2,C379,IF(A380&gt;3,IF(AND(B379&lt;B378,B378&lt;B377),IF(C379&gt;=1000,C379-(ROUNDDOWN(1000/$B380,0)*$B380),C379),IF($B379=MAX($B$3:$B379),C379+(D379*B380),C379)),IF($B379=MAX($B$3:$B379),C379+(D379*B380),C379))))</f>
        <v>1876.770000000002</v>
      </c>
      <c r="D380">
        <f>IF($A380=1,D379+ROUNDDOWN(1000/$B380,0),IF(A380=2,D379,IF(A380&gt;3,IF(AND(B379&lt;B378,B378&lt;B377),IF(C379&gt;=1000,D379+ROUNDDOWN(1000/$B380,0),D379),IF($B379=MAX($B$3:$B379),0,D379)),IF($B379=MAX($B$3:$B379),0,D379))))</f>
        <v>30</v>
      </c>
      <c r="E380">
        <f t="shared" si="5"/>
        <v>0</v>
      </c>
    </row>
    <row r="381" spans="1:5" x14ac:dyDescent="0.25">
      <c r="A381">
        <v>379</v>
      </c>
      <c r="B381" s="5">
        <v>152.27000000000001</v>
      </c>
      <c r="C381" s="5">
        <f>IF($A381=1,$C$2-(ROUNDDOWN(1000/$B381,0)*$B381),IF(A381=2,C380,IF(A381&gt;3,IF(AND(B380&lt;B379,B379&lt;B378),IF(C380&gt;=1000,C380-(ROUNDDOWN(1000/$B381,0)*$B381),C380),IF($B380=MAX($B$3:$B380),C380+(D380*B381),C380)),IF($B380=MAX($B$3:$B380),C380+(D380*B381),C380))))</f>
        <v>1876.770000000002</v>
      </c>
      <c r="D381">
        <f>IF($A381=1,D380+ROUNDDOWN(1000/$B381,0),IF(A381=2,D380,IF(A381&gt;3,IF(AND(B380&lt;B379,B379&lt;B378),IF(C380&gt;=1000,D380+ROUNDDOWN(1000/$B381,0),D380),IF($B380=MAX($B$3:$B380),0,D380)),IF($B380=MAX($B$3:$B380),0,D380))))</f>
        <v>30</v>
      </c>
      <c r="E381">
        <f t="shared" si="5"/>
        <v>0</v>
      </c>
    </row>
    <row r="382" spans="1:5" x14ac:dyDescent="0.25">
      <c r="A382">
        <v>380</v>
      </c>
      <c r="B382" s="5">
        <v>151</v>
      </c>
      <c r="C382" s="5">
        <f>IF($A382=1,$C$2-(ROUNDDOWN(1000/$B382,0)*$B382),IF(A382=2,C381,IF(A382&gt;3,IF(AND(B381&lt;B380,B380&lt;B379),IF(C381&gt;=1000,C381-(ROUNDDOWN(1000/$B382,0)*$B382),C381),IF($B381=MAX($B$3:$B381),C381+(D381*B382),C381)),IF($B381=MAX($B$3:$B381),C381+(D381*B382),C381))))</f>
        <v>970.77000000000203</v>
      </c>
      <c r="D382">
        <f>IF($A382=1,D381+ROUNDDOWN(1000/$B382,0),IF(A382=2,D381,IF(A382&gt;3,IF(AND(B381&lt;B380,B380&lt;B379),IF(C381&gt;=1000,D381+ROUNDDOWN(1000/$B382,0),D381),IF($B381=MAX($B$3:$B381),0,D381)),IF($B381=MAX($B$3:$B381),0,D381))))</f>
        <v>36</v>
      </c>
      <c r="E382">
        <f t="shared" si="5"/>
        <v>1</v>
      </c>
    </row>
    <row r="383" spans="1:5" x14ac:dyDescent="0.25">
      <c r="A383">
        <v>381</v>
      </c>
      <c r="B383" s="5">
        <v>152.36000000000001</v>
      </c>
      <c r="C383" s="5">
        <f>IF($A383=1,$C$2-(ROUNDDOWN(1000/$B383,0)*$B383),IF(A383=2,C382,IF(A383&gt;3,IF(AND(B382&lt;B381,B381&lt;B380),IF(C382&gt;=1000,C382-(ROUNDDOWN(1000/$B383,0)*$B383),C382),IF($B382=MAX($B$3:$B382),C382+(D382*B383),C382)),IF($B382=MAX($B$3:$B382),C382+(D382*B383),C382))))</f>
        <v>970.77000000000203</v>
      </c>
      <c r="D383">
        <f>IF($A383=1,D382+ROUNDDOWN(1000/$B383,0),IF(A383=2,D382,IF(A383&gt;3,IF(AND(B382&lt;B381,B381&lt;B380),IF(C382&gt;=1000,D382+ROUNDDOWN(1000/$B383,0),D382),IF($B382=MAX($B$3:$B382),0,D382)),IF($B382=MAX($B$3:$B382),0,D382))))</f>
        <v>36</v>
      </c>
      <c r="E383">
        <f t="shared" si="5"/>
        <v>0</v>
      </c>
    </row>
    <row r="384" spans="1:5" x14ac:dyDescent="0.25">
      <c r="A384">
        <v>382</v>
      </c>
      <c r="B384" s="5">
        <v>150.47999999999999</v>
      </c>
      <c r="C384" s="5">
        <f>IF($A384=1,$C$2-(ROUNDDOWN(1000/$B384,0)*$B384),IF(A384=2,C383,IF(A384&gt;3,IF(AND(B383&lt;B382,B382&lt;B381),IF(C383&gt;=1000,C383-(ROUNDDOWN(1000/$B384,0)*$B384),C383),IF($B383=MAX($B$3:$B383),C383+(D383*B384),C383)),IF($B383=MAX($B$3:$B383),C383+(D383*B384),C383))))</f>
        <v>970.77000000000203</v>
      </c>
      <c r="D384">
        <f>IF($A384=1,D383+ROUNDDOWN(1000/$B384,0),IF(A384=2,D383,IF(A384&gt;3,IF(AND(B383&lt;B382,B382&lt;B381),IF(C383&gt;=1000,D383+ROUNDDOWN(1000/$B384,0),D383),IF($B383=MAX($B$3:$B383),0,D383)),IF($B383=MAX($B$3:$B383),0,D383))))</f>
        <v>36</v>
      </c>
      <c r="E384">
        <f t="shared" si="5"/>
        <v>0</v>
      </c>
    </row>
    <row r="385" spans="1:5" x14ac:dyDescent="0.25">
      <c r="A385">
        <v>383</v>
      </c>
      <c r="B385" s="5">
        <v>151.6</v>
      </c>
      <c r="C385" s="5">
        <f>IF($A385=1,$C$2-(ROUNDDOWN(1000/$B385,0)*$B385),IF(A385=2,C384,IF(A385&gt;3,IF(AND(B384&lt;B383,B383&lt;B382),IF(C384&gt;=1000,C384-(ROUNDDOWN(1000/$B385,0)*$B385),C384),IF($B384=MAX($B$3:$B384),C384+(D384*B385),C384)),IF($B384=MAX($B$3:$B384),C384+(D384*B385),C384))))</f>
        <v>970.77000000000203</v>
      </c>
      <c r="D385">
        <f>IF($A385=1,D384+ROUNDDOWN(1000/$B385,0),IF(A385=2,D384,IF(A385&gt;3,IF(AND(B384&lt;B383,B383&lt;B382),IF(C384&gt;=1000,D384+ROUNDDOWN(1000/$B385,0),D384),IF($B384=MAX($B$3:$B384),0,D384)),IF($B384=MAX($B$3:$B384),0,D384))))</f>
        <v>36</v>
      </c>
      <c r="E385">
        <f t="shared" si="5"/>
        <v>0</v>
      </c>
    </row>
    <row r="386" spans="1:5" x14ac:dyDescent="0.25">
      <c r="A386">
        <v>384</v>
      </c>
      <c r="B386" s="5">
        <v>149.69999999999999</v>
      </c>
      <c r="C386" s="5">
        <f>IF($A386=1,$C$2-(ROUNDDOWN(1000/$B386,0)*$B386),IF(A386=2,C385,IF(A386&gt;3,IF(AND(B385&lt;B384,B384&lt;B383),IF(C385&gt;=1000,C385-(ROUNDDOWN(1000/$B386,0)*$B386),C385),IF($B385=MAX($B$3:$B385),C385+(D385*B386),C385)),IF($B385=MAX($B$3:$B385),C385+(D385*B386),C385))))</f>
        <v>970.77000000000203</v>
      </c>
      <c r="D386">
        <f>IF($A386=1,D385+ROUNDDOWN(1000/$B386,0),IF(A386=2,D385,IF(A386&gt;3,IF(AND(B385&lt;B384,B384&lt;B383),IF(C385&gt;=1000,D385+ROUNDDOWN(1000/$B386,0),D385),IF($B385=MAX($B$3:$B385),0,D385)),IF($B385=MAX($B$3:$B385),0,D385))))</f>
        <v>36</v>
      </c>
      <c r="E386">
        <f t="shared" si="5"/>
        <v>0</v>
      </c>
    </row>
    <row r="387" spans="1:5" x14ac:dyDescent="0.25">
      <c r="A387">
        <v>385</v>
      </c>
      <c r="B387" s="5">
        <v>150.75</v>
      </c>
      <c r="C387" s="5">
        <f>IF($A387=1,$C$2-(ROUNDDOWN(1000/$B387,0)*$B387),IF(A387=2,C386,IF(A387&gt;3,IF(AND(B386&lt;B385,B385&lt;B384),IF(C386&gt;=1000,C386-(ROUNDDOWN(1000/$B387,0)*$B387),C386),IF($B386=MAX($B$3:$B386),C386+(D386*B387),C386)),IF($B386=MAX($B$3:$B386),C386+(D386*B387),C386))))</f>
        <v>970.77000000000203</v>
      </c>
      <c r="D387">
        <f>IF($A387=1,D386+ROUNDDOWN(1000/$B387,0),IF(A387=2,D386,IF(A387&gt;3,IF(AND(B386&lt;B385,B385&lt;B384),IF(C386&gt;=1000,D386+ROUNDDOWN(1000/$B387,0),D386),IF($B386=MAX($B$3:$B386),0,D386)),IF($B386=MAX($B$3:$B386),0,D386))))</f>
        <v>36</v>
      </c>
      <c r="E387">
        <f t="shared" si="5"/>
        <v>0</v>
      </c>
    </row>
    <row r="388" spans="1:5" x14ac:dyDescent="0.25">
      <c r="A388">
        <v>386</v>
      </c>
      <c r="B388" s="5">
        <v>149.30000000000001</v>
      </c>
      <c r="C388" s="5">
        <f>IF($A388=1,$C$2-(ROUNDDOWN(1000/$B388,0)*$B388),IF(A388=2,C387,IF(A388&gt;3,IF(AND(B387&lt;B386,B386&lt;B385),IF(C387&gt;=1000,C387-(ROUNDDOWN(1000/$B388,0)*$B388),C387),IF($B387=MAX($B$3:$B387),C387+(D387*B388),C387)),IF($B387=MAX($B$3:$B387),C387+(D387*B388),C387))))</f>
        <v>970.77000000000203</v>
      </c>
      <c r="D388">
        <f>IF($A388=1,D387+ROUNDDOWN(1000/$B388,0),IF(A388=2,D387,IF(A388&gt;3,IF(AND(B387&lt;B386,B386&lt;B385),IF(C387&gt;=1000,D387+ROUNDDOWN(1000/$B388,0),D387),IF($B387=MAX($B$3:$B387),0,D387)),IF($B387=MAX($B$3:$B387),0,D387))))</f>
        <v>36</v>
      </c>
      <c r="E388">
        <f t="shared" ref="E388:E451" si="6">IF(D388&gt;D387,1,0)</f>
        <v>0</v>
      </c>
    </row>
    <row r="389" spans="1:5" x14ac:dyDescent="0.25">
      <c r="A389">
        <v>387</v>
      </c>
      <c r="B389" s="5">
        <v>149.41999999999999</v>
      </c>
      <c r="C389" s="5">
        <f>IF($A389=1,$C$2-(ROUNDDOWN(1000/$B389,0)*$B389),IF(A389=2,C388,IF(A389&gt;3,IF(AND(B388&lt;B387,B387&lt;B386),IF(C388&gt;=1000,C388-(ROUNDDOWN(1000/$B389,0)*$B389),C388),IF($B388=MAX($B$3:$B388),C388+(D388*B389),C388)),IF($B388=MAX($B$3:$B388),C388+(D388*B389),C388))))</f>
        <v>970.77000000000203</v>
      </c>
      <c r="D389">
        <f>IF($A389=1,D388+ROUNDDOWN(1000/$B389,0),IF(A389=2,D388,IF(A389&gt;3,IF(AND(B388&lt;B387,B387&lt;B386),IF(C388&gt;=1000,D388+ROUNDDOWN(1000/$B389,0),D388),IF($B388=MAX($B$3:$B388),0,D388)),IF($B388=MAX($B$3:$B388),0,D388))))</f>
        <v>36</v>
      </c>
      <c r="E389">
        <f t="shared" si="6"/>
        <v>0</v>
      </c>
    </row>
    <row r="390" spans="1:5" x14ac:dyDescent="0.25">
      <c r="A390">
        <v>388</v>
      </c>
      <c r="B390" s="5">
        <v>147.55000000000001</v>
      </c>
      <c r="C390" s="5">
        <f>IF($A390=1,$C$2-(ROUNDDOWN(1000/$B390,0)*$B390),IF(A390=2,C389,IF(A390&gt;3,IF(AND(B389&lt;B388,B388&lt;B387),IF(C389&gt;=1000,C389-(ROUNDDOWN(1000/$B390,0)*$B390),C389),IF($B389=MAX($B$3:$B389),C389+(D389*B390),C389)),IF($B389=MAX($B$3:$B389),C389+(D389*B390),C389))))</f>
        <v>970.77000000000203</v>
      </c>
      <c r="D390">
        <f>IF($A390=1,D389+ROUNDDOWN(1000/$B390,0),IF(A390=2,D389,IF(A390&gt;3,IF(AND(B389&lt;B388,B388&lt;B387),IF(C389&gt;=1000,D389+ROUNDDOWN(1000/$B390,0),D389),IF($B389=MAX($B$3:$B389),0,D389)),IF($B389=MAX($B$3:$B389),0,D389))))</f>
        <v>36</v>
      </c>
      <c r="E390">
        <f t="shared" si="6"/>
        <v>0</v>
      </c>
    </row>
    <row r="391" spans="1:5" x14ac:dyDescent="0.25">
      <c r="A391">
        <v>389</v>
      </c>
      <c r="B391" s="5">
        <v>148.07</v>
      </c>
      <c r="C391" s="5">
        <f>IF($A391=1,$C$2-(ROUNDDOWN(1000/$B391,0)*$B391),IF(A391=2,C390,IF(A391&gt;3,IF(AND(B390&lt;B389,B389&lt;B388),IF(C390&gt;=1000,C390-(ROUNDDOWN(1000/$B391,0)*$B391),C390),IF($B390=MAX($B$3:$B390),C390+(D390*B391),C390)),IF($B390=MAX($B$3:$B390),C390+(D390*B391),C390))))</f>
        <v>970.77000000000203</v>
      </c>
      <c r="D391">
        <f>IF($A391=1,D390+ROUNDDOWN(1000/$B391,0),IF(A391=2,D390,IF(A391&gt;3,IF(AND(B390&lt;B389,B389&lt;B388),IF(C390&gt;=1000,D390+ROUNDDOWN(1000/$B391,0),D390),IF($B390=MAX($B$3:$B390),0,D390)),IF($B390=MAX($B$3:$B390),0,D390))))</f>
        <v>36</v>
      </c>
      <c r="E391">
        <f t="shared" si="6"/>
        <v>0</v>
      </c>
    </row>
    <row r="392" spans="1:5" x14ac:dyDescent="0.25">
      <c r="A392">
        <v>390</v>
      </c>
      <c r="B392" s="5">
        <v>149.9</v>
      </c>
      <c r="C392" s="5">
        <f>IF($A392=1,$C$2-(ROUNDDOWN(1000/$B392,0)*$B392),IF(A392=2,C391,IF(A392&gt;3,IF(AND(B391&lt;B390,B390&lt;B389),IF(C391&gt;=1000,C391-(ROUNDDOWN(1000/$B392,0)*$B392),C391),IF($B391=MAX($B$3:$B391),C391+(D391*B392),C391)),IF($B391=MAX($B$3:$B391),C391+(D391*B392),C391))))</f>
        <v>970.77000000000203</v>
      </c>
      <c r="D392">
        <f>IF($A392=1,D391+ROUNDDOWN(1000/$B392,0),IF(A392=2,D391,IF(A392&gt;3,IF(AND(B391&lt;B390,B390&lt;B389),IF(C391&gt;=1000,D391+ROUNDDOWN(1000/$B392,0),D391),IF($B391=MAX($B$3:$B391),0,D391)),IF($B391=MAX($B$3:$B391),0,D391))))</f>
        <v>36</v>
      </c>
      <c r="E392">
        <f t="shared" si="6"/>
        <v>0</v>
      </c>
    </row>
    <row r="393" spans="1:5" x14ac:dyDescent="0.25">
      <c r="A393">
        <v>391</v>
      </c>
      <c r="B393" s="5">
        <v>151.68</v>
      </c>
      <c r="C393" s="5">
        <f>IF($A393=1,$C$2-(ROUNDDOWN(1000/$B393,0)*$B393),IF(A393=2,C392,IF(A393&gt;3,IF(AND(B392&lt;B391,B391&lt;B390),IF(C392&gt;=1000,C392-(ROUNDDOWN(1000/$B393,0)*$B393),C392),IF($B392=MAX($B$3:$B392),C392+(D392*B393),C392)),IF($B392=MAX($B$3:$B392),C392+(D392*B393),C392))))</f>
        <v>970.77000000000203</v>
      </c>
      <c r="D393">
        <f>IF($A393=1,D392+ROUNDDOWN(1000/$B393,0),IF(A393=2,D392,IF(A393&gt;3,IF(AND(B392&lt;B391,B391&lt;B390),IF(C392&gt;=1000,D392+ROUNDDOWN(1000/$B393,0),D392),IF($B392=MAX($B$3:$B392),0,D392)),IF($B392=MAX($B$3:$B392),0,D392))))</f>
        <v>36</v>
      </c>
      <c r="E393">
        <f t="shared" si="6"/>
        <v>0</v>
      </c>
    </row>
    <row r="394" spans="1:5" x14ac:dyDescent="0.25">
      <c r="A394">
        <v>392</v>
      </c>
      <c r="B394" s="5">
        <v>153.25</v>
      </c>
      <c r="C394" s="5">
        <f>IF($A394=1,$C$2-(ROUNDDOWN(1000/$B394,0)*$B394),IF(A394=2,C393,IF(A394&gt;3,IF(AND(B393&lt;B392,B392&lt;B391),IF(C393&gt;=1000,C393-(ROUNDDOWN(1000/$B394,0)*$B394),C393),IF($B393=MAX($B$3:$B393),C393+(D393*B394),C393)),IF($B393=MAX($B$3:$B393),C393+(D393*B394),C393))))</f>
        <v>970.77000000000203</v>
      </c>
      <c r="D394">
        <f>IF($A394=1,D393+ROUNDDOWN(1000/$B394,0),IF(A394=2,D393,IF(A394&gt;3,IF(AND(B393&lt;B392,B392&lt;B391),IF(C393&gt;=1000,D393+ROUNDDOWN(1000/$B394,0),D393),IF($B393=MAX($B$3:$B393),0,D393)),IF($B393=MAX($B$3:$B393),0,D393))))</f>
        <v>36</v>
      </c>
      <c r="E394">
        <f t="shared" si="6"/>
        <v>0</v>
      </c>
    </row>
    <row r="395" spans="1:5" x14ac:dyDescent="0.25">
      <c r="A395">
        <v>393</v>
      </c>
      <c r="B395" s="5">
        <v>152.22999999999999</v>
      </c>
      <c r="C395" s="5">
        <f>IF($A395=1,$C$2-(ROUNDDOWN(1000/$B395,0)*$B395),IF(A395=2,C394,IF(A395&gt;3,IF(AND(B394&lt;B393,B393&lt;B392),IF(C394&gt;=1000,C394-(ROUNDDOWN(1000/$B395,0)*$B395),C394),IF($B394=MAX($B$3:$B394),C394+(D394*B395),C394)),IF($B394=MAX($B$3:$B394),C394+(D394*B395),C394))))</f>
        <v>970.77000000000203</v>
      </c>
      <c r="D395">
        <f>IF($A395=1,D394+ROUNDDOWN(1000/$B395,0),IF(A395=2,D394,IF(A395&gt;3,IF(AND(B394&lt;B393,B393&lt;B392),IF(C394&gt;=1000,D394+ROUNDDOWN(1000/$B395,0),D394),IF($B394=MAX($B$3:$B394),0,D394)),IF($B394=MAX($B$3:$B394),0,D394))))</f>
        <v>36</v>
      </c>
      <c r="E395">
        <f t="shared" si="6"/>
        <v>0</v>
      </c>
    </row>
    <row r="396" spans="1:5" x14ac:dyDescent="0.25">
      <c r="A396">
        <v>394</v>
      </c>
      <c r="B396" s="5">
        <v>150.25</v>
      </c>
      <c r="C396" s="5">
        <f>IF($A396=1,$C$2-(ROUNDDOWN(1000/$B396,0)*$B396),IF(A396=2,C395,IF(A396&gt;3,IF(AND(B395&lt;B394,B394&lt;B393),IF(C395&gt;=1000,C395-(ROUNDDOWN(1000/$B396,0)*$B396),C395),IF($B395=MAX($B$3:$B395),C395+(D395*B396),C395)),IF($B395=MAX($B$3:$B395),C395+(D395*B396),C395))))</f>
        <v>970.77000000000203</v>
      </c>
      <c r="D396">
        <f>IF($A396=1,D395+ROUNDDOWN(1000/$B396,0),IF(A396=2,D395,IF(A396&gt;3,IF(AND(B395&lt;B394,B394&lt;B393),IF(C395&gt;=1000,D395+ROUNDDOWN(1000/$B396,0),D395),IF($B395=MAX($B$3:$B395),0,D395)),IF($B395=MAX($B$3:$B395),0,D395))))</f>
        <v>36</v>
      </c>
      <c r="E396">
        <f t="shared" si="6"/>
        <v>0</v>
      </c>
    </row>
    <row r="397" spans="1:5" x14ac:dyDescent="0.25">
      <c r="A397">
        <v>395</v>
      </c>
      <c r="B397" s="5">
        <v>148.80000000000001</v>
      </c>
      <c r="C397" s="5">
        <f>IF($A397=1,$C$2-(ROUNDDOWN(1000/$B397,0)*$B397),IF(A397=2,C396,IF(A397&gt;3,IF(AND(B396&lt;B395,B395&lt;B394),IF(C396&gt;=1000,C396-(ROUNDDOWN(1000/$B397,0)*$B397),C396),IF($B396=MAX($B$3:$B396),C396+(D396*B397),C396)),IF($B396=MAX($B$3:$B396),C396+(D396*B397),C396))))</f>
        <v>970.77000000000203</v>
      </c>
      <c r="D397">
        <f>IF($A397=1,D396+ROUNDDOWN(1000/$B397,0),IF(A397=2,D396,IF(A397&gt;3,IF(AND(B396&lt;B395,B395&lt;B394),IF(C396&gt;=1000,D396+ROUNDDOWN(1000/$B397,0),D396),IF($B396=MAX($B$3:$B396),0,D396)),IF($B396=MAX($B$3:$B396),0,D396))))</f>
        <v>36</v>
      </c>
      <c r="E397">
        <f t="shared" si="6"/>
        <v>0</v>
      </c>
    </row>
    <row r="398" spans="1:5" x14ac:dyDescent="0.25">
      <c r="A398">
        <v>396</v>
      </c>
      <c r="B398" s="5">
        <v>146.96</v>
      </c>
      <c r="C398" s="5">
        <f>IF($A398=1,$C$2-(ROUNDDOWN(1000/$B398,0)*$B398),IF(A398=2,C397,IF(A398&gt;3,IF(AND(B397&lt;B396,B396&lt;B395),IF(C397&gt;=1000,C397-(ROUNDDOWN(1000/$B398,0)*$B398),C397),IF($B397=MAX($B$3:$B397),C397+(D397*B398),C397)),IF($B397=MAX($B$3:$B397),C397+(D397*B398),C397))))</f>
        <v>970.77000000000203</v>
      </c>
      <c r="D398">
        <f>IF($A398=1,D397+ROUNDDOWN(1000/$B398,0),IF(A398=2,D397,IF(A398&gt;3,IF(AND(B397&lt;B396,B396&lt;B395),IF(C397&gt;=1000,D397+ROUNDDOWN(1000/$B398,0),D397),IF($B397=MAX($B$3:$B397),0,D397)),IF($B397=MAX($B$3:$B397),0,D397))))</f>
        <v>36</v>
      </c>
      <c r="E398">
        <f t="shared" si="6"/>
        <v>0</v>
      </c>
    </row>
    <row r="399" spans="1:5" x14ac:dyDescent="0.25">
      <c r="A399">
        <v>397</v>
      </c>
      <c r="B399" s="5">
        <v>145.47999999999999</v>
      </c>
      <c r="C399" s="5">
        <f>IF($A399=1,$C$2-(ROUNDDOWN(1000/$B399,0)*$B399),IF(A399=2,C398,IF(A399&gt;3,IF(AND(B398&lt;B397,B397&lt;B396),IF(C398&gt;=1000,C398-(ROUNDDOWN(1000/$B399,0)*$B399),C398),IF($B398=MAX($B$3:$B398),C398+(D398*B399),C398)),IF($B398=MAX($B$3:$B398),C398+(D398*B399),C398))))</f>
        <v>970.77000000000203</v>
      </c>
      <c r="D399">
        <f>IF($A399=1,D398+ROUNDDOWN(1000/$B399,0),IF(A399=2,D398,IF(A399&gt;3,IF(AND(B398&lt;B397,B397&lt;B396),IF(C398&gt;=1000,D398+ROUNDDOWN(1000/$B399,0),D398),IF($B398=MAX($B$3:$B398),0,D398)),IF($B398=MAX($B$3:$B398),0,D398))))</f>
        <v>36</v>
      </c>
      <c r="E399">
        <f t="shared" si="6"/>
        <v>0</v>
      </c>
    </row>
    <row r="400" spans="1:5" x14ac:dyDescent="0.25">
      <c r="A400">
        <v>398</v>
      </c>
      <c r="B400" s="5">
        <v>147.35</v>
      </c>
      <c r="C400" s="5">
        <f>IF($A400=1,$C$2-(ROUNDDOWN(1000/$B400,0)*$B400),IF(A400=2,C399,IF(A400&gt;3,IF(AND(B399&lt;B398,B398&lt;B397),IF(C399&gt;=1000,C399-(ROUNDDOWN(1000/$B400,0)*$B400),C399),IF($B399=MAX($B$3:$B399),C399+(D399*B400),C399)),IF($B399=MAX($B$3:$B399),C399+(D399*B400),C399))))</f>
        <v>970.77000000000203</v>
      </c>
      <c r="D400">
        <f>IF($A400=1,D399+ROUNDDOWN(1000/$B400,0),IF(A400=2,D399,IF(A400&gt;3,IF(AND(B399&lt;B398,B398&lt;B397),IF(C399&gt;=1000,D399+ROUNDDOWN(1000/$B400,0),D399),IF($B399=MAX($B$3:$B399),0,D399)),IF($B399=MAX($B$3:$B399),0,D399))))</f>
        <v>36</v>
      </c>
      <c r="E400">
        <f t="shared" si="6"/>
        <v>0</v>
      </c>
    </row>
    <row r="401" spans="1:5" x14ac:dyDescent="0.25">
      <c r="A401">
        <v>399</v>
      </c>
      <c r="B401" s="5">
        <v>145.4</v>
      </c>
      <c r="C401" s="5">
        <f>IF($A401=1,$C$2-(ROUNDDOWN(1000/$B401,0)*$B401),IF(A401=2,C400,IF(A401&gt;3,IF(AND(B400&lt;B399,B399&lt;B398),IF(C400&gt;=1000,C400-(ROUNDDOWN(1000/$B401,0)*$B401),C400),IF($B400=MAX($B$3:$B400),C400+(D400*B401),C400)),IF($B400=MAX($B$3:$B400),C400+(D400*B401),C400))))</f>
        <v>970.77000000000203</v>
      </c>
      <c r="D401">
        <f>IF($A401=1,D400+ROUNDDOWN(1000/$B401,0),IF(A401=2,D400,IF(A401&gt;3,IF(AND(B400&lt;B399,B399&lt;B398),IF(C400&gt;=1000,D400+ROUNDDOWN(1000/$B401,0),D400),IF($B400=MAX($B$3:$B400),0,D400)),IF($B400=MAX($B$3:$B400),0,D400))))</f>
        <v>36</v>
      </c>
      <c r="E401">
        <f t="shared" si="6"/>
        <v>0</v>
      </c>
    </row>
    <row r="402" spans="1:5" x14ac:dyDescent="0.25">
      <c r="A402">
        <v>400</v>
      </c>
      <c r="B402" s="5">
        <v>145.47</v>
      </c>
      <c r="C402" s="5">
        <f>IF($A402=1,$C$2-(ROUNDDOWN(1000/$B402,0)*$B402),IF(A402=2,C401,IF(A402&gt;3,IF(AND(B401&lt;B400,B400&lt;B399),IF(C401&gt;=1000,C401-(ROUNDDOWN(1000/$B402,0)*$B402),C401),IF($B401=MAX($B$3:$B401),C401+(D401*B402),C401)),IF($B401=MAX($B$3:$B401),C401+(D401*B402),C401))))</f>
        <v>970.77000000000203</v>
      </c>
      <c r="D402">
        <f>IF($A402=1,D401+ROUNDDOWN(1000/$B402,0),IF(A402=2,D401,IF(A402&gt;3,IF(AND(B401&lt;B400,B400&lt;B399),IF(C401&gt;=1000,D401+ROUNDDOWN(1000/$B402,0),D401),IF($B401=MAX($B$3:$B401),0,D401)),IF($B401=MAX($B$3:$B401),0,D401))))</f>
        <v>36</v>
      </c>
      <c r="E402">
        <f t="shared" si="6"/>
        <v>0</v>
      </c>
    </row>
    <row r="403" spans="1:5" x14ac:dyDescent="0.25">
      <c r="A403">
        <v>401</v>
      </c>
      <c r="B403" s="5">
        <v>146.12</v>
      </c>
      <c r="C403" s="5">
        <f>IF($A403=1,$C$2-(ROUNDDOWN(1000/$B403,0)*$B403),IF(A403=2,C402,IF(A403&gt;3,IF(AND(B402&lt;B401,B401&lt;B400),IF(C402&gt;=1000,C402-(ROUNDDOWN(1000/$B403,0)*$B403),C402),IF($B402=MAX($B$3:$B402),C402+(D402*B403),C402)),IF($B402=MAX($B$3:$B402),C402+(D402*B403),C402))))</f>
        <v>970.77000000000203</v>
      </c>
      <c r="D403">
        <f>IF($A403=1,D402+ROUNDDOWN(1000/$B403,0),IF(A403=2,D402,IF(A403&gt;3,IF(AND(B402&lt;B401,B401&lt;B400),IF(C402&gt;=1000,D402+ROUNDDOWN(1000/$B403,0),D402),IF($B402=MAX($B$3:$B402),0,D402)),IF($B402=MAX($B$3:$B402),0,D402))))</f>
        <v>36</v>
      </c>
      <c r="E403">
        <f t="shared" si="6"/>
        <v>0</v>
      </c>
    </row>
    <row r="404" spans="1:5" x14ac:dyDescent="0.25">
      <c r="A404">
        <v>402</v>
      </c>
      <c r="B404" s="5">
        <v>147.22</v>
      </c>
      <c r="C404" s="5">
        <f>IF($A404=1,$C$2-(ROUNDDOWN(1000/$B404,0)*$B404),IF(A404=2,C403,IF(A404&gt;3,IF(AND(B403&lt;B402,B402&lt;B401),IF(C403&gt;=1000,C403-(ROUNDDOWN(1000/$B404,0)*$B404),C403),IF($B403=MAX($B$3:$B403),C403+(D403*B404),C403)),IF($B403=MAX($B$3:$B403),C403+(D403*B404),C403))))</f>
        <v>970.77000000000203</v>
      </c>
      <c r="D404">
        <f>IF($A404=1,D403+ROUNDDOWN(1000/$B404,0),IF(A404=2,D403,IF(A404&gt;3,IF(AND(B403&lt;B402,B402&lt;B401),IF(C403&gt;=1000,D403+ROUNDDOWN(1000/$B404,0),D403),IF($B403=MAX($B$3:$B403),0,D403)),IF($B403=MAX($B$3:$B403),0,D403))))</f>
        <v>36</v>
      </c>
      <c r="E404">
        <f t="shared" si="6"/>
        <v>0</v>
      </c>
    </row>
    <row r="405" spans="1:5" x14ac:dyDescent="0.25">
      <c r="A405">
        <v>403</v>
      </c>
      <c r="B405" s="5">
        <v>148.13</v>
      </c>
      <c r="C405" s="5">
        <f>IF($A405=1,$C$2-(ROUNDDOWN(1000/$B405,0)*$B405),IF(A405=2,C404,IF(A405&gt;3,IF(AND(B404&lt;B403,B403&lt;B402),IF(C404&gt;=1000,C404-(ROUNDDOWN(1000/$B405,0)*$B405),C404),IF($B404=MAX($B$3:$B404),C404+(D404*B405),C404)),IF($B404=MAX($B$3:$B404),C404+(D404*B405),C404))))</f>
        <v>970.77000000000203</v>
      </c>
      <c r="D405">
        <f>IF($A405=1,D404+ROUNDDOWN(1000/$B405,0),IF(A405=2,D404,IF(A405&gt;3,IF(AND(B404&lt;B403,B403&lt;B402),IF(C404&gt;=1000,D404+ROUNDDOWN(1000/$B405,0),D404),IF($B404=MAX($B$3:$B404),0,D404)),IF($B404=MAX($B$3:$B404),0,D404))))</f>
        <v>36</v>
      </c>
      <c r="E405">
        <f t="shared" si="6"/>
        <v>0</v>
      </c>
    </row>
    <row r="406" spans="1:5" x14ac:dyDescent="0.25">
      <c r="A406">
        <v>404</v>
      </c>
      <c r="B406" s="5">
        <v>149.9</v>
      </c>
      <c r="C406" s="5">
        <f>IF($A406=1,$C$2-(ROUNDDOWN(1000/$B406,0)*$B406),IF(A406=2,C405,IF(A406&gt;3,IF(AND(B405&lt;B404,B404&lt;B403),IF(C405&gt;=1000,C405-(ROUNDDOWN(1000/$B406,0)*$B406),C405),IF($B405=MAX($B$3:$B405),C405+(D405*B406),C405)),IF($B405=MAX($B$3:$B405),C405+(D405*B406),C405))))</f>
        <v>970.77000000000203</v>
      </c>
      <c r="D406">
        <f>IF($A406=1,D405+ROUNDDOWN(1000/$B406,0),IF(A406=2,D405,IF(A406&gt;3,IF(AND(B405&lt;B404,B404&lt;B403),IF(C405&gt;=1000,D405+ROUNDDOWN(1000/$B406,0),D405),IF($B405=MAX($B$3:$B405),0,D405)),IF($B405=MAX($B$3:$B405),0,D405))))</f>
        <v>36</v>
      </c>
      <c r="E406">
        <f t="shared" si="6"/>
        <v>0</v>
      </c>
    </row>
    <row r="407" spans="1:5" x14ac:dyDescent="0.25">
      <c r="A407">
        <v>405</v>
      </c>
      <c r="B407" s="5">
        <v>147.96</v>
      </c>
      <c r="C407" s="5">
        <f>IF($A407=1,$C$2-(ROUNDDOWN(1000/$B407,0)*$B407),IF(A407=2,C406,IF(A407&gt;3,IF(AND(B406&lt;B405,B405&lt;B404),IF(C406&gt;=1000,C406-(ROUNDDOWN(1000/$B407,0)*$B407),C406),IF($B406=MAX($B$3:$B406),C406+(D406*B407),C406)),IF($B406=MAX($B$3:$B406),C406+(D406*B407),C406))))</f>
        <v>970.77000000000203</v>
      </c>
      <c r="D407">
        <f>IF($A407=1,D406+ROUNDDOWN(1000/$B407,0),IF(A407=2,D406,IF(A407&gt;3,IF(AND(B406&lt;B405,B405&lt;B404),IF(C406&gt;=1000,D406+ROUNDDOWN(1000/$B407,0),D406),IF($B406=MAX($B$3:$B406),0,D406)),IF($B406=MAX($B$3:$B406),0,D406))))</f>
        <v>36</v>
      </c>
      <c r="E407">
        <f t="shared" si="6"/>
        <v>0</v>
      </c>
    </row>
    <row r="408" spans="1:5" x14ac:dyDescent="0.25">
      <c r="A408">
        <v>406</v>
      </c>
      <c r="B408" s="5">
        <v>146.51</v>
      </c>
      <c r="C408" s="5">
        <f>IF($A408=1,$C$2-(ROUNDDOWN(1000/$B408,0)*$B408),IF(A408=2,C407,IF(A408&gt;3,IF(AND(B407&lt;B406,B406&lt;B405),IF(C407&gt;=1000,C407-(ROUNDDOWN(1000/$B408,0)*$B408),C407),IF($B407=MAX($B$3:$B407),C407+(D407*B408),C407)),IF($B407=MAX($B$3:$B407),C407+(D407*B408),C407))))</f>
        <v>970.77000000000203</v>
      </c>
      <c r="D408">
        <f>IF($A408=1,D407+ROUNDDOWN(1000/$B408,0),IF(A408=2,D407,IF(A408&gt;3,IF(AND(B407&lt;B406,B406&lt;B405),IF(C407&gt;=1000,D407+ROUNDDOWN(1000/$B408,0),D407),IF($B407=MAX($B$3:$B407),0,D407)),IF($B407=MAX($B$3:$B407),0,D407))))</f>
        <v>36</v>
      </c>
      <c r="E408">
        <f t="shared" si="6"/>
        <v>0</v>
      </c>
    </row>
    <row r="409" spans="1:5" x14ac:dyDescent="0.25">
      <c r="A409">
        <v>407</v>
      </c>
      <c r="B409" s="5">
        <v>147.87</v>
      </c>
      <c r="C409" s="5">
        <f>IF($A409=1,$C$2-(ROUNDDOWN(1000/$B409,0)*$B409),IF(A409=2,C408,IF(A409&gt;3,IF(AND(B408&lt;B407,B407&lt;B406),IF(C408&gt;=1000,C408-(ROUNDDOWN(1000/$B409,0)*$B409),C408),IF($B408=MAX($B$3:$B408),C408+(D408*B409),C408)),IF($B408=MAX($B$3:$B408),C408+(D408*B409),C408))))</f>
        <v>970.77000000000203</v>
      </c>
      <c r="D409">
        <f>IF($A409=1,D408+ROUNDDOWN(1000/$B409,0),IF(A409=2,D408,IF(A409&gt;3,IF(AND(B408&lt;B407,B407&lt;B406),IF(C408&gt;=1000,D408+ROUNDDOWN(1000/$B409,0),D408),IF($B408=MAX($B$3:$B408),0,D408)),IF($B408=MAX($B$3:$B408),0,D408))))</f>
        <v>36</v>
      </c>
      <c r="E409">
        <f t="shared" si="6"/>
        <v>0</v>
      </c>
    </row>
    <row r="410" spans="1:5" x14ac:dyDescent="0.25">
      <c r="A410">
        <v>408</v>
      </c>
      <c r="B410" s="5">
        <v>149.41</v>
      </c>
      <c r="C410" s="5">
        <f>IF($A410=1,$C$2-(ROUNDDOWN(1000/$B410,0)*$B410),IF(A410=2,C409,IF(A410&gt;3,IF(AND(B409&lt;B408,B408&lt;B407),IF(C409&gt;=1000,C409-(ROUNDDOWN(1000/$B410,0)*$B410),C409),IF($B409=MAX($B$3:$B409),C409+(D409*B410),C409)),IF($B409=MAX($B$3:$B409),C409+(D409*B410),C409))))</f>
        <v>970.77000000000203</v>
      </c>
      <c r="D410">
        <f>IF($A410=1,D409+ROUNDDOWN(1000/$B410,0),IF(A410=2,D409,IF(A410&gt;3,IF(AND(B409&lt;B408,B408&lt;B407),IF(C409&gt;=1000,D409+ROUNDDOWN(1000/$B410,0),D409),IF($B409=MAX($B$3:$B409),0,D409)),IF($B409=MAX($B$3:$B409),0,D409))))</f>
        <v>36</v>
      </c>
      <c r="E410">
        <f t="shared" si="6"/>
        <v>0</v>
      </c>
    </row>
    <row r="411" spans="1:5" x14ac:dyDescent="0.25">
      <c r="A411">
        <v>409</v>
      </c>
      <c r="B411" s="5">
        <v>150.38999999999999</v>
      </c>
      <c r="C411" s="5">
        <f>IF($A411=1,$C$2-(ROUNDDOWN(1000/$B411,0)*$B411),IF(A411=2,C410,IF(A411&gt;3,IF(AND(B410&lt;B409,B409&lt;B408),IF(C410&gt;=1000,C410-(ROUNDDOWN(1000/$B411,0)*$B411),C410),IF($B410=MAX($B$3:$B410),C410+(D410*B411),C410)),IF($B410=MAX($B$3:$B410),C410+(D410*B411),C410))))</f>
        <v>970.77000000000203</v>
      </c>
      <c r="D411">
        <f>IF($A411=1,D410+ROUNDDOWN(1000/$B411,0),IF(A411=2,D410,IF(A411&gt;3,IF(AND(B410&lt;B409,B409&lt;B408),IF(C410&gt;=1000,D410+ROUNDDOWN(1000/$B411,0),D410),IF($B410=MAX($B$3:$B410),0,D410)),IF($B410=MAX($B$3:$B410),0,D410))))</f>
        <v>36</v>
      </c>
      <c r="E411">
        <f t="shared" si="6"/>
        <v>0</v>
      </c>
    </row>
    <row r="412" spans="1:5" x14ac:dyDescent="0.25">
      <c r="A412">
        <v>410</v>
      </c>
      <c r="B412" s="5">
        <v>149.35</v>
      </c>
      <c r="C412" s="5">
        <f>IF($A412=1,$C$2-(ROUNDDOWN(1000/$B412,0)*$B412),IF(A412=2,C411,IF(A412&gt;3,IF(AND(B411&lt;B410,B410&lt;B409),IF(C411&gt;=1000,C411-(ROUNDDOWN(1000/$B412,0)*$B412),C411),IF($B411=MAX($B$3:$B411),C411+(D411*B412),C411)),IF($B411=MAX($B$3:$B411),C411+(D411*B412),C411))))</f>
        <v>970.77000000000203</v>
      </c>
      <c r="D412">
        <f>IF($A412=1,D411+ROUNDDOWN(1000/$B412,0),IF(A412=2,D411,IF(A412&gt;3,IF(AND(B411&lt;B410,B410&lt;B409),IF(C411&gt;=1000,D411+ROUNDDOWN(1000/$B412,0),D411),IF($B411=MAX($B$3:$B411),0,D411)),IF($B411=MAX($B$3:$B411),0,D411))))</f>
        <v>36</v>
      </c>
      <c r="E412">
        <f t="shared" si="6"/>
        <v>0</v>
      </c>
    </row>
    <row r="413" spans="1:5" x14ac:dyDescent="0.25">
      <c r="A413">
        <v>411</v>
      </c>
      <c r="B413" s="5">
        <v>147.81</v>
      </c>
      <c r="C413" s="5">
        <f>IF($A413=1,$C$2-(ROUNDDOWN(1000/$B413,0)*$B413),IF(A413=2,C412,IF(A413&gt;3,IF(AND(B412&lt;B411,B411&lt;B410),IF(C412&gt;=1000,C412-(ROUNDDOWN(1000/$B413,0)*$B413),C412),IF($B412=MAX($B$3:$B412),C412+(D412*B413),C412)),IF($B412=MAX($B$3:$B412),C412+(D412*B413),C412))))</f>
        <v>970.77000000000203</v>
      </c>
      <c r="D413">
        <f>IF($A413=1,D412+ROUNDDOWN(1000/$B413,0),IF(A413=2,D412,IF(A413&gt;3,IF(AND(B412&lt;B411,B411&lt;B410),IF(C412&gt;=1000,D412+ROUNDDOWN(1000/$B413,0),D412),IF($B412=MAX($B$3:$B412),0,D412)),IF($B412=MAX($B$3:$B412),0,D412))))</f>
        <v>36</v>
      </c>
      <c r="E413">
        <f t="shared" si="6"/>
        <v>0</v>
      </c>
    </row>
    <row r="414" spans="1:5" x14ac:dyDescent="0.25">
      <c r="A414">
        <v>412</v>
      </c>
      <c r="B414" s="5">
        <v>145.85</v>
      </c>
      <c r="C414" s="5">
        <f>IF($A414=1,$C$2-(ROUNDDOWN(1000/$B414,0)*$B414),IF(A414=2,C413,IF(A414&gt;3,IF(AND(B413&lt;B412,B412&lt;B411),IF(C413&gt;=1000,C413-(ROUNDDOWN(1000/$B414,0)*$B414),C413),IF($B413=MAX($B$3:$B413),C413+(D413*B414),C413)),IF($B413=MAX($B$3:$B413),C413+(D413*B414),C413))))</f>
        <v>970.77000000000203</v>
      </c>
      <c r="D414">
        <f>IF($A414=1,D413+ROUNDDOWN(1000/$B414,0),IF(A414=2,D413,IF(A414&gt;3,IF(AND(B413&lt;B412,B412&lt;B411),IF(C413&gt;=1000,D413+ROUNDDOWN(1000/$B414,0),D413),IF($B413=MAX($B$3:$B413),0,D413)),IF($B413=MAX($B$3:$B413),0,D413))))</f>
        <v>36</v>
      </c>
      <c r="E414">
        <f t="shared" si="6"/>
        <v>0</v>
      </c>
    </row>
    <row r="415" spans="1:5" x14ac:dyDescent="0.25">
      <c r="A415">
        <v>413</v>
      </c>
      <c r="B415" s="5">
        <v>147.65</v>
      </c>
      <c r="C415" s="5">
        <f>IF($A415=1,$C$2-(ROUNDDOWN(1000/$B415,0)*$B415),IF(A415=2,C414,IF(A415&gt;3,IF(AND(B414&lt;B413,B413&lt;B412),IF(C414&gt;=1000,C414-(ROUNDDOWN(1000/$B415,0)*$B415),C414),IF($B414=MAX($B$3:$B414),C414+(D414*B415),C414)),IF($B414=MAX($B$3:$B414),C414+(D414*B415),C414))))</f>
        <v>970.77000000000203</v>
      </c>
      <c r="D415">
        <f>IF($A415=1,D414+ROUNDDOWN(1000/$B415,0),IF(A415=2,D414,IF(A415&gt;3,IF(AND(B414&lt;B413,B413&lt;B412),IF(C414&gt;=1000,D414+ROUNDDOWN(1000/$B415,0),D414),IF($B414=MAX($B$3:$B414),0,D414)),IF($B414=MAX($B$3:$B414),0,D414))))</f>
        <v>36</v>
      </c>
      <c r="E415">
        <f t="shared" si="6"/>
        <v>0</v>
      </c>
    </row>
    <row r="416" spans="1:5" x14ac:dyDescent="0.25">
      <c r="A416">
        <v>414</v>
      </c>
      <c r="B416" s="5">
        <v>148</v>
      </c>
      <c r="C416" s="5">
        <f>IF($A416=1,$C$2-(ROUNDDOWN(1000/$B416,0)*$B416),IF(A416=2,C415,IF(A416&gt;3,IF(AND(B415&lt;B414,B414&lt;B413),IF(C415&gt;=1000,C415-(ROUNDDOWN(1000/$B416,0)*$B416),C415),IF($B415=MAX($B$3:$B415),C415+(D415*B416),C415)),IF($B415=MAX($B$3:$B415),C415+(D415*B416),C415))))</f>
        <v>970.77000000000203</v>
      </c>
      <c r="D416">
        <f>IF($A416=1,D415+ROUNDDOWN(1000/$B416,0),IF(A416=2,D415,IF(A416&gt;3,IF(AND(B415&lt;B414,B414&lt;B413),IF(C415&gt;=1000,D415+ROUNDDOWN(1000/$B416,0),D415),IF($B415=MAX($B$3:$B415),0,D415)),IF($B415=MAX($B$3:$B415),0,D415))))</f>
        <v>36</v>
      </c>
      <c r="E416">
        <f t="shared" si="6"/>
        <v>0</v>
      </c>
    </row>
    <row r="417" spans="1:5" x14ac:dyDescent="0.25">
      <c r="A417">
        <v>415</v>
      </c>
      <c r="B417" s="5">
        <v>149.16</v>
      </c>
      <c r="C417" s="5">
        <f>IF($A417=1,$C$2-(ROUNDDOWN(1000/$B417,0)*$B417),IF(A417=2,C416,IF(A417&gt;3,IF(AND(B416&lt;B415,B415&lt;B414),IF(C416&gt;=1000,C416-(ROUNDDOWN(1000/$B417,0)*$B417),C416),IF($B416=MAX($B$3:$B416),C416+(D416*B417),C416)),IF($B416=MAX($B$3:$B416),C416+(D416*B417),C416))))</f>
        <v>970.77000000000203</v>
      </c>
      <c r="D417">
        <f>IF($A417=1,D416+ROUNDDOWN(1000/$B417,0),IF(A417=2,D416,IF(A417&gt;3,IF(AND(B416&lt;B415,B415&lt;B414),IF(C416&gt;=1000,D416+ROUNDDOWN(1000/$B417,0),D416),IF($B416=MAX($B$3:$B416),0,D416)),IF($B416=MAX($B$3:$B416),0,D416))))</f>
        <v>36</v>
      </c>
      <c r="E417">
        <f t="shared" si="6"/>
        <v>0</v>
      </c>
    </row>
    <row r="418" spans="1:5" x14ac:dyDescent="0.25">
      <c r="A418">
        <v>416</v>
      </c>
      <c r="B418" s="5">
        <v>148.12</v>
      </c>
      <c r="C418" s="5">
        <f>IF($A418=1,$C$2-(ROUNDDOWN(1000/$B418,0)*$B418),IF(A418=2,C417,IF(A418&gt;3,IF(AND(B417&lt;B416,B416&lt;B415),IF(C417&gt;=1000,C417-(ROUNDDOWN(1000/$B418,0)*$B418),C417),IF($B417=MAX($B$3:$B417),C417+(D417*B418),C417)),IF($B417=MAX($B$3:$B417),C417+(D417*B418),C417))))</f>
        <v>970.77000000000203</v>
      </c>
      <c r="D418">
        <f>IF($A418=1,D417+ROUNDDOWN(1000/$B418,0),IF(A418=2,D417,IF(A418&gt;3,IF(AND(B417&lt;B416,B416&lt;B415),IF(C417&gt;=1000,D417+ROUNDDOWN(1000/$B418,0),D417),IF($B417=MAX($B$3:$B417),0,D417)),IF($B417=MAX($B$3:$B417),0,D417))))</f>
        <v>36</v>
      </c>
      <c r="E418">
        <f t="shared" si="6"/>
        <v>0</v>
      </c>
    </row>
    <row r="419" spans="1:5" x14ac:dyDescent="0.25">
      <c r="A419">
        <v>417</v>
      </c>
      <c r="B419" s="5">
        <v>146.75</v>
      </c>
      <c r="C419" s="5">
        <f>IF($A419=1,$C$2-(ROUNDDOWN(1000/$B419,0)*$B419),IF(A419=2,C418,IF(A419&gt;3,IF(AND(B418&lt;B417,B417&lt;B416),IF(C418&gt;=1000,C418-(ROUNDDOWN(1000/$B419,0)*$B419),C418),IF($B418=MAX($B$3:$B418),C418+(D418*B419),C418)),IF($B418=MAX($B$3:$B418),C418+(D418*B419),C418))))</f>
        <v>970.77000000000203</v>
      </c>
      <c r="D419">
        <f>IF($A419=1,D418+ROUNDDOWN(1000/$B419,0),IF(A419=2,D418,IF(A419&gt;3,IF(AND(B418&lt;B417,B417&lt;B416),IF(C418&gt;=1000,D418+ROUNDDOWN(1000/$B419,0),D418),IF($B418=MAX($B$3:$B418),0,D418)),IF($B418=MAX($B$3:$B418),0,D418))))</f>
        <v>36</v>
      </c>
      <c r="E419">
        <f t="shared" si="6"/>
        <v>0</v>
      </c>
    </row>
    <row r="420" spans="1:5" x14ac:dyDescent="0.25">
      <c r="A420">
        <v>418</v>
      </c>
      <c r="B420" s="5">
        <v>148.88</v>
      </c>
      <c r="C420" s="5">
        <f>IF($A420=1,$C$2-(ROUNDDOWN(1000/$B420,0)*$B420),IF(A420=2,C419,IF(A420&gt;3,IF(AND(B419&lt;B418,B418&lt;B417),IF(C419&gt;=1000,C419-(ROUNDDOWN(1000/$B420,0)*$B420),C419),IF($B419=MAX($B$3:$B419),C419+(D419*B420),C419)),IF($B419=MAX($B$3:$B419),C419+(D419*B420),C419))))</f>
        <v>970.77000000000203</v>
      </c>
      <c r="D420">
        <f>IF($A420=1,D419+ROUNDDOWN(1000/$B420,0),IF(A420=2,D419,IF(A420&gt;3,IF(AND(B419&lt;B418,B418&lt;B417),IF(C419&gt;=1000,D419+ROUNDDOWN(1000/$B420,0),D419),IF($B419=MAX($B$3:$B419),0,D419)),IF($B419=MAX($B$3:$B419),0,D419))))</f>
        <v>36</v>
      </c>
      <c r="E420">
        <f t="shared" si="6"/>
        <v>0</v>
      </c>
    </row>
    <row r="421" spans="1:5" x14ac:dyDescent="0.25">
      <c r="A421">
        <v>419</v>
      </c>
      <c r="B421" s="5">
        <v>150.13999999999999</v>
      </c>
      <c r="C421" s="5">
        <f>IF($A421=1,$C$2-(ROUNDDOWN(1000/$B421,0)*$B421),IF(A421=2,C420,IF(A421&gt;3,IF(AND(B420&lt;B419,B419&lt;B418),IF(C420&gt;=1000,C420-(ROUNDDOWN(1000/$B421,0)*$B421),C420),IF($B420=MAX($B$3:$B420),C420+(D420*B421),C420)),IF($B420=MAX($B$3:$B420),C420+(D420*B421),C420))))</f>
        <v>970.77000000000203</v>
      </c>
      <c r="D421">
        <f>IF($A421=1,D420+ROUNDDOWN(1000/$B421,0),IF(A421=2,D420,IF(A421&gt;3,IF(AND(B420&lt;B419,B419&lt;B418),IF(C420&gt;=1000,D420+ROUNDDOWN(1000/$B421,0),D420),IF($B420=MAX($B$3:$B420),0,D420)),IF($B420=MAX($B$3:$B420),0,D420))))</f>
        <v>36</v>
      </c>
      <c r="E421">
        <f t="shared" si="6"/>
        <v>0</v>
      </c>
    </row>
    <row r="422" spans="1:5" x14ac:dyDescent="0.25">
      <c r="A422">
        <v>420</v>
      </c>
      <c r="B422" s="5">
        <v>149.12</v>
      </c>
      <c r="C422" s="5">
        <f>IF($A422=1,$C$2-(ROUNDDOWN(1000/$B422,0)*$B422),IF(A422=2,C421,IF(A422&gt;3,IF(AND(B421&lt;B420,B420&lt;B419),IF(C421&gt;=1000,C421-(ROUNDDOWN(1000/$B422,0)*$B422),C421),IF($B421=MAX($B$3:$B421),C421+(D421*B422),C421)),IF($B421=MAX($B$3:$B421),C421+(D421*B422),C421))))</f>
        <v>970.77000000000203</v>
      </c>
      <c r="D422">
        <f>IF($A422=1,D421+ROUNDDOWN(1000/$B422,0),IF(A422=2,D421,IF(A422&gt;3,IF(AND(B421&lt;B420,B420&lt;B419),IF(C421&gt;=1000,D421+ROUNDDOWN(1000/$B422,0),D421),IF($B421=MAX($B$3:$B421),0,D421)),IF($B421=MAX($B$3:$B421),0,D421))))</f>
        <v>36</v>
      </c>
      <c r="E422">
        <f t="shared" si="6"/>
        <v>0</v>
      </c>
    </row>
    <row r="423" spans="1:5" x14ac:dyDescent="0.25">
      <c r="A423">
        <v>421</v>
      </c>
      <c r="B423" s="5">
        <v>147.93</v>
      </c>
      <c r="C423" s="5">
        <f>IF($A423=1,$C$2-(ROUNDDOWN(1000/$B423,0)*$B423),IF(A423=2,C422,IF(A423&gt;3,IF(AND(B422&lt;B421,B421&lt;B420),IF(C422&gt;=1000,C422-(ROUNDDOWN(1000/$B423,0)*$B423),C422),IF($B422=MAX($B$3:$B422),C422+(D422*B423),C422)),IF($B422=MAX($B$3:$B422),C422+(D422*B423),C422))))</f>
        <v>970.77000000000203</v>
      </c>
      <c r="D423">
        <f>IF($A423=1,D422+ROUNDDOWN(1000/$B423,0),IF(A423=2,D422,IF(A423&gt;3,IF(AND(B422&lt;B421,B421&lt;B420),IF(C422&gt;=1000,D422+ROUNDDOWN(1000/$B423,0),D422),IF($B422=MAX($B$3:$B422),0,D422)),IF($B422=MAX($B$3:$B422),0,D422))))</f>
        <v>36</v>
      </c>
      <c r="E423">
        <f t="shared" si="6"/>
        <v>0</v>
      </c>
    </row>
    <row r="424" spans="1:5" x14ac:dyDescent="0.25">
      <c r="A424">
        <v>422</v>
      </c>
      <c r="B424" s="5">
        <v>145.99</v>
      </c>
      <c r="C424" s="5">
        <f>IF($A424=1,$C$2-(ROUNDDOWN(1000/$B424,0)*$B424),IF(A424=2,C423,IF(A424&gt;3,IF(AND(B423&lt;B422,B422&lt;B421),IF(C423&gt;=1000,C423-(ROUNDDOWN(1000/$B424,0)*$B424),C423),IF($B423=MAX($B$3:$B423),C423+(D423*B424),C423)),IF($B423=MAX($B$3:$B423),C423+(D423*B424),C423))))</f>
        <v>970.77000000000203</v>
      </c>
      <c r="D424">
        <f>IF($A424=1,D423+ROUNDDOWN(1000/$B424,0),IF(A424=2,D423,IF(A424&gt;3,IF(AND(B423&lt;B422,B422&lt;B421),IF(C423&gt;=1000,D423+ROUNDDOWN(1000/$B424,0),D423),IF($B423=MAX($B$3:$B423),0,D423)),IF($B423=MAX($B$3:$B423),0,D423))))</f>
        <v>36</v>
      </c>
      <c r="E424">
        <f t="shared" si="6"/>
        <v>0</v>
      </c>
    </row>
    <row r="425" spans="1:5" x14ac:dyDescent="0.25">
      <c r="A425">
        <v>423</v>
      </c>
      <c r="B425" s="5">
        <v>144.71</v>
      </c>
      <c r="C425" s="5">
        <f>IF($A425=1,$C$2-(ROUNDDOWN(1000/$B425,0)*$B425),IF(A425=2,C424,IF(A425&gt;3,IF(AND(B424&lt;B423,B423&lt;B422),IF(C424&gt;=1000,C424-(ROUNDDOWN(1000/$B425,0)*$B425),C424),IF($B424=MAX($B$3:$B424),C424+(D424*B425),C424)),IF($B424=MAX($B$3:$B424),C424+(D424*B425),C424))))</f>
        <v>970.77000000000203</v>
      </c>
      <c r="D425">
        <f>IF($A425=1,D424+ROUNDDOWN(1000/$B425,0),IF(A425=2,D424,IF(A425&gt;3,IF(AND(B424&lt;B423,B423&lt;B422),IF(C424&gt;=1000,D424+ROUNDDOWN(1000/$B425,0),D424),IF($B424=MAX($B$3:$B424),0,D424)),IF($B424=MAX($B$3:$B424),0,D424))))</f>
        <v>36</v>
      </c>
      <c r="E425">
        <f t="shared" si="6"/>
        <v>0</v>
      </c>
    </row>
    <row r="426" spans="1:5" x14ac:dyDescent="0.25">
      <c r="A426">
        <v>424</v>
      </c>
      <c r="B426" s="5">
        <v>145.03</v>
      </c>
      <c r="C426" s="5">
        <f>IF($A426=1,$C$2-(ROUNDDOWN(1000/$B426,0)*$B426),IF(A426=2,C425,IF(A426&gt;3,IF(AND(B425&lt;B424,B424&lt;B423),IF(C425&gt;=1000,C425-(ROUNDDOWN(1000/$B426,0)*$B426),C425),IF($B425=MAX($B$3:$B425),C425+(D425*B426),C425)),IF($B425=MAX($B$3:$B425),C425+(D425*B426),C425))))</f>
        <v>970.77000000000203</v>
      </c>
      <c r="D426">
        <f>IF($A426=1,D425+ROUNDDOWN(1000/$B426,0),IF(A426=2,D425,IF(A426&gt;3,IF(AND(B425&lt;B424,B424&lt;B423),IF(C425&gt;=1000,D425+ROUNDDOWN(1000/$B426,0),D425),IF($B425=MAX($B$3:$B425),0,D425)),IF($B425=MAX($B$3:$B425),0,D425))))</f>
        <v>36</v>
      </c>
      <c r="E426">
        <f t="shared" si="6"/>
        <v>0</v>
      </c>
    </row>
    <row r="427" spans="1:5" x14ac:dyDescent="0.25">
      <c r="A427">
        <v>425</v>
      </c>
      <c r="B427" s="5">
        <v>146.52000000000001</v>
      </c>
      <c r="C427" s="5">
        <f>IF($A427=1,$C$2-(ROUNDDOWN(1000/$B427,0)*$B427),IF(A427=2,C426,IF(A427&gt;3,IF(AND(B426&lt;B425,B425&lt;B424),IF(C426&gt;=1000,C426-(ROUNDDOWN(1000/$B427,0)*$B427),C426),IF($B426=MAX($B$3:$B426),C426+(D426*B427),C426)),IF($B426=MAX($B$3:$B426),C426+(D426*B427),C426))))</f>
        <v>970.77000000000203</v>
      </c>
      <c r="D427">
        <f>IF($A427=1,D426+ROUNDDOWN(1000/$B427,0),IF(A427=2,D426,IF(A427&gt;3,IF(AND(B426&lt;B425,B425&lt;B424),IF(C426&gt;=1000,D426+ROUNDDOWN(1000/$B427,0),D426),IF($B426=MAX($B$3:$B426),0,D426)),IF($B426=MAX($B$3:$B426),0,D426))))</f>
        <v>36</v>
      </c>
      <c r="E427">
        <f t="shared" si="6"/>
        <v>0</v>
      </c>
    </row>
    <row r="428" spans="1:5" x14ac:dyDescent="0.25">
      <c r="A428">
        <v>426</v>
      </c>
      <c r="B428" s="5">
        <v>146.65</v>
      </c>
      <c r="C428" s="5">
        <f>IF($A428=1,$C$2-(ROUNDDOWN(1000/$B428,0)*$B428),IF(A428=2,C427,IF(A428&gt;3,IF(AND(B427&lt;B426,B426&lt;B425),IF(C427&gt;=1000,C427-(ROUNDDOWN(1000/$B428,0)*$B428),C427),IF($B427=MAX($B$3:$B427),C427+(D427*B428),C427)),IF($B427=MAX($B$3:$B427),C427+(D427*B428),C427))))</f>
        <v>970.77000000000203</v>
      </c>
      <c r="D428">
        <f>IF($A428=1,D427+ROUNDDOWN(1000/$B428,0),IF(A428=2,D427,IF(A428&gt;3,IF(AND(B427&lt;B426,B426&lt;B425),IF(C427&gt;=1000,D427+ROUNDDOWN(1000/$B428,0),D427),IF($B427=MAX($B$3:$B427),0,D427)),IF($B427=MAX($B$3:$B427),0,D427))))</f>
        <v>36</v>
      </c>
      <c r="E428">
        <f t="shared" si="6"/>
        <v>0</v>
      </c>
    </row>
    <row r="429" spans="1:5" x14ac:dyDescent="0.25">
      <c r="A429">
        <v>427</v>
      </c>
      <c r="B429" s="5">
        <v>148.26</v>
      </c>
      <c r="C429" s="5">
        <f>IF($A429=1,$C$2-(ROUNDDOWN(1000/$B429,0)*$B429),IF(A429=2,C428,IF(A429&gt;3,IF(AND(B428&lt;B427,B427&lt;B426),IF(C428&gt;=1000,C428-(ROUNDDOWN(1000/$B429,0)*$B429),C428),IF($B428=MAX($B$3:$B428),C428+(D428*B429),C428)),IF($B428=MAX($B$3:$B428),C428+(D428*B429),C428))))</f>
        <v>970.77000000000203</v>
      </c>
      <c r="D429">
        <f>IF($A429=1,D428+ROUNDDOWN(1000/$B429,0),IF(A429=2,D428,IF(A429&gt;3,IF(AND(B428&lt;B427,B427&lt;B426),IF(C428&gt;=1000,D428+ROUNDDOWN(1000/$B429,0),D428),IF($B428=MAX($B$3:$B428),0,D428)),IF($B428=MAX($B$3:$B428),0,D428))))</f>
        <v>36</v>
      </c>
      <c r="E429">
        <f t="shared" si="6"/>
        <v>0</v>
      </c>
    </row>
    <row r="430" spans="1:5" x14ac:dyDescent="0.25">
      <c r="A430">
        <v>428</v>
      </c>
      <c r="B430" s="5">
        <v>146.6</v>
      </c>
      <c r="C430" s="5">
        <f>IF($A430=1,$C$2-(ROUNDDOWN(1000/$B430,0)*$B430),IF(A430=2,C429,IF(A430&gt;3,IF(AND(B429&lt;B428,B428&lt;B427),IF(C429&gt;=1000,C429-(ROUNDDOWN(1000/$B430,0)*$B430),C429),IF($B429=MAX($B$3:$B429),C429+(D429*B430),C429)),IF($B429=MAX($B$3:$B429),C429+(D429*B430),C429))))</f>
        <v>970.77000000000203</v>
      </c>
      <c r="D430">
        <f>IF($A430=1,D429+ROUNDDOWN(1000/$B430,0),IF(A430=2,D429,IF(A430&gt;3,IF(AND(B429&lt;B428,B428&lt;B427),IF(C429&gt;=1000,D429+ROUNDDOWN(1000/$B430,0),D429),IF($B429=MAX($B$3:$B429),0,D429)),IF($B429=MAX($B$3:$B429),0,D429))))</f>
        <v>36</v>
      </c>
      <c r="E430">
        <f t="shared" si="6"/>
        <v>0</v>
      </c>
    </row>
    <row r="431" spans="1:5" x14ac:dyDescent="0.25">
      <c r="A431">
        <v>429</v>
      </c>
      <c r="B431" s="5">
        <v>147.83000000000001</v>
      </c>
      <c r="C431" s="5">
        <f>IF($A431=1,$C$2-(ROUNDDOWN(1000/$B431,0)*$B431),IF(A431=2,C430,IF(A431&gt;3,IF(AND(B430&lt;B429,B429&lt;B428),IF(C430&gt;=1000,C430-(ROUNDDOWN(1000/$B431,0)*$B431),C430),IF($B430=MAX($B$3:$B430),C430+(D430*B431),C430)),IF($B430=MAX($B$3:$B430),C430+(D430*B431),C430))))</f>
        <v>970.77000000000203</v>
      </c>
      <c r="D431">
        <f>IF($A431=1,D430+ROUNDDOWN(1000/$B431,0),IF(A431=2,D430,IF(A431&gt;3,IF(AND(B430&lt;B429,B429&lt;B428),IF(C430&gt;=1000,D430+ROUNDDOWN(1000/$B431,0),D430),IF($B430=MAX($B$3:$B430),0,D430)),IF($B430=MAX($B$3:$B430),0,D430))))</f>
        <v>36</v>
      </c>
      <c r="E431">
        <f t="shared" si="6"/>
        <v>0</v>
      </c>
    </row>
    <row r="432" spans="1:5" x14ac:dyDescent="0.25">
      <c r="A432">
        <v>430</v>
      </c>
      <c r="B432" s="5">
        <v>150.03</v>
      </c>
      <c r="C432" s="5">
        <f>IF($A432=1,$C$2-(ROUNDDOWN(1000/$B432,0)*$B432),IF(A432=2,C431,IF(A432&gt;3,IF(AND(B431&lt;B430,B430&lt;B429),IF(C431&gt;=1000,C431-(ROUNDDOWN(1000/$B432,0)*$B432),C431),IF($B431=MAX($B$3:$B431),C431+(D431*B432),C431)),IF($B431=MAX($B$3:$B431),C431+(D431*B432),C431))))</f>
        <v>970.77000000000203</v>
      </c>
      <c r="D432">
        <f>IF($A432=1,D431+ROUNDDOWN(1000/$B432,0),IF(A432=2,D431,IF(A432&gt;3,IF(AND(B431&lt;B430,B430&lt;B429),IF(C431&gt;=1000,D431+ROUNDDOWN(1000/$B432,0),D431),IF($B431=MAX($B$3:$B431),0,D431)),IF($B431=MAX($B$3:$B431),0,D431))))</f>
        <v>36</v>
      </c>
      <c r="E432">
        <f t="shared" si="6"/>
        <v>0</v>
      </c>
    </row>
    <row r="433" spans="1:5" x14ac:dyDescent="0.25">
      <c r="A433">
        <v>431</v>
      </c>
      <c r="B433" s="5">
        <v>151.15</v>
      </c>
      <c r="C433" s="5">
        <f>IF($A433=1,$C$2-(ROUNDDOWN(1000/$B433,0)*$B433),IF(A433=2,C432,IF(A433&gt;3,IF(AND(B432&lt;B431,B431&lt;B430),IF(C432&gt;=1000,C432-(ROUNDDOWN(1000/$B433,0)*$B433),C432),IF($B432=MAX($B$3:$B432),C432+(D432*B433),C432)),IF($B432=MAX($B$3:$B432),C432+(D432*B433),C432))))</f>
        <v>970.77000000000203</v>
      </c>
      <c r="D433">
        <f>IF($A433=1,D432+ROUNDDOWN(1000/$B433,0),IF(A433=2,D432,IF(A433&gt;3,IF(AND(B432&lt;B431,B431&lt;B430),IF(C432&gt;=1000,D432+ROUNDDOWN(1000/$B433,0),D432),IF($B432=MAX($B$3:$B432),0,D432)),IF($B432=MAX($B$3:$B432),0,D432))))</f>
        <v>36</v>
      </c>
      <c r="E433">
        <f t="shared" si="6"/>
        <v>0</v>
      </c>
    </row>
    <row r="434" spans="1:5" x14ac:dyDescent="0.25">
      <c r="A434">
        <v>432</v>
      </c>
      <c r="B434" s="5">
        <v>149.94999999999999</v>
      </c>
      <c r="C434" s="5">
        <f>IF($A434=1,$C$2-(ROUNDDOWN(1000/$B434,0)*$B434),IF(A434=2,C433,IF(A434&gt;3,IF(AND(B433&lt;B432,B432&lt;B431),IF(C433&gt;=1000,C433-(ROUNDDOWN(1000/$B434,0)*$B434),C433),IF($B433=MAX($B$3:$B433),C433+(D433*B434),C433)),IF($B433=MAX($B$3:$B433),C433+(D433*B434),C433))))</f>
        <v>970.77000000000203</v>
      </c>
      <c r="D434">
        <f>IF($A434=1,D433+ROUNDDOWN(1000/$B434,0),IF(A434=2,D433,IF(A434&gt;3,IF(AND(B433&lt;B432,B432&lt;B431),IF(C433&gt;=1000,D433+ROUNDDOWN(1000/$B434,0),D433),IF($B433=MAX($B$3:$B433),0,D433)),IF($B433=MAX($B$3:$B433),0,D433))))</f>
        <v>36</v>
      </c>
      <c r="E434">
        <f t="shared" si="6"/>
        <v>0</v>
      </c>
    </row>
    <row r="435" spans="1:5" x14ac:dyDescent="0.25">
      <c r="A435">
        <v>433</v>
      </c>
      <c r="B435" s="5">
        <v>150.97999999999999</v>
      </c>
      <c r="C435" s="5">
        <f>IF($A435=1,$C$2-(ROUNDDOWN(1000/$B435,0)*$B435),IF(A435=2,C434,IF(A435&gt;3,IF(AND(B434&lt;B433,B433&lt;B432),IF(C434&gt;=1000,C434-(ROUNDDOWN(1000/$B435,0)*$B435),C434),IF($B434=MAX($B$3:$B434),C434+(D434*B435),C434)),IF($B434=MAX($B$3:$B434),C434+(D434*B435),C434))))</f>
        <v>970.77000000000203</v>
      </c>
      <c r="D435">
        <f>IF($A435=1,D434+ROUNDDOWN(1000/$B435,0),IF(A435=2,D434,IF(A435&gt;3,IF(AND(B434&lt;B433,B433&lt;B432),IF(C434&gt;=1000,D434+ROUNDDOWN(1000/$B435,0),D434),IF($B434=MAX($B$3:$B434),0,D434)),IF($B434=MAX($B$3:$B434),0,D434))))</f>
        <v>36</v>
      </c>
      <c r="E435">
        <f t="shared" si="6"/>
        <v>0</v>
      </c>
    </row>
    <row r="436" spans="1:5" x14ac:dyDescent="0.25">
      <c r="A436">
        <v>434</v>
      </c>
      <c r="B436" s="5">
        <v>149.25</v>
      </c>
      <c r="C436" s="5">
        <f>IF($A436=1,$C$2-(ROUNDDOWN(1000/$B436,0)*$B436),IF(A436=2,C435,IF(A436&gt;3,IF(AND(B435&lt;B434,B434&lt;B433),IF(C435&gt;=1000,C435-(ROUNDDOWN(1000/$B436,0)*$B436),C435),IF($B435=MAX($B$3:$B435),C435+(D435*B436),C435)),IF($B435=MAX($B$3:$B435),C435+(D435*B436),C435))))</f>
        <v>970.77000000000203</v>
      </c>
      <c r="D436">
        <f>IF($A436=1,D435+ROUNDDOWN(1000/$B436,0),IF(A436=2,D435,IF(A436&gt;3,IF(AND(B435&lt;B434,B434&lt;B433),IF(C435&gt;=1000,D435+ROUNDDOWN(1000/$B436,0),D435),IF($B435=MAX($B$3:$B435),0,D435)),IF($B435=MAX($B$3:$B435),0,D435))))</f>
        <v>36</v>
      </c>
      <c r="E436">
        <f t="shared" si="6"/>
        <v>0</v>
      </c>
    </row>
    <row r="437" spans="1:5" x14ac:dyDescent="0.25">
      <c r="A437">
        <v>435</v>
      </c>
      <c r="B437" s="5">
        <v>151.06</v>
      </c>
      <c r="C437" s="5">
        <f>IF($A437=1,$C$2-(ROUNDDOWN(1000/$B437,0)*$B437),IF(A437=2,C436,IF(A437&gt;3,IF(AND(B436&lt;B435,B435&lt;B434),IF(C436&gt;=1000,C436-(ROUNDDOWN(1000/$B437,0)*$B437),C436),IF($B436=MAX($B$3:$B436),C436+(D436*B437),C436)),IF($B436=MAX($B$3:$B436),C436+(D436*B437),C436))))</f>
        <v>970.77000000000203</v>
      </c>
      <c r="D437">
        <f>IF($A437=1,D436+ROUNDDOWN(1000/$B437,0),IF(A437=2,D436,IF(A437&gt;3,IF(AND(B436&lt;B435,B435&lt;B434),IF(C436&gt;=1000,D436+ROUNDDOWN(1000/$B437,0),D436),IF($B436=MAX($B$3:$B436),0,D436)),IF($B436=MAX($B$3:$B436),0,D436))))</f>
        <v>36</v>
      </c>
      <c r="E437">
        <f t="shared" si="6"/>
        <v>0</v>
      </c>
    </row>
    <row r="438" spans="1:5" x14ac:dyDescent="0.25">
      <c r="A438">
        <v>436</v>
      </c>
      <c r="B438" s="5">
        <v>149.65</v>
      </c>
      <c r="C438" s="5">
        <f>IF($A438=1,$C$2-(ROUNDDOWN(1000/$B438,0)*$B438),IF(A438=2,C437,IF(A438&gt;3,IF(AND(B437&lt;B436,B436&lt;B435),IF(C437&gt;=1000,C437-(ROUNDDOWN(1000/$B438,0)*$B438),C437),IF($B437=MAX($B$3:$B437),C437+(D437*B438),C437)),IF($B437=MAX($B$3:$B437),C437+(D437*B438),C437))))</f>
        <v>970.77000000000203</v>
      </c>
      <c r="D438">
        <f>IF($A438=1,D437+ROUNDDOWN(1000/$B438,0),IF(A438=2,D437,IF(A438&gt;3,IF(AND(B437&lt;B436,B436&lt;B435),IF(C437&gt;=1000,D437+ROUNDDOWN(1000/$B438,0),D437),IF($B437=MAX($B$3:$B437),0,D437)),IF($B437=MAX($B$3:$B437),0,D437))))</f>
        <v>36</v>
      </c>
      <c r="E438">
        <f t="shared" si="6"/>
        <v>0</v>
      </c>
    </row>
    <row r="439" spans="1:5" x14ac:dyDescent="0.25">
      <c r="A439">
        <v>437</v>
      </c>
      <c r="B439" s="5">
        <v>148.22</v>
      </c>
      <c r="C439" s="5">
        <f>IF($A439=1,$C$2-(ROUNDDOWN(1000/$B439,0)*$B439),IF(A439=2,C438,IF(A439&gt;3,IF(AND(B438&lt;B437,B437&lt;B436),IF(C438&gt;=1000,C438-(ROUNDDOWN(1000/$B439,0)*$B439),C438),IF($B438=MAX($B$3:$B438),C438+(D438*B439),C438)),IF($B438=MAX($B$3:$B438),C438+(D438*B439),C438))))</f>
        <v>970.77000000000203</v>
      </c>
      <c r="D439">
        <f>IF($A439=1,D438+ROUNDDOWN(1000/$B439,0),IF(A439=2,D438,IF(A439&gt;3,IF(AND(B438&lt;B437,B437&lt;B436),IF(C438&gt;=1000,D438+ROUNDDOWN(1000/$B439,0),D438),IF($B438=MAX($B$3:$B438),0,D438)),IF($B438=MAX($B$3:$B438),0,D438))))</f>
        <v>36</v>
      </c>
      <c r="E439">
        <f t="shared" si="6"/>
        <v>0</v>
      </c>
    </row>
    <row r="440" spans="1:5" x14ac:dyDescent="0.25">
      <c r="A440">
        <v>438</v>
      </c>
      <c r="B440" s="5">
        <v>146.25</v>
      </c>
      <c r="C440" s="5">
        <f>IF($A440=1,$C$2-(ROUNDDOWN(1000/$B440,0)*$B440),IF(A440=2,C439,IF(A440&gt;3,IF(AND(B439&lt;B438,B438&lt;B437),IF(C439&gt;=1000,C439-(ROUNDDOWN(1000/$B440,0)*$B440),C439),IF($B439=MAX($B$3:$B439),C439+(D439*B440),C439)),IF($B439=MAX($B$3:$B439),C439+(D439*B440),C439))))</f>
        <v>970.77000000000203</v>
      </c>
      <c r="D440">
        <f>IF($A440=1,D439+ROUNDDOWN(1000/$B440,0),IF(A440=2,D439,IF(A440&gt;3,IF(AND(B439&lt;B438,B438&lt;B437),IF(C439&gt;=1000,D439+ROUNDDOWN(1000/$B440,0),D439),IF($B439=MAX($B$3:$B439),0,D439)),IF($B439=MAX($B$3:$B439),0,D439))))</f>
        <v>36</v>
      </c>
      <c r="E440">
        <f t="shared" si="6"/>
        <v>0</v>
      </c>
    </row>
    <row r="441" spans="1:5" x14ac:dyDescent="0.25">
      <c r="A441">
        <v>439</v>
      </c>
      <c r="B441" s="5">
        <v>146.91</v>
      </c>
      <c r="C441" s="5">
        <f>IF($A441=1,$C$2-(ROUNDDOWN(1000/$B441,0)*$B441),IF(A441=2,C440,IF(A441&gt;3,IF(AND(B440&lt;B439,B439&lt;B438),IF(C440&gt;=1000,C440-(ROUNDDOWN(1000/$B441,0)*$B441),C440),IF($B440=MAX($B$3:$B440),C440+(D440*B441),C440)),IF($B440=MAX($B$3:$B440),C440+(D440*B441),C440))))</f>
        <v>970.77000000000203</v>
      </c>
      <c r="D441">
        <f>IF($A441=1,D440+ROUNDDOWN(1000/$B441,0),IF(A441=2,D440,IF(A441&gt;3,IF(AND(B440&lt;B439,B439&lt;B438),IF(C440&gt;=1000,D440+ROUNDDOWN(1000/$B441,0),D440),IF($B440=MAX($B$3:$B440),0,D440)),IF($B440=MAX($B$3:$B440),0,D440))))</f>
        <v>36</v>
      </c>
      <c r="E441">
        <f t="shared" si="6"/>
        <v>0</v>
      </c>
    </row>
    <row r="442" spans="1:5" x14ac:dyDescent="0.25">
      <c r="A442">
        <v>440</v>
      </c>
      <c r="B442" s="5">
        <v>145.85</v>
      </c>
      <c r="C442" s="5">
        <f>IF($A442=1,$C$2-(ROUNDDOWN(1000/$B442,0)*$B442),IF(A442=2,C441,IF(A442&gt;3,IF(AND(B441&lt;B440,B440&lt;B439),IF(C441&gt;=1000,C441-(ROUNDDOWN(1000/$B442,0)*$B442),C441),IF($B441=MAX($B$3:$B441),C441+(D441*B442),C441)),IF($B441=MAX($B$3:$B441),C441+(D441*B442),C441))))</f>
        <v>970.77000000000203</v>
      </c>
      <c r="D442">
        <f>IF($A442=1,D441+ROUNDDOWN(1000/$B442,0),IF(A442=2,D441,IF(A442&gt;3,IF(AND(B441&lt;B440,B440&lt;B439),IF(C441&gt;=1000,D441+ROUNDDOWN(1000/$B442,0),D441),IF($B441=MAX($B$3:$B441),0,D441)),IF($B441=MAX($B$3:$B441),0,D441))))</f>
        <v>36</v>
      </c>
      <c r="E442">
        <f t="shared" si="6"/>
        <v>0</v>
      </c>
    </row>
    <row r="443" spans="1:5" x14ac:dyDescent="0.25">
      <c r="A443">
        <v>441</v>
      </c>
      <c r="B443" s="5">
        <v>146.31</v>
      </c>
      <c r="C443" s="5">
        <f>IF($A443=1,$C$2-(ROUNDDOWN(1000/$B443,0)*$B443),IF(A443=2,C442,IF(A443&gt;3,IF(AND(B442&lt;B441,B441&lt;B440),IF(C442&gt;=1000,C442-(ROUNDDOWN(1000/$B443,0)*$B443),C442),IF($B442=MAX($B$3:$B442),C442+(D442*B443),C442)),IF($B442=MAX($B$3:$B442),C442+(D442*B443),C442))))</f>
        <v>970.77000000000203</v>
      </c>
      <c r="D443">
        <f>IF($A443=1,D442+ROUNDDOWN(1000/$B443,0),IF(A443=2,D442,IF(A443&gt;3,IF(AND(B442&lt;B441,B441&lt;B440),IF(C442&gt;=1000,D442+ROUNDDOWN(1000/$B443,0),D442),IF($B442=MAX($B$3:$B442),0,D442)),IF($B442=MAX($B$3:$B442),0,D442))))</f>
        <v>36</v>
      </c>
      <c r="E443">
        <f t="shared" si="6"/>
        <v>0</v>
      </c>
    </row>
    <row r="444" spans="1:5" x14ac:dyDescent="0.25">
      <c r="A444">
        <v>442</v>
      </c>
      <c r="B444" s="5">
        <v>144.6</v>
      </c>
      <c r="C444" s="5">
        <f>IF($A444=1,$C$2-(ROUNDDOWN(1000/$B444,0)*$B444),IF(A444=2,C443,IF(A444&gt;3,IF(AND(B443&lt;B442,B442&lt;B441),IF(C443&gt;=1000,C443-(ROUNDDOWN(1000/$B444,0)*$B444),C443),IF($B443=MAX($B$3:$B443),C443+(D443*B444),C443)),IF($B443=MAX($B$3:$B443),C443+(D443*B444),C443))))</f>
        <v>970.77000000000203</v>
      </c>
      <c r="D444">
        <f>IF($A444=1,D443+ROUNDDOWN(1000/$B444,0),IF(A444=2,D443,IF(A444&gt;3,IF(AND(B443&lt;B442,B442&lt;B441),IF(C443&gt;=1000,D443+ROUNDDOWN(1000/$B444,0),D443),IF($B443=MAX($B$3:$B443),0,D443)),IF($B443=MAX($B$3:$B443),0,D443))))</f>
        <v>36</v>
      </c>
      <c r="E444">
        <f t="shared" si="6"/>
        <v>0</v>
      </c>
    </row>
    <row r="445" spans="1:5" x14ac:dyDescent="0.25">
      <c r="A445">
        <v>443</v>
      </c>
      <c r="B445" s="5">
        <v>143.56</v>
      </c>
      <c r="C445" s="5">
        <f>IF($A445=1,$C$2-(ROUNDDOWN(1000/$B445,0)*$B445),IF(A445=2,C444,IF(A445&gt;3,IF(AND(B444&lt;B443,B443&lt;B442),IF(C444&gt;=1000,C444-(ROUNDDOWN(1000/$B445,0)*$B445),C444),IF($B444=MAX($B$3:$B444),C444+(D444*B445),C444)),IF($B444=MAX($B$3:$B444),C444+(D444*B445),C444))))</f>
        <v>970.77000000000203</v>
      </c>
      <c r="D445">
        <f>IF($A445=1,D444+ROUNDDOWN(1000/$B445,0),IF(A445=2,D444,IF(A445&gt;3,IF(AND(B444&lt;B443,B443&lt;B442),IF(C444&gt;=1000,D444+ROUNDDOWN(1000/$B445,0),D444),IF($B444=MAX($B$3:$B444),0,D444)),IF($B444=MAX($B$3:$B444),0,D444))))</f>
        <v>36</v>
      </c>
      <c r="E445">
        <f t="shared" si="6"/>
        <v>0</v>
      </c>
    </row>
    <row r="446" spans="1:5" x14ac:dyDescent="0.25">
      <c r="A446">
        <v>444</v>
      </c>
      <c r="B446" s="5">
        <v>143.61000000000001</v>
      </c>
      <c r="C446" s="5">
        <f>IF($A446=1,$C$2-(ROUNDDOWN(1000/$B446,0)*$B446),IF(A446=2,C445,IF(A446&gt;3,IF(AND(B445&lt;B444,B444&lt;B443),IF(C445&gt;=1000,C445-(ROUNDDOWN(1000/$B446,0)*$B446),C445),IF($B445=MAX($B$3:$B445),C445+(D445*B446),C445)),IF($B445=MAX($B$3:$B445),C445+(D445*B446),C445))))</f>
        <v>970.77000000000203</v>
      </c>
      <c r="D446">
        <f>IF($A446=1,D445+ROUNDDOWN(1000/$B446,0),IF(A446=2,D445,IF(A446&gt;3,IF(AND(B445&lt;B444,B444&lt;B443),IF(C445&gt;=1000,D445+ROUNDDOWN(1000/$B446,0),D445),IF($B445=MAX($B$3:$B445),0,D445)),IF($B445=MAX($B$3:$B445),0,D445))))</f>
        <v>36</v>
      </c>
      <c r="E446">
        <f t="shared" si="6"/>
        <v>0</v>
      </c>
    </row>
    <row r="447" spans="1:5" x14ac:dyDescent="0.25">
      <c r="A447">
        <v>445</v>
      </c>
      <c r="B447" s="5">
        <v>143.97999999999999</v>
      </c>
      <c r="C447" s="5">
        <f>IF($A447=1,$C$2-(ROUNDDOWN(1000/$B447,0)*$B447),IF(A447=2,C446,IF(A447&gt;3,IF(AND(B446&lt;B445,B445&lt;B444),IF(C446&gt;=1000,C446-(ROUNDDOWN(1000/$B447,0)*$B447),C446),IF($B446=MAX($B$3:$B446),C446+(D446*B447),C446)),IF($B446=MAX($B$3:$B446),C446+(D446*B447),C446))))</f>
        <v>970.77000000000203</v>
      </c>
      <c r="D447">
        <f>IF($A447=1,D446+ROUNDDOWN(1000/$B447,0),IF(A447=2,D446,IF(A447&gt;3,IF(AND(B446&lt;B445,B445&lt;B444),IF(C446&gt;=1000,D446+ROUNDDOWN(1000/$B447,0),D446),IF($B446=MAX($B$3:$B446),0,D446)),IF($B446=MAX($B$3:$B446),0,D446))))</f>
        <v>36</v>
      </c>
      <c r="E447">
        <f t="shared" si="6"/>
        <v>0</v>
      </c>
    </row>
    <row r="448" spans="1:5" x14ac:dyDescent="0.25">
      <c r="A448">
        <v>446</v>
      </c>
      <c r="B448" s="5">
        <v>142.51</v>
      </c>
      <c r="C448" s="5">
        <f>IF($A448=1,$C$2-(ROUNDDOWN(1000/$B448,0)*$B448),IF(A448=2,C447,IF(A448&gt;3,IF(AND(B447&lt;B446,B446&lt;B445),IF(C447&gt;=1000,C447-(ROUNDDOWN(1000/$B448,0)*$B448),C447),IF($B447=MAX($B$3:$B447),C447+(D447*B448),C447)),IF($B447=MAX($B$3:$B447),C447+(D447*B448),C447))))</f>
        <v>970.77000000000203</v>
      </c>
      <c r="D448">
        <f>IF($A448=1,D447+ROUNDDOWN(1000/$B448,0),IF(A448=2,D447,IF(A448&gt;3,IF(AND(B447&lt;B446,B446&lt;B445),IF(C447&gt;=1000,D447+ROUNDDOWN(1000/$B448,0),D447),IF($B447=MAX($B$3:$B447),0,D447)),IF($B447=MAX($B$3:$B447),0,D447))))</f>
        <v>36</v>
      </c>
      <c r="E448">
        <f t="shared" si="6"/>
        <v>0</v>
      </c>
    </row>
    <row r="449" spans="1:5" x14ac:dyDescent="0.25">
      <c r="A449">
        <v>447</v>
      </c>
      <c r="B449" s="5">
        <v>144.03</v>
      </c>
      <c r="C449" s="5">
        <f>IF($A449=1,$C$2-(ROUNDDOWN(1000/$B449,0)*$B449),IF(A449=2,C448,IF(A449&gt;3,IF(AND(B448&lt;B447,B447&lt;B446),IF(C448&gt;=1000,C448-(ROUNDDOWN(1000/$B449,0)*$B449),C448),IF($B448=MAX($B$3:$B448),C448+(D448*B449),C448)),IF($B448=MAX($B$3:$B448),C448+(D448*B449),C448))))</f>
        <v>970.77000000000203</v>
      </c>
      <c r="D449">
        <f>IF($A449=1,D448+ROUNDDOWN(1000/$B449,0),IF(A449=2,D448,IF(A449&gt;3,IF(AND(B448&lt;B447,B447&lt;B446),IF(C448&gt;=1000,D448+ROUNDDOWN(1000/$B449,0),D448),IF($B448=MAX($B$3:$B448),0,D448)),IF($B448=MAX($B$3:$B448),0,D448))))</f>
        <v>36</v>
      </c>
      <c r="E449">
        <f t="shared" si="6"/>
        <v>0</v>
      </c>
    </row>
    <row r="450" spans="1:5" x14ac:dyDescent="0.25">
      <c r="A450">
        <v>448</v>
      </c>
      <c r="B450" s="5">
        <v>142.49</v>
      </c>
      <c r="C450" s="5">
        <f>IF($A450=1,$C$2-(ROUNDDOWN(1000/$B450,0)*$B450),IF(A450=2,C449,IF(A450&gt;3,IF(AND(B449&lt;B448,B448&lt;B447),IF(C449&gt;=1000,C449-(ROUNDDOWN(1000/$B450,0)*$B450),C449),IF($B449=MAX($B$3:$B449),C449+(D449*B450),C449)),IF($B449=MAX($B$3:$B449),C449+(D449*B450),C449))))</f>
        <v>970.77000000000203</v>
      </c>
      <c r="D450">
        <f>IF($A450=1,D449+ROUNDDOWN(1000/$B450,0),IF(A450=2,D449,IF(A450&gt;3,IF(AND(B449&lt;B448,B448&lt;B447),IF(C449&gt;=1000,D449+ROUNDDOWN(1000/$B450,0),D449),IF($B449=MAX($B$3:$B449),0,D449)),IF($B449=MAX($B$3:$B449),0,D449))))</f>
        <v>36</v>
      </c>
      <c r="E450">
        <f t="shared" si="6"/>
        <v>0</v>
      </c>
    </row>
    <row r="451" spans="1:5" x14ac:dyDescent="0.25">
      <c r="A451">
        <v>449</v>
      </c>
      <c r="B451" s="5">
        <v>140.54</v>
      </c>
      <c r="C451" s="5">
        <f>IF($A451=1,$C$2-(ROUNDDOWN(1000/$B451,0)*$B451),IF(A451=2,C450,IF(A451&gt;3,IF(AND(B450&lt;B449,B449&lt;B448),IF(C450&gt;=1000,C450-(ROUNDDOWN(1000/$B451,0)*$B451),C450),IF($B450=MAX($B$3:$B450),C450+(D450*B451),C450)),IF($B450=MAX($B$3:$B450),C450+(D450*B451),C450))))</f>
        <v>970.77000000000203</v>
      </c>
      <c r="D451">
        <f>IF($A451=1,D450+ROUNDDOWN(1000/$B451,0),IF(A451=2,D450,IF(A451&gt;3,IF(AND(B450&lt;B449,B449&lt;B448),IF(C450&gt;=1000,D450+ROUNDDOWN(1000/$B451,0),D450),IF($B450=MAX($B$3:$B450),0,D450)),IF($B450=MAX($B$3:$B450),0,D450))))</f>
        <v>36</v>
      </c>
      <c r="E451">
        <f t="shared" si="6"/>
        <v>0</v>
      </c>
    </row>
    <row r="452" spans="1:5" x14ac:dyDescent="0.25">
      <c r="A452">
        <v>450</v>
      </c>
      <c r="B452" s="5">
        <v>138.88999999999999</v>
      </c>
      <c r="C452" s="5">
        <f>IF($A452=1,$C$2-(ROUNDDOWN(1000/$B452,0)*$B452),IF(A452=2,C451,IF(A452&gt;3,IF(AND(B451&lt;B450,B450&lt;B449),IF(C451&gt;=1000,C451-(ROUNDDOWN(1000/$B452,0)*$B452),C451),IF($B451=MAX($B$3:$B451),C451+(D451*B452),C451)),IF($B451=MAX($B$3:$B451),C451+(D451*B452),C451))))</f>
        <v>970.77000000000203</v>
      </c>
      <c r="D452">
        <f>IF($A452=1,D451+ROUNDDOWN(1000/$B452,0),IF(A452=2,D451,IF(A452&gt;3,IF(AND(B451&lt;B450,B450&lt;B449),IF(C451&gt;=1000,D451+ROUNDDOWN(1000/$B452,0),D451),IF($B451=MAX($B$3:$B451),0,D451)),IF($B451=MAX($B$3:$B451),0,D451))))</f>
        <v>36</v>
      </c>
      <c r="E452">
        <f t="shared" ref="E452:E502" si="7">IF(D452&gt;D451,1,0)</f>
        <v>0</v>
      </c>
    </row>
    <row r="453" spans="1:5" x14ac:dyDescent="0.25">
      <c r="A453">
        <v>451</v>
      </c>
      <c r="B453" s="5">
        <v>137.61000000000001</v>
      </c>
      <c r="C453" s="5">
        <f>IF($A453=1,$C$2-(ROUNDDOWN(1000/$B453,0)*$B453),IF(A453=2,C452,IF(A453&gt;3,IF(AND(B452&lt;B451,B451&lt;B450),IF(C452&gt;=1000,C452-(ROUNDDOWN(1000/$B453,0)*$B453),C452),IF($B452=MAX($B$3:$B452),C452+(D452*B453),C452)),IF($B452=MAX($B$3:$B452),C452+(D452*B453),C452))))</f>
        <v>970.77000000000203</v>
      </c>
      <c r="D453">
        <f>IF($A453=1,D452+ROUNDDOWN(1000/$B453,0),IF(A453=2,D452,IF(A453&gt;3,IF(AND(B452&lt;B451,B451&lt;B450),IF(C452&gt;=1000,D452+ROUNDDOWN(1000/$B453,0),D452),IF($B452=MAX($B$3:$B452),0,D452)),IF($B452=MAX($B$3:$B452),0,D452))))</f>
        <v>36</v>
      </c>
      <c r="E453">
        <f t="shared" si="7"/>
        <v>0</v>
      </c>
    </row>
    <row r="454" spans="1:5" x14ac:dyDescent="0.25">
      <c r="A454">
        <v>452</v>
      </c>
      <c r="B454" s="5">
        <v>138.30000000000001</v>
      </c>
      <c r="C454" s="5">
        <f>IF($A454=1,$C$2-(ROUNDDOWN(1000/$B454,0)*$B454),IF(A454=2,C453,IF(A454&gt;3,IF(AND(B453&lt;B452,B452&lt;B451),IF(C453&gt;=1000,C453-(ROUNDDOWN(1000/$B454,0)*$B454),C453),IF($B453=MAX($B$3:$B453),C453+(D453*B454),C453)),IF($B453=MAX($B$3:$B453),C453+(D453*B454),C453))))</f>
        <v>970.77000000000203</v>
      </c>
      <c r="D454">
        <f>IF($A454=1,D453+ROUNDDOWN(1000/$B454,0),IF(A454=2,D453,IF(A454&gt;3,IF(AND(B453&lt;B452,B452&lt;B451),IF(C453&gt;=1000,D453+ROUNDDOWN(1000/$B454,0),D453),IF($B453=MAX($B$3:$B453),0,D453)),IF($B453=MAX($B$3:$B453),0,D453))))</f>
        <v>36</v>
      </c>
      <c r="E454">
        <f t="shared" si="7"/>
        <v>0</v>
      </c>
    </row>
    <row r="455" spans="1:5" x14ac:dyDescent="0.25">
      <c r="A455">
        <v>453</v>
      </c>
      <c r="B455" s="5">
        <v>136.81</v>
      </c>
      <c r="C455" s="5">
        <f>IF($A455=1,$C$2-(ROUNDDOWN(1000/$B455,0)*$B455),IF(A455=2,C454,IF(A455&gt;3,IF(AND(B454&lt;B453,B453&lt;B452),IF(C454&gt;=1000,C454-(ROUNDDOWN(1000/$B455,0)*$B455),C454),IF($B454=MAX($B$3:$B454),C454+(D454*B455),C454)),IF($B454=MAX($B$3:$B454),C454+(D454*B455),C454))))</f>
        <v>970.77000000000203</v>
      </c>
      <c r="D455">
        <f>IF($A455=1,D454+ROUNDDOWN(1000/$B455,0),IF(A455=2,D454,IF(A455&gt;3,IF(AND(B454&lt;B453,B453&lt;B452),IF(C454&gt;=1000,D454+ROUNDDOWN(1000/$B455,0),D454),IF($B454=MAX($B$3:$B454),0,D454)),IF($B454=MAX($B$3:$B454),0,D454))))</f>
        <v>36</v>
      </c>
      <c r="E455">
        <f t="shared" si="7"/>
        <v>0</v>
      </c>
    </row>
    <row r="456" spans="1:5" x14ac:dyDescent="0.25">
      <c r="A456">
        <v>454</v>
      </c>
      <c r="B456" s="5">
        <v>135.43</v>
      </c>
      <c r="C456" s="5">
        <f>IF($A456=1,$C$2-(ROUNDDOWN(1000/$B456,0)*$B456),IF(A456=2,C455,IF(A456&gt;3,IF(AND(B455&lt;B454,B454&lt;B453),IF(C455&gt;=1000,C455-(ROUNDDOWN(1000/$B456,0)*$B456),C455),IF($B455=MAX($B$3:$B455),C455+(D455*B456),C455)),IF($B455=MAX($B$3:$B455),C455+(D455*B456),C455))))</f>
        <v>970.77000000000203</v>
      </c>
      <c r="D456">
        <f>IF($A456=1,D455+ROUNDDOWN(1000/$B456,0),IF(A456=2,D455,IF(A456&gt;3,IF(AND(B455&lt;B454,B454&lt;B453),IF(C455&gt;=1000,D455+ROUNDDOWN(1000/$B456,0),D455),IF($B455=MAX($B$3:$B455),0,D455)),IF($B455=MAX($B$3:$B455),0,D455))))</f>
        <v>36</v>
      </c>
      <c r="E456">
        <f t="shared" si="7"/>
        <v>0</v>
      </c>
    </row>
    <row r="457" spans="1:5" x14ac:dyDescent="0.25">
      <c r="A457">
        <v>455</v>
      </c>
      <c r="B457" s="5">
        <v>134</v>
      </c>
      <c r="C457" s="5">
        <f>IF($A457=1,$C$2-(ROUNDDOWN(1000/$B457,0)*$B457),IF(A457=2,C456,IF(A457&gt;3,IF(AND(B456&lt;B455,B455&lt;B454),IF(C456&gt;=1000,C456-(ROUNDDOWN(1000/$B457,0)*$B457),C456),IF($B456=MAX($B$3:$B456),C456+(D456*B457),C456)),IF($B456=MAX($B$3:$B456),C456+(D456*B457),C456))))</f>
        <v>970.77000000000203</v>
      </c>
      <c r="D457">
        <f>IF($A457=1,D456+ROUNDDOWN(1000/$B457,0),IF(A457=2,D456,IF(A457&gt;3,IF(AND(B456&lt;B455,B455&lt;B454),IF(C456&gt;=1000,D456+ROUNDDOWN(1000/$B457,0),D456),IF($B456=MAX($B$3:$B456),0,D456)),IF($B456=MAX($B$3:$B456),0,D456))))</f>
        <v>36</v>
      </c>
      <c r="E457">
        <f t="shared" si="7"/>
        <v>0</v>
      </c>
    </row>
    <row r="458" spans="1:5" x14ac:dyDescent="0.25">
      <c r="A458">
        <v>456</v>
      </c>
      <c r="B458" s="5">
        <v>134.07</v>
      </c>
      <c r="C458" s="5">
        <f>IF($A458=1,$C$2-(ROUNDDOWN(1000/$B458,0)*$B458),IF(A458=2,C457,IF(A458&gt;3,IF(AND(B457&lt;B456,B456&lt;B455),IF(C457&gt;=1000,C457-(ROUNDDOWN(1000/$B458,0)*$B458),C457),IF($B457=MAX($B$3:$B457),C457+(D457*B458),C457)),IF($B457=MAX($B$3:$B457),C457+(D457*B458),C457))))</f>
        <v>970.77000000000203</v>
      </c>
      <c r="D458">
        <f>IF($A458=1,D457+ROUNDDOWN(1000/$B458,0),IF(A458=2,D457,IF(A458&gt;3,IF(AND(B457&lt;B456,B456&lt;B455),IF(C457&gt;=1000,D457+ROUNDDOWN(1000/$B458,0),D457),IF($B457=MAX($B$3:$B457),0,D457)),IF($B457=MAX($B$3:$B457),0,D457))))</f>
        <v>36</v>
      </c>
      <c r="E458">
        <f t="shared" si="7"/>
        <v>0</v>
      </c>
    </row>
    <row r="459" spans="1:5" x14ac:dyDescent="0.25">
      <c r="A459">
        <v>457</v>
      </c>
      <c r="B459" s="5">
        <v>135.07</v>
      </c>
      <c r="C459" s="5">
        <f>IF($A459=1,$C$2-(ROUNDDOWN(1000/$B459,0)*$B459),IF(A459=2,C458,IF(A459&gt;3,IF(AND(B458&lt;B457,B457&lt;B456),IF(C458&gt;=1000,C458-(ROUNDDOWN(1000/$B459,0)*$B459),C458),IF($B458=MAX($B$3:$B458),C458+(D458*B459),C458)),IF($B458=MAX($B$3:$B458),C458+(D458*B459),C458))))</f>
        <v>970.77000000000203</v>
      </c>
      <c r="D459">
        <f>IF($A459=1,D458+ROUNDDOWN(1000/$B459,0),IF(A459=2,D458,IF(A459&gt;3,IF(AND(B458&lt;B457,B457&lt;B456),IF(C458&gt;=1000,D458+ROUNDDOWN(1000/$B459,0),D458),IF($B458=MAX($B$3:$B458),0,D458)),IF($B458=MAX($B$3:$B458),0,D458))))</f>
        <v>36</v>
      </c>
      <c r="E459">
        <f t="shared" si="7"/>
        <v>0</v>
      </c>
    </row>
    <row r="460" spans="1:5" x14ac:dyDescent="0.25">
      <c r="A460">
        <v>458</v>
      </c>
      <c r="B460" s="5">
        <v>133.69999999999999</v>
      </c>
      <c r="C460" s="5">
        <f>IF($A460=1,$C$2-(ROUNDDOWN(1000/$B460,0)*$B460),IF(A460=2,C459,IF(A460&gt;3,IF(AND(B459&lt;B458,B458&lt;B457),IF(C459&gt;=1000,C459-(ROUNDDOWN(1000/$B460,0)*$B460),C459),IF($B459=MAX($B$3:$B459),C459+(D459*B460),C459)),IF($B459=MAX($B$3:$B459),C459+(D459*B460),C459))))</f>
        <v>970.77000000000203</v>
      </c>
      <c r="D460">
        <f>IF($A460=1,D459+ROUNDDOWN(1000/$B460,0),IF(A460=2,D459,IF(A460&gt;3,IF(AND(B459&lt;B458,B458&lt;B457),IF(C459&gt;=1000,D459+ROUNDDOWN(1000/$B460,0),D459),IF($B459=MAX($B$3:$B459),0,D459)),IF($B459=MAX($B$3:$B459),0,D459))))</f>
        <v>36</v>
      </c>
      <c r="E460">
        <f t="shared" si="7"/>
        <v>0</v>
      </c>
    </row>
    <row r="461" spans="1:5" x14ac:dyDescent="0.25">
      <c r="A461">
        <v>459</v>
      </c>
      <c r="B461" s="5">
        <v>132.12</v>
      </c>
      <c r="C461" s="5">
        <f>IF($A461=1,$C$2-(ROUNDDOWN(1000/$B461,0)*$B461),IF(A461=2,C460,IF(A461&gt;3,IF(AND(B460&lt;B459,B459&lt;B458),IF(C460&gt;=1000,C460-(ROUNDDOWN(1000/$B461,0)*$B461),C460),IF($B460=MAX($B$3:$B460),C460+(D460*B461),C460)),IF($B460=MAX($B$3:$B460),C460+(D460*B461),C460))))</f>
        <v>970.77000000000203</v>
      </c>
      <c r="D461">
        <f>IF($A461=1,D460+ROUNDDOWN(1000/$B461,0),IF(A461=2,D460,IF(A461&gt;3,IF(AND(B460&lt;B459,B459&lt;B458),IF(C460&gt;=1000,D460+ROUNDDOWN(1000/$B461,0),D460),IF($B460=MAX($B$3:$B460),0,D460)),IF($B460=MAX($B$3:$B460),0,D460))))</f>
        <v>36</v>
      </c>
      <c r="E461">
        <f t="shared" si="7"/>
        <v>0</v>
      </c>
    </row>
    <row r="462" spans="1:5" x14ac:dyDescent="0.25">
      <c r="A462">
        <v>460</v>
      </c>
      <c r="B462" s="5">
        <v>132.19999999999999</v>
      </c>
      <c r="C462" s="5">
        <f>IF($A462=1,$C$2-(ROUNDDOWN(1000/$B462,0)*$B462),IF(A462=2,C461,IF(A462&gt;3,IF(AND(B461&lt;B460,B460&lt;B459),IF(C461&gt;=1000,C461-(ROUNDDOWN(1000/$B462,0)*$B462),C461),IF($B461=MAX($B$3:$B461),C461+(D461*B462),C461)),IF($B461=MAX($B$3:$B461),C461+(D461*B462),C461))))</f>
        <v>970.77000000000203</v>
      </c>
      <c r="D462">
        <f>IF($A462=1,D461+ROUNDDOWN(1000/$B462,0),IF(A462=2,D461,IF(A462&gt;3,IF(AND(B461&lt;B460,B460&lt;B459),IF(C461&gt;=1000,D461+ROUNDDOWN(1000/$B462,0),D461),IF($B461=MAX($B$3:$B461),0,D461)),IF($B461=MAX($B$3:$B461),0,D461))))</f>
        <v>36</v>
      </c>
      <c r="E462">
        <f t="shared" si="7"/>
        <v>0</v>
      </c>
    </row>
    <row r="463" spans="1:5" x14ac:dyDescent="0.25">
      <c r="A463">
        <v>461</v>
      </c>
      <c r="B463" s="5">
        <v>134.63</v>
      </c>
      <c r="C463" s="5">
        <f>IF($A463=1,$C$2-(ROUNDDOWN(1000/$B463,0)*$B463),IF(A463=2,C462,IF(A463&gt;3,IF(AND(B462&lt;B461,B461&lt;B460),IF(C462&gt;=1000,C462-(ROUNDDOWN(1000/$B463,0)*$B463),C462),IF($B462=MAX($B$3:$B462),C462+(D462*B463),C462)),IF($B462=MAX($B$3:$B462),C462+(D462*B463),C462))))</f>
        <v>970.77000000000203</v>
      </c>
      <c r="D463">
        <f>IF($A463=1,D462+ROUNDDOWN(1000/$B463,0),IF(A463=2,D462,IF(A463&gt;3,IF(AND(B462&lt;B461,B461&lt;B460),IF(C462&gt;=1000,D462+ROUNDDOWN(1000/$B463,0),D462),IF($B462=MAX($B$3:$B462),0,D462)),IF($B462=MAX($B$3:$B462),0,D462))))</f>
        <v>36</v>
      </c>
      <c r="E463">
        <f t="shared" si="7"/>
        <v>0</v>
      </c>
    </row>
    <row r="464" spans="1:5" x14ac:dyDescent="0.25">
      <c r="A464">
        <v>462</v>
      </c>
      <c r="B464" s="5">
        <v>136.87</v>
      </c>
      <c r="C464" s="5">
        <f>IF($A464=1,$C$2-(ROUNDDOWN(1000/$B464,0)*$B464),IF(A464=2,C463,IF(A464&gt;3,IF(AND(B463&lt;B462,B462&lt;B461),IF(C463&gt;=1000,C463-(ROUNDDOWN(1000/$B464,0)*$B464),C463),IF($B463=MAX($B$3:$B463),C463+(D463*B464),C463)),IF($B463=MAX($B$3:$B463),C463+(D463*B464),C463))))</f>
        <v>970.77000000000203</v>
      </c>
      <c r="D464">
        <f>IF($A464=1,D463+ROUNDDOWN(1000/$B464,0),IF(A464=2,D463,IF(A464&gt;3,IF(AND(B463&lt;B462,B462&lt;B461),IF(C463&gt;=1000,D463+ROUNDDOWN(1000/$B464,0),D463),IF($B463=MAX($B$3:$B463),0,D463)),IF($B463=MAX($B$3:$B463),0,D463))))</f>
        <v>36</v>
      </c>
      <c r="E464">
        <f t="shared" si="7"/>
        <v>0</v>
      </c>
    </row>
    <row r="465" spans="1:5" x14ac:dyDescent="0.25">
      <c r="A465">
        <v>463</v>
      </c>
      <c r="B465" s="5">
        <v>138.55000000000001</v>
      </c>
      <c r="C465" s="5">
        <f>IF($A465=1,$C$2-(ROUNDDOWN(1000/$B465,0)*$B465),IF(A465=2,C464,IF(A465&gt;3,IF(AND(B464&lt;B463,B463&lt;B462),IF(C464&gt;=1000,C464-(ROUNDDOWN(1000/$B465,0)*$B465),C464),IF($B464=MAX($B$3:$B464),C464+(D464*B465),C464)),IF($B464=MAX($B$3:$B464),C464+(D464*B465),C464))))</f>
        <v>970.77000000000203</v>
      </c>
      <c r="D465">
        <f>IF($A465=1,D464+ROUNDDOWN(1000/$B465,0),IF(A465=2,D464,IF(A465&gt;3,IF(AND(B464&lt;B463,B463&lt;B462),IF(C464&gt;=1000,D464+ROUNDDOWN(1000/$B465,0),D464),IF($B464=MAX($B$3:$B464),0,D464)),IF($B464=MAX($B$3:$B464),0,D464))))</f>
        <v>36</v>
      </c>
      <c r="E465">
        <f t="shared" si="7"/>
        <v>0</v>
      </c>
    </row>
    <row r="466" spans="1:5" x14ac:dyDescent="0.25">
      <c r="A466">
        <v>464</v>
      </c>
      <c r="B466" s="5">
        <v>137.22999999999999</v>
      </c>
      <c r="C466" s="5">
        <f>IF($A466=1,$C$2-(ROUNDDOWN(1000/$B466,0)*$B466),IF(A466=2,C465,IF(A466&gt;3,IF(AND(B465&lt;B464,B464&lt;B463),IF(C465&gt;=1000,C465-(ROUNDDOWN(1000/$B466,0)*$B466),C465),IF($B465=MAX($B$3:$B465),C465+(D465*B466),C465)),IF($B465=MAX($B$3:$B465),C465+(D465*B466),C465))))</f>
        <v>970.77000000000203</v>
      </c>
      <c r="D466">
        <f>IF($A466=1,D465+ROUNDDOWN(1000/$B466,0),IF(A466=2,D465,IF(A466&gt;3,IF(AND(B465&lt;B464,B464&lt;B463),IF(C465&gt;=1000,D465+ROUNDDOWN(1000/$B466,0),D465),IF($B465=MAX($B$3:$B465),0,D465)),IF($B465=MAX($B$3:$B465),0,D465))))</f>
        <v>36</v>
      </c>
      <c r="E466">
        <f t="shared" si="7"/>
        <v>0</v>
      </c>
    </row>
    <row r="467" spans="1:5" x14ac:dyDescent="0.25">
      <c r="A467">
        <v>465</v>
      </c>
      <c r="B467" s="5">
        <v>135.35</v>
      </c>
      <c r="C467" s="5">
        <f>IF($A467=1,$C$2-(ROUNDDOWN(1000/$B467,0)*$B467),IF(A467=2,C466,IF(A467&gt;3,IF(AND(B466&lt;B465,B465&lt;B464),IF(C466&gt;=1000,C466-(ROUNDDOWN(1000/$B467,0)*$B467),C466),IF($B466=MAX($B$3:$B466),C466+(D466*B467),C466)),IF($B466=MAX($B$3:$B466),C466+(D466*B467),C466))))</f>
        <v>970.77000000000203</v>
      </c>
      <c r="D467">
        <f>IF($A467=1,D466+ROUNDDOWN(1000/$B467,0),IF(A467=2,D466,IF(A467&gt;3,IF(AND(B466&lt;B465,B465&lt;B464),IF(C466&gt;=1000,D466+ROUNDDOWN(1000/$B467,0),D466),IF($B466=MAX($B$3:$B466),0,D466)),IF($B466=MAX($B$3:$B466),0,D466))))</f>
        <v>36</v>
      </c>
      <c r="E467">
        <f t="shared" si="7"/>
        <v>0</v>
      </c>
    </row>
    <row r="468" spans="1:5" x14ac:dyDescent="0.25">
      <c r="A468">
        <v>466</v>
      </c>
      <c r="B468" s="5">
        <v>133.85</v>
      </c>
      <c r="C468" s="5">
        <f>IF($A468=1,$C$2-(ROUNDDOWN(1000/$B468,0)*$B468),IF(A468=2,C467,IF(A468&gt;3,IF(AND(B467&lt;B466,B466&lt;B465),IF(C467&gt;=1000,C467-(ROUNDDOWN(1000/$B468,0)*$B468),C467),IF($B467=MAX($B$3:$B467),C467+(D467*B468),C467)),IF($B467=MAX($B$3:$B467),C467+(D467*B468),C467))))</f>
        <v>970.77000000000203</v>
      </c>
      <c r="D468">
        <f>IF($A468=1,D467+ROUNDDOWN(1000/$B468,0),IF(A468=2,D467,IF(A468&gt;3,IF(AND(B467&lt;B466,B466&lt;B465),IF(C467&gt;=1000,D467+ROUNDDOWN(1000/$B468,0),D467),IF($B467=MAX($B$3:$B467),0,D467)),IF($B467=MAX($B$3:$B467),0,D467))))</f>
        <v>36</v>
      </c>
      <c r="E468">
        <f t="shared" si="7"/>
        <v>0</v>
      </c>
    </row>
    <row r="469" spans="1:5" x14ac:dyDescent="0.25">
      <c r="A469">
        <v>467</v>
      </c>
      <c r="B469" s="5">
        <v>134.44999999999999</v>
      </c>
      <c r="C469" s="5">
        <f>IF($A469=1,$C$2-(ROUNDDOWN(1000/$B469,0)*$B469),IF(A469=2,C468,IF(A469&gt;3,IF(AND(B468&lt;B467,B467&lt;B466),IF(C468&gt;=1000,C468-(ROUNDDOWN(1000/$B469,0)*$B469),C468),IF($B468=MAX($B$3:$B468),C468+(D468*B469),C468)),IF($B468=MAX($B$3:$B468),C468+(D468*B469),C468))))</f>
        <v>970.77000000000203</v>
      </c>
      <c r="D469">
        <f>IF($A469=1,D468+ROUNDDOWN(1000/$B469,0),IF(A469=2,D468,IF(A469&gt;3,IF(AND(B468&lt;B467,B467&lt;B466),IF(C468&gt;=1000,D468+ROUNDDOWN(1000/$B469,0),D468),IF($B468=MAX($B$3:$B468),0,D468)),IF($B468=MAX($B$3:$B468),0,D468))))</f>
        <v>36</v>
      </c>
      <c r="E469">
        <f t="shared" si="7"/>
        <v>0</v>
      </c>
    </row>
    <row r="470" spans="1:5" x14ac:dyDescent="0.25">
      <c r="A470">
        <v>468</v>
      </c>
      <c r="B470" s="5">
        <v>136.01</v>
      </c>
      <c r="C470" s="5">
        <f>IF($A470=1,$C$2-(ROUNDDOWN(1000/$B470,0)*$B470),IF(A470=2,C469,IF(A470&gt;3,IF(AND(B469&lt;B468,B468&lt;B467),IF(C469&gt;=1000,C469-(ROUNDDOWN(1000/$B470,0)*$B470),C469),IF($B469=MAX($B$3:$B469),C469+(D469*B470),C469)),IF($B469=MAX($B$3:$B469),C469+(D469*B470),C469))))</f>
        <v>970.77000000000203</v>
      </c>
      <c r="D470">
        <f>IF($A470=1,D469+ROUNDDOWN(1000/$B470,0),IF(A470=2,D469,IF(A470&gt;3,IF(AND(B469&lt;B468,B468&lt;B467),IF(C469&gt;=1000,D469+ROUNDDOWN(1000/$B470,0),D469),IF($B469=MAX($B$3:$B469),0,D469)),IF($B469=MAX($B$3:$B469),0,D469))))</f>
        <v>36</v>
      </c>
      <c r="E470">
        <f t="shared" si="7"/>
        <v>0</v>
      </c>
    </row>
    <row r="471" spans="1:5" x14ac:dyDescent="0.25">
      <c r="A471">
        <v>469</v>
      </c>
      <c r="B471" s="5">
        <v>134.69</v>
      </c>
      <c r="C471" s="5">
        <f>IF($A471=1,$C$2-(ROUNDDOWN(1000/$B471,0)*$B471),IF(A471=2,C470,IF(A471&gt;3,IF(AND(B470&lt;B469,B469&lt;B468),IF(C470&gt;=1000,C470-(ROUNDDOWN(1000/$B471,0)*$B471),C470),IF($B470=MAX($B$3:$B470),C470+(D470*B471),C470)),IF($B470=MAX($B$3:$B470),C470+(D470*B471),C470))))</f>
        <v>970.77000000000203</v>
      </c>
      <c r="D471">
        <f>IF($A471=1,D470+ROUNDDOWN(1000/$B471,0),IF(A471=2,D470,IF(A471&gt;3,IF(AND(B470&lt;B469,B469&lt;B468),IF(C470&gt;=1000,D470+ROUNDDOWN(1000/$B471,0),D470),IF($B470=MAX($B$3:$B470),0,D470)),IF($B470=MAX($B$3:$B470),0,D470))))</f>
        <v>36</v>
      </c>
      <c r="E471">
        <f t="shared" si="7"/>
        <v>0</v>
      </c>
    </row>
    <row r="472" spans="1:5" x14ac:dyDescent="0.25">
      <c r="A472">
        <v>470</v>
      </c>
      <c r="B472" s="5">
        <v>136.71</v>
      </c>
      <c r="C472" s="5">
        <f>IF($A472=1,$C$2-(ROUNDDOWN(1000/$B472,0)*$B472),IF(A472=2,C471,IF(A472&gt;3,IF(AND(B471&lt;B470,B470&lt;B469),IF(C471&gt;=1000,C471-(ROUNDDOWN(1000/$B472,0)*$B472),C471),IF($B471=MAX($B$3:$B471),C471+(D471*B472),C471)),IF($B471=MAX($B$3:$B471),C471+(D471*B472),C471))))</f>
        <v>970.77000000000203</v>
      </c>
      <c r="D472">
        <f>IF($A472=1,D471+ROUNDDOWN(1000/$B472,0),IF(A472=2,D471,IF(A472&gt;3,IF(AND(B471&lt;B470,B470&lt;B469),IF(C471&gt;=1000,D471+ROUNDDOWN(1000/$B472,0),D471),IF($B471=MAX($B$3:$B471),0,D471)),IF($B471=MAX($B$3:$B471),0,D471))))</f>
        <v>36</v>
      </c>
      <c r="E472">
        <f t="shared" si="7"/>
        <v>0</v>
      </c>
    </row>
    <row r="473" spans="1:5" x14ac:dyDescent="0.25">
      <c r="A473">
        <v>471</v>
      </c>
      <c r="B473" s="5">
        <v>135.55000000000001</v>
      </c>
      <c r="C473" s="5">
        <f>IF($A473=1,$C$2-(ROUNDDOWN(1000/$B473,0)*$B473),IF(A473=2,C472,IF(A473&gt;3,IF(AND(B472&lt;B471,B471&lt;B470),IF(C472&gt;=1000,C472-(ROUNDDOWN(1000/$B473,0)*$B473),C472),IF($B472=MAX($B$3:$B472),C472+(D472*B473),C472)),IF($B472=MAX($B$3:$B472),C472+(D472*B473),C472))))</f>
        <v>970.77000000000203</v>
      </c>
      <c r="D473">
        <f>IF($A473=1,D472+ROUNDDOWN(1000/$B473,0),IF(A473=2,D472,IF(A473&gt;3,IF(AND(B472&lt;B471,B471&lt;B470),IF(C472&gt;=1000,D472+ROUNDDOWN(1000/$B473,0),D472),IF($B472=MAX($B$3:$B472),0,D472)),IF($B472=MAX($B$3:$B472),0,D472))))</f>
        <v>36</v>
      </c>
      <c r="E473">
        <f t="shared" si="7"/>
        <v>0</v>
      </c>
    </row>
    <row r="474" spans="1:5" x14ac:dyDescent="0.25">
      <c r="A474">
        <v>472</v>
      </c>
      <c r="B474" s="5">
        <v>138.04</v>
      </c>
      <c r="C474" s="5">
        <f>IF($A474=1,$C$2-(ROUNDDOWN(1000/$B474,0)*$B474),IF(A474=2,C473,IF(A474&gt;3,IF(AND(B473&lt;B472,B472&lt;B471),IF(C473&gt;=1000,C473-(ROUNDDOWN(1000/$B474,0)*$B474),C473),IF($B473=MAX($B$3:$B473),C473+(D473*B474),C473)),IF($B473=MAX($B$3:$B473),C473+(D473*B474),C473))))</f>
        <v>970.77000000000203</v>
      </c>
      <c r="D474">
        <f>IF($A474=1,D473+ROUNDDOWN(1000/$B474,0),IF(A474=2,D473,IF(A474&gt;3,IF(AND(B473&lt;B472,B472&lt;B471),IF(C473&gt;=1000,D473+ROUNDDOWN(1000/$B474,0),D473),IF($B473=MAX($B$3:$B473),0,D473)),IF($B473=MAX($B$3:$B473),0,D473))))</f>
        <v>36</v>
      </c>
      <c r="E474">
        <f t="shared" si="7"/>
        <v>0</v>
      </c>
    </row>
    <row r="475" spans="1:5" x14ac:dyDescent="0.25">
      <c r="A475">
        <v>473</v>
      </c>
      <c r="B475" s="5">
        <v>136.30000000000001</v>
      </c>
      <c r="C475" s="5">
        <f>IF($A475=1,$C$2-(ROUNDDOWN(1000/$B475,0)*$B475),IF(A475=2,C474,IF(A475&gt;3,IF(AND(B474&lt;B473,B473&lt;B472),IF(C474&gt;=1000,C474-(ROUNDDOWN(1000/$B475,0)*$B475),C474),IF($B474=MAX($B$3:$B474),C474+(D474*B475),C474)),IF($B474=MAX($B$3:$B474),C474+(D474*B475),C474))))</f>
        <v>970.77000000000203</v>
      </c>
      <c r="D475">
        <f>IF($A475=1,D474+ROUNDDOWN(1000/$B475,0),IF(A475=2,D474,IF(A475&gt;3,IF(AND(B474&lt;B473,B473&lt;B472),IF(C474&gt;=1000,D474+ROUNDDOWN(1000/$B475,0),D474),IF($B474=MAX($B$3:$B474),0,D474)),IF($B474=MAX($B$3:$B474),0,D474))))</f>
        <v>36</v>
      </c>
      <c r="E475">
        <f t="shared" si="7"/>
        <v>0</v>
      </c>
    </row>
    <row r="476" spans="1:5" x14ac:dyDescent="0.25">
      <c r="A476">
        <v>474</v>
      </c>
      <c r="B476" s="5">
        <v>136.91</v>
      </c>
      <c r="C476" s="5">
        <f>IF($A476=1,$C$2-(ROUNDDOWN(1000/$B476,0)*$B476),IF(A476=2,C475,IF(A476&gt;3,IF(AND(B475&lt;B474,B474&lt;B473),IF(C475&gt;=1000,C475-(ROUNDDOWN(1000/$B476,0)*$B476),C475),IF($B475=MAX($B$3:$B475),C475+(D475*B476),C475)),IF($B475=MAX($B$3:$B475),C475+(D475*B476),C475))))</f>
        <v>970.77000000000203</v>
      </c>
      <c r="D476">
        <f>IF($A476=1,D475+ROUNDDOWN(1000/$B476,0),IF(A476=2,D475,IF(A476&gt;3,IF(AND(B475&lt;B474,B474&lt;B473),IF(C475&gt;=1000,D475+ROUNDDOWN(1000/$B476,0),D475),IF($B475=MAX($B$3:$B475),0,D475)),IF($B475=MAX($B$3:$B475),0,D475))))</f>
        <v>36</v>
      </c>
      <c r="E476">
        <f t="shared" si="7"/>
        <v>0</v>
      </c>
    </row>
    <row r="477" spans="1:5" x14ac:dyDescent="0.25">
      <c r="A477">
        <v>475</v>
      </c>
      <c r="B477" s="5">
        <v>137.52000000000001</v>
      </c>
      <c r="C477" s="5">
        <f>IF($A477=1,$C$2-(ROUNDDOWN(1000/$B477,0)*$B477),IF(A477=2,C476,IF(A477&gt;3,IF(AND(B476&lt;B475,B475&lt;B474),IF(C476&gt;=1000,C476-(ROUNDDOWN(1000/$B477,0)*$B477),C476),IF($B476=MAX($B$3:$B476),C476+(D476*B477),C476)),IF($B476=MAX($B$3:$B476),C476+(D476*B477),C476))))</f>
        <v>970.77000000000203</v>
      </c>
      <c r="D477">
        <f>IF($A477=1,D476+ROUNDDOWN(1000/$B477,0),IF(A477=2,D476,IF(A477&gt;3,IF(AND(B476&lt;B475,B475&lt;B474),IF(C476&gt;=1000,D476+ROUNDDOWN(1000/$B477,0),D476),IF($B476=MAX($B$3:$B476),0,D476)),IF($B476=MAX($B$3:$B476),0,D476))))</f>
        <v>36</v>
      </c>
      <c r="E477">
        <f t="shared" si="7"/>
        <v>0</v>
      </c>
    </row>
    <row r="478" spans="1:5" x14ac:dyDescent="0.25">
      <c r="A478">
        <v>476</v>
      </c>
      <c r="B478" s="5">
        <v>136.02000000000001</v>
      </c>
      <c r="C478" s="5">
        <f>IF($A478=1,$C$2-(ROUNDDOWN(1000/$B478,0)*$B478),IF(A478=2,C477,IF(A478&gt;3,IF(AND(B477&lt;B476,B476&lt;B475),IF(C477&gt;=1000,C477-(ROUNDDOWN(1000/$B478,0)*$B478),C477),IF($B477=MAX($B$3:$B477),C477+(D477*B478),C477)),IF($B477=MAX($B$3:$B477),C477+(D477*B478),C477))))</f>
        <v>970.77000000000203</v>
      </c>
      <c r="D478">
        <f>IF($A478=1,D477+ROUNDDOWN(1000/$B478,0),IF(A478=2,D477,IF(A478&gt;3,IF(AND(B477&lt;B476,B476&lt;B475),IF(C477&gt;=1000,D477+ROUNDDOWN(1000/$B478,0),D477),IF($B477=MAX($B$3:$B477),0,D477)),IF($B477=MAX($B$3:$B477),0,D477))))</f>
        <v>36</v>
      </c>
      <c r="E478">
        <f t="shared" si="7"/>
        <v>0</v>
      </c>
    </row>
    <row r="479" spans="1:5" x14ac:dyDescent="0.25">
      <c r="A479">
        <v>477</v>
      </c>
      <c r="B479" s="5">
        <v>134.65</v>
      </c>
      <c r="C479" s="5">
        <f>IF($A479=1,$C$2-(ROUNDDOWN(1000/$B479,0)*$B479),IF(A479=2,C478,IF(A479&gt;3,IF(AND(B478&lt;B477,B477&lt;B476),IF(C478&gt;=1000,C478-(ROUNDDOWN(1000/$B479,0)*$B479),C478),IF($B478=MAX($B$3:$B478),C478+(D478*B479),C478)),IF($B478=MAX($B$3:$B478),C478+(D478*B479),C478))))</f>
        <v>970.77000000000203</v>
      </c>
      <c r="D479">
        <f>IF($A479=1,D478+ROUNDDOWN(1000/$B479,0),IF(A479=2,D478,IF(A479&gt;3,IF(AND(B478&lt;B477,B477&lt;B476),IF(C478&gt;=1000,D478+ROUNDDOWN(1000/$B479,0),D478),IF($B478=MAX($B$3:$B478),0,D478)),IF($B478=MAX($B$3:$B478),0,D478))))</f>
        <v>36</v>
      </c>
      <c r="E479">
        <f t="shared" si="7"/>
        <v>0</v>
      </c>
    </row>
    <row r="480" spans="1:5" x14ac:dyDescent="0.25">
      <c r="A480">
        <v>478</v>
      </c>
      <c r="B480" s="5">
        <v>133.62</v>
      </c>
      <c r="C480" s="5">
        <f>IF($A480=1,$C$2-(ROUNDDOWN(1000/$B480,0)*$B480),IF(A480=2,C479,IF(A480&gt;3,IF(AND(B479&lt;B478,B478&lt;B477),IF(C479&gt;=1000,C479-(ROUNDDOWN(1000/$B480,0)*$B480),C479),IF($B479=MAX($B$3:$B479),C479+(D479*B480),C479)),IF($B479=MAX($B$3:$B479),C479+(D479*B480),C479))))</f>
        <v>970.77000000000203</v>
      </c>
      <c r="D480">
        <f>IF($A480=1,D479+ROUNDDOWN(1000/$B480,0),IF(A480=2,D479,IF(A480&gt;3,IF(AND(B479&lt;B478,B478&lt;B477),IF(C479&gt;=1000,D479+ROUNDDOWN(1000/$B480,0),D479),IF($B479=MAX($B$3:$B479),0,D479)),IF($B479=MAX($B$3:$B479),0,D479))))</f>
        <v>36</v>
      </c>
      <c r="E480">
        <f t="shared" si="7"/>
        <v>0</v>
      </c>
    </row>
    <row r="481" spans="1:5" x14ac:dyDescent="0.25">
      <c r="A481">
        <v>479</v>
      </c>
      <c r="B481" s="5">
        <v>134.27000000000001</v>
      </c>
      <c r="C481" s="5">
        <f>IF($A481=1,$C$2-(ROUNDDOWN(1000/$B481,0)*$B481),IF(A481=2,C480,IF(A481&gt;3,IF(AND(B480&lt;B479,B479&lt;B478),IF(C480&gt;=1000,C480-(ROUNDDOWN(1000/$B481,0)*$B481),C480),IF($B480=MAX($B$3:$B480),C480+(D480*B481),C480)),IF($B480=MAX($B$3:$B480),C480+(D480*B481),C480))))</f>
        <v>970.77000000000203</v>
      </c>
      <c r="D481">
        <f>IF($A481=1,D480+ROUNDDOWN(1000/$B481,0),IF(A481=2,D480,IF(A481&gt;3,IF(AND(B480&lt;B479,B479&lt;B478),IF(C480&gt;=1000,D480+ROUNDDOWN(1000/$B481,0),D480),IF($B480=MAX($B$3:$B480),0,D480)),IF($B480=MAX($B$3:$B480),0,D480))))</f>
        <v>36</v>
      </c>
      <c r="E481">
        <f t="shared" si="7"/>
        <v>0</v>
      </c>
    </row>
    <row r="482" spans="1:5" x14ac:dyDescent="0.25">
      <c r="A482">
        <v>480</v>
      </c>
      <c r="B482" s="5">
        <v>134.35</v>
      </c>
      <c r="C482" s="5">
        <f>IF($A482=1,$C$2-(ROUNDDOWN(1000/$B482,0)*$B482),IF(A482=2,C481,IF(A482&gt;3,IF(AND(B481&lt;B480,B480&lt;B479),IF(C481&gt;=1000,C481-(ROUNDDOWN(1000/$B482,0)*$B482),C481),IF($B481=MAX($B$3:$B481),C481+(D481*B482),C481)),IF($B481=MAX($B$3:$B481),C481+(D481*B482),C481))))</f>
        <v>970.77000000000203</v>
      </c>
      <c r="D482">
        <f>IF($A482=1,D481+ROUNDDOWN(1000/$B482,0),IF(A482=2,D481,IF(A482&gt;3,IF(AND(B481&lt;B480,B480&lt;B479),IF(C481&gt;=1000,D481+ROUNDDOWN(1000/$B482,0),D481),IF($B481=MAX($B$3:$B481),0,D481)),IF($B481=MAX($B$3:$B481),0,D481))))</f>
        <v>36</v>
      </c>
      <c r="E482">
        <f t="shared" si="7"/>
        <v>0</v>
      </c>
    </row>
    <row r="483" spans="1:5" x14ac:dyDescent="0.25">
      <c r="A483">
        <v>481</v>
      </c>
      <c r="B483" s="5">
        <v>133.19</v>
      </c>
      <c r="C483" s="5">
        <f>IF($A483=1,$C$2-(ROUNDDOWN(1000/$B483,0)*$B483),IF(A483=2,C482,IF(A483&gt;3,IF(AND(B482&lt;B481,B481&lt;B480),IF(C482&gt;=1000,C482-(ROUNDDOWN(1000/$B483,0)*$B483),C482),IF($B482=MAX($B$3:$B482),C482+(D482*B483),C482)),IF($B482=MAX($B$3:$B482),C482+(D482*B483),C482))))</f>
        <v>970.77000000000203</v>
      </c>
      <c r="D483">
        <f>IF($A483=1,D482+ROUNDDOWN(1000/$B483,0),IF(A483=2,D482,IF(A483&gt;3,IF(AND(B482&lt;B481,B481&lt;B480),IF(C482&gt;=1000,D482+ROUNDDOWN(1000/$B483,0),D482),IF($B482=MAX($B$3:$B482),0,D482)),IF($B482=MAX($B$3:$B482),0,D482))))</f>
        <v>36</v>
      </c>
      <c r="E483">
        <f t="shared" si="7"/>
        <v>0</v>
      </c>
    </row>
    <row r="484" spans="1:5" x14ac:dyDescent="0.25">
      <c r="A484">
        <v>482</v>
      </c>
      <c r="B484" s="5">
        <v>132.1</v>
      </c>
      <c r="C484" s="5">
        <f>IF($A484=1,$C$2-(ROUNDDOWN(1000/$B484,0)*$B484),IF(A484=2,C483,IF(A484&gt;3,IF(AND(B483&lt;B482,B482&lt;B481),IF(C483&gt;=1000,C483-(ROUNDDOWN(1000/$B484,0)*$B484),C483),IF($B483=MAX($B$3:$B483),C483+(D483*B484),C483)),IF($B483=MAX($B$3:$B483),C483+(D483*B484),C483))))</f>
        <v>970.77000000000203</v>
      </c>
      <c r="D484">
        <f>IF($A484=1,D483+ROUNDDOWN(1000/$B484,0),IF(A484=2,D483,IF(A484&gt;3,IF(AND(B483&lt;B482,B482&lt;B481),IF(C483&gt;=1000,D483+ROUNDDOWN(1000/$B484,0),D483),IF($B483=MAX($B$3:$B483),0,D483)),IF($B483=MAX($B$3:$B483),0,D483))))</f>
        <v>36</v>
      </c>
      <c r="E484">
        <f t="shared" si="7"/>
        <v>0</v>
      </c>
    </row>
    <row r="485" spans="1:5" x14ac:dyDescent="0.25">
      <c r="A485">
        <v>483</v>
      </c>
      <c r="B485" s="5">
        <v>132.30000000000001</v>
      </c>
      <c r="C485" s="5">
        <f>IF($A485=1,$C$2-(ROUNDDOWN(1000/$B485,0)*$B485),IF(A485=2,C484,IF(A485&gt;3,IF(AND(B484&lt;B483,B483&lt;B482),IF(C484&gt;=1000,C484-(ROUNDDOWN(1000/$B485,0)*$B485),C484),IF($B484=MAX($B$3:$B484),C484+(D484*B485),C484)),IF($B484=MAX($B$3:$B484),C484+(D484*B485),C484))))</f>
        <v>970.77000000000203</v>
      </c>
      <c r="D485">
        <f>IF($A485=1,D484+ROUNDDOWN(1000/$B485,0),IF(A485=2,D484,IF(A485&gt;3,IF(AND(B484&lt;B483,B483&lt;B482),IF(C484&gt;=1000,D484+ROUNDDOWN(1000/$B485,0),D484),IF($B484=MAX($B$3:$B484),0,D484)),IF($B484=MAX($B$3:$B484),0,D484))))</f>
        <v>36</v>
      </c>
      <c r="E485">
        <f t="shared" si="7"/>
        <v>0</v>
      </c>
    </row>
    <row r="486" spans="1:5" x14ac:dyDescent="0.25">
      <c r="A486">
        <v>484</v>
      </c>
      <c r="B486" s="5">
        <v>131.22999999999999</v>
      </c>
      <c r="C486" s="5">
        <f>IF($A486=1,$C$2-(ROUNDDOWN(1000/$B486,0)*$B486),IF(A486=2,C485,IF(A486&gt;3,IF(AND(B485&lt;B484,B484&lt;B483),IF(C485&gt;=1000,C485-(ROUNDDOWN(1000/$B486,0)*$B486),C485),IF($B485=MAX($B$3:$B485),C485+(D485*B486),C485)),IF($B485=MAX($B$3:$B485),C485+(D485*B486),C485))))</f>
        <v>970.77000000000203</v>
      </c>
      <c r="D486">
        <f>IF($A486=1,D485+ROUNDDOWN(1000/$B486,0),IF(A486=2,D485,IF(A486&gt;3,IF(AND(B485&lt;B484,B484&lt;B483),IF(C485&gt;=1000,D485+ROUNDDOWN(1000/$B486,0),D485),IF($B485=MAX($B$3:$B485),0,D485)),IF($B485=MAX($B$3:$B485),0,D485))))</f>
        <v>36</v>
      </c>
      <c r="E486">
        <f t="shared" si="7"/>
        <v>0</v>
      </c>
    </row>
    <row r="487" spans="1:5" x14ac:dyDescent="0.25">
      <c r="A487">
        <v>485</v>
      </c>
      <c r="B487" s="5">
        <v>130.09</v>
      </c>
      <c r="C487" s="5">
        <f>IF($A487=1,$C$2-(ROUNDDOWN(1000/$B487,0)*$B487),IF(A487=2,C486,IF(A487&gt;3,IF(AND(B486&lt;B485,B485&lt;B484),IF(C486&gt;=1000,C486-(ROUNDDOWN(1000/$B487,0)*$B487),C486),IF($B486=MAX($B$3:$B486),C486+(D486*B487),C486)),IF($B486=MAX($B$3:$B486),C486+(D486*B487),C486))))</f>
        <v>970.77000000000203</v>
      </c>
      <c r="D487">
        <f>IF($A487=1,D486+ROUNDDOWN(1000/$B487,0),IF(A487=2,D486,IF(A487&gt;3,IF(AND(B486&lt;B485,B485&lt;B484),IF(C486&gt;=1000,D486+ROUNDDOWN(1000/$B487,0),D486),IF($B486=MAX($B$3:$B486),0,D486)),IF($B486=MAX($B$3:$B486),0,D486))))</f>
        <v>36</v>
      </c>
      <c r="E487">
        <f t="shared" si="7"/>
        <v>0</v>
      </c>
    </row>
    <row r="488" spans="1:5" x14ac:dyDescent="0.25">
      <c r="A488">
        <v>486</v>
      </c>
      <c r="B488" s="5">
        <v>131.72999999999999</v>
      </c>
      <c r="C488" s="5">
        <f>IF($A488=1,$C$2-(ROUNDDOWN(1000/$B488,0)*$B488),IF(A488=2,C487,IF(A488&gt;3,IF(AND(B487&lt;B486,B486&lt;B485),IF(C487&gt;=1000,C487-(ROUNDDOWN(1000/$B488,0)*$B488),C487),IF($B487=MAX($B$3:$B487),C487+(D487*B488),C487)),IF($B487=MAX($B$3:$B487),C487+(D487*B488),C487))))</f>
        <v>970.77000000000203</v>
      </c>
      <c r="D488">
        <f>IF($A488=1,D487+ROUNDDOWN(1000/$B488,0),IF(A488=2,D487,IF(A488&gt;3,IF(AND(B487&lt;B486,B486&lt;B485),IF(C487&gt;=1000,D487+ROUNDDOWN(1000/$B488,0),D487),IF($B487=MAX($B$3:$B487),0,D487)),IF($B487=MAX($B$3:$B487),0,D487))))</f>
        <v>36</v>
      </c>
      <c r="E488">
        <f t="shared" si="7"/>
        <v>0</v>
      </c>
    </row>
    <row r="489" spans="1:5" x14ac:dyDescent="0.25">
      <c r="A489">
        <v>487</v>
      </c>
      <c r="B489" s="5">
        <v>130.03</v>
      </c>
      <c r="C489" s="5">
        <f>IF($A489=1,$C$2-(ROUNDDOWN(1000/$B489,0)*$B489),IF(A489=2,C488,IF(A489&gt;3,IF(AND(B488&lt;B487,B487&lt;B486),IF(C488&gt;=1000,C488-(ROUNDDOWN(1000/$B489,0)*$B489),C488),IF($B488=MAX($B$3:$B488),C488+(D488*B489),C488)),IF($B488=MAX($B$3:$B488),C488+(D488*B489),C488))))</f>
        <v>970.77000000000203</v>
      </c>
      <c r="D489">
        <f>IF($A489=1,D488+ROUNDDOWN(1000/$B489,0),IF(A489=2,D488,IF(A489&gt;3,IF(AND(B488&lt;B487,B487&lt;B486),IF(C488&gt;=1000,D488+ROUNDDOWN(1000/$B489,0),D488),IF($B488=MAX($B$3:$B488),0,D488)),IF($B488=MAX($B$3:$B488),0,D488))))</f>
        <v>36</v>
      </c>
      <c r="E489">
        <f t="shared" si="7"/>
        <v>0</v>
      </c>
    </row>
    <row r="490" spans="1:5" x14ac:dyDescent="0.25">
      <c r="A490">
        <v>488</v>
      </c>
      <c r="B490" s="5">
        <v>128.21</v>
      </c>
      <c r="C490" s="5">
        <f>IF($A490=1,$C$2-(ROUNDDOWN(1000/$B490,0)*$B490),IF(A490=2,C489,IF(A490&gt;3,IF(AND(B489&lt;B488,B488&lt;B487),IF(C489&gt;=1000,C489-(ROUNDDOWN(1000/$B490,0)*$B490),C489),IF($B489=MAX($B$3:$B489),C489+(D489*B490),C489)),IF($B489=MAX($B$3:$B489),C489+(D489*B490),C489))))</f>
        <v>970.77000000000203</v>
      </c>
      <c r="D490">
        <f>IF($A490=1,D489+ROUNDDOWN(1000/$B490,0),IF(A490=2,D489,IF(A490&gt;3,IF(AND(B489&lt;B488,B488&lt;B487),IF(C489&gt;=1000,D489+ROUNDDOWN(1000/$B490,0),D489),IF($B489=MAX($B$3:$B489),0,D489)),IF($B489=MAX($B$3:$B489),0,D489))))</f>
        <v>36</v>
      </c>
      <c r="E490">
        <f t="shared" si="7"/>
        <v>0</v>
      </c>
    </row>
    <row r="491" spans="1:5" x14ac:dyDescent="0.25">
      <c r="A491">
        <v>489</v>
      </c>
      <c r="B491" s="5">
        <v>128.51</v>
      </c>
      <c r="C491" s="5">
        <f>IF($A491=1,$C$2-(ROUNDDOWN(1000/$B491,0)*$B491),IF(A491=2,C490,IF(A491&gt;3,IF(AND(B490&lt;B489,B489&lt;B488),IF(C490&gt;=1000,C490-(ROUNDDOWN(1000/$B491,0)*$B491),C490),IF($B490=MAX($B$3:$B490),C490+(D490*B491),C490)),IF($B490=MAX($B$3:$B490),C490+(D490*B491),C490))))</f>
        <v>970.77000000000203</v>
      </c>
      <c r="D491">
        <f>IF($A491=1,D490+ROUNDDOWN(1000/$B491,0),IF(A491=2,D490,IF(A491&gt;3,IF(AND(B490&lt;B489,B489&lt;B488),IF(C490&gt;=1000,D490+ROUNDDOWN(1000/$B491,0),D490),IF($B490=MAX($B$3:$B490),0,D490)),IF($B490=MAX($B$3:$B490),0,D490))))</f>
        <v>36</v>
      </c>
      <c r="E491">
        <f t="shared" si="7"/>
        <v>0</v>
      </c>
    </row>
    <row r="492" spans="1:5" x14ac:dyDescent="0.25">
      <c r="A492">
        <v>490</v>
      </c>
      <c r="B492" s="5">
        <v>127.47</v>
      </c>
      <c r="C492" s="5">
        <f>IF($A492=1,$C$2-(ROUNDDOWN(1000/$B492,0)*$B492),IF(A492=2,C491,IF(A492&gt;3,IF(AND(B491&lt;B490,B490&lt;B489),IF(C491&gt;=1000,C491-(ROUNDDOWN(1000/$B492,0)*$B492),C491),IF($B491=MAX($B$3:$B491),C491+(D491*B492),C491)),IF($B491=MAX($B$3:$B491),C491+(D491*B492),C491))))</f>
        <v>970.77000000000203</v>
      </c>
      <c r="D492">
        <f>IF($A492=1,D491+ROUNDDOWN(1000/$B492,0),IF(A492=2,D491,IF(A492&gt;3,IF(AND(B491&lt;B490,B490&lt;B489),IF(C491&gt;=1000,D491+ROUNDDOWN(1000/$B492,0),D491),IF($B491=MAX($B$3:$B491),0,D491)),IF($B491=MAX($B$3:$B491),0,D491))))</f>
        <v>36</v>
      </c>
      <c r="E492">
        <f t="shared" si="7"/>
        <v>0</v>
      </c>
    </row>
    <row r="493" spans="1:5" x14ac:dyDescent="0.25">
      <c r="A493">
        <v>491</v>
      </c>
      <c r="B493" s="5">
        <v>126.24</v>
      </c>
      <c r="C493" s="5">
        <f>IF($A493=1,$C$2-(ROUNDDOWN(1000/$B493,0)*$B493),IF(A493=2,C492,IF(A493&gt;3,IF(AND(B492&lt;B491,B491&lt;B490),IF(C492&gt;=1000,C492-(ROUNDDOWN(1000/$B493,0)*$B493),C492),IF($B492=MAX($B$3:$B492),C492+(D492*B493),C492)),IF($B492=MAX($B$3:$B492),C492+(D492*B493),C492))))</f>
        <v>970.77000000000203</v>
      </c>
      <c r="D493">
        <f>IF($A493=1,D492+ROUNDDOWN(1000/$B493,0),IF(A493=2,D492,IF(A493&gt;3,IF(AND(B492&lt;B491,B491&lt;B490),IF(C492&gt;=1000,D492+ROUNDDOWN(1000/$B493,0),D492),IF($B492=MAX($B$3:$B492),0,D492)),IF($B492=MAX($B$3:$B492),0,D492))))</f>
        <v>36</v>
      </c>
      <c r="E493">
        <f t="shared" si="7"/>
        <v>0</v>
      </c>
    </row>
    <row r="494" spans="1:5" x14ac:dyDescent="0.25">
      <c r="A494">
        <v>492</v>
      </c>
      <c r="B494" s="5">
        <v>128.41</v>
      </c>
      <c r="C494" s="5">
        <f>IF($A494=1,$C$2-(ROUNDDOWN(1000/$B494,0)*$B494),IF(A494=2,C493,IF(A494&gt;3,IF(AND(B493&lt;B492,B492&lt;B491),IF(C493&gt;=1000,C493-(ROUNDDOWN(1000/$B494,0)*$B494),C493),IF($B493=MAX($B$3:$B493),C493+(D493*B494),C493)),IF($B493=MAX($B$3:$B493),C493+(D493*B494),C493))))</f>
        <v>970.77000000000203</v>
      </c>
      <c r="D494">
        <f>IF($A494=1,D493+ROUNDDOWN(1000/$B494,0),IF(A494=2,D493,IF(A494&gt;3,IF(AND(B493&lt;B492,B492&lt;B491),IF(C493&gt;=1000,D493+ROUNDDOWN(1000/$B494,0),D493),IF($B493=MAX($B$3:$B493),0,D493)),IF($B493=MAX($B$3:$B493),0,D493))))</f>
        <v>36</v>
      </c>
      <c r="E494">
        <f t="shared" si="7"/>
        <v>0</v>
      </c>
    </row>
    <row r="495" spans="1:5" x14ac:dyDescent="0.25">
      <c r="A495">
        <v>493</v>
      </c>
      <c r="B495" s="5">
        <v>128.56</v>
      </c>
      <c r="C495" s="5">
        <f>IF($A495=1,$C$2-(ROUNDDOWN(1000/$B495,0)*$B495),IF(A495=2,C494,IF(A495&gt;3,IF(AND(B494&lt;B493,B493&lt;B492),IF(C494&gt;=1000,C494-(ROUNDDOWN(1000/$B495,0)*$B495),C494),IF($B494=MAX($B$3:$B494),C494+(D494*B495),C494)),IF($B494=MAX($B$3:$B494),C494+(D494*B495),C494))))</f>
        <v>970.77000000000203</v>
      </c>
      <c r="D495">
        <f>IF($A495=1,D494+ROUNDDOWN(1000/$B495,0),IF(A495=2,D494,IF(A495&gt;3,IF(AND(B494&lt;B493,B493&lt;B492),IF(C494&gt;=1000,D494+ROUNDDOWN(1000/$B495,0),D494),IF($B494=MAX($B$3:$B494),0,D494)),IF($B494=MAX($B$3:$B494),0,D494))))</f>
        <v>36</v>
      </c>
      <c r="E495">
        <f t="shared" si="7"/>
        <v>0</v>
      </c>
    </row>
    <row r="496" spans="1:5" x14ac:dyDescent="0.25">
      <c r="A496">
        <v>494</v>
      </c>
      <c r="B496" s="5">
        <v>128.58000000000001</v>
      </c>
      <c r="C496" s="5">
        <f>IF($A496=1,$C$2-(ROUNDDOWN(1000/$B496,0)*$B496),IF(A496=2,C495,IF(A496&gt;3,IF(AND(B495&lt;B494,B494&lt;B493),IF(C495&gt;=1000,C495-(ROUNDDOWN(1000/$B496,0)*$B496),C495),IF($B495=MAX($B$3:$B495),C495+(D495*B496),C495)),IF($B495=MAX($B$3:$B495),C495+(D495*B496),C495))))</f>
        <v>970.77000000000203</v>
      </c>
      <c r="D496">
        <f>IF($A496=1,D495+ROUNDDOWN(1000/$B496,0),IF(A496=2,D495,IF(A496&gt;3,IF(AND(B495&lt;B494,B494&lt;B493),IF(C495&gt;=1000,D495+ROUNDDOWN(1000/$B496,0),D495),IF($B495=MAX($B$3:$B495),0,D495)),IF($B495=MAX($B$3:$B495),0,D495))))</f>
        <v>36</v>
      </c>
      <c r="E496">
        <f t="shared" si="7"/>
        <v>0</v>
      </c>
    </row>
    <row r="497" spans="1:5" x14ac:dyDescent="0.25">
      <c r="A497">
        <v>495</v>
      </c>
      <c r="B497" s="5">
        <v>127.41</v>
      </c>
      <c r="C497" s="5">
        <f>IF($A497=1,$C$2-(ROUNDDOWN(1000/$B497,0)*$B497),IF(A497=2,C496,IF(A497&gt;3,IF(AND(B496&lt;B495,B495&lt;B494),IF(C496&gt;=1000,C496-(ROUNDDOWN(1000/$B497,0)*$B497),C496),IF($B496=MAX($B$3:$B496),C496+(D496*B497),C496)),IF($B496=MAX($B$3:$B496),C496+(D496*B497),C496))))</f>
        <v>970.77000000000203</v>
      </c>
      <c r="D497">
        <f>IF($A497=1,D496+ROUNDDOWN(1000/$B497,0),IF(A497=2,D496,IF(A497&gt;3,IF(AND(B496&lt;B495,B495&lt;B494),IF(C496&gt;=1000,D496+ROUNDDOWN(1000/$B497,0),D496),IF($B496=MAX($B$3:$B496),0,D496)),IF($B496=MAX($B$3:$B496),0,D496))))</f>
        <v>36</v>
      </c>
      <c r="E497">
        <f t="shared" si="7"/>
        <v>0</v>
      </c>
    </row>
    <row r="498" spans="1:5" x14ac:dyDescent="0.25">
      <c r="A498">
        <v>496</v>
      </c>
      <c r="B498" s="5">
        <v>129.69</v>
      </c>
      <c r="C498" s="5">
        <f>IF($A498=1,$C$2-(ROUNDDOWN(1000/$B498,0)*$B498),IF(A498=2,C497,IF(A498&gt;3,IF(AND(B497&lt;B496,B496&lt;B495),IF(C497&gt;=1000,C497-(ROUNDDOWN(1000/$B498,0)*$B498),C497),IF($B497=MAX($B$3:$B497),C497+(D497*B498),C497)),IF($B497=MAX($B$3:$B497),C497+(D497*B498),C497))))</f>
        <v>970.77000000000203</v>
      </c>
      <c r="D498">
        <f>IF($A498=1,D497+ROUNDDOWN(1000/$B498,0),IF(A498=2,D497,IF(A498&gt;3,IF(AND(B497&lt;B496,B496&lt;B495),IF(C497&gt;=1000,D497+ROUNDDOWN(1000/$B498,0),D497),IF($B497=MAX($B$3:$B497),0,D497)),IF($B497=MAX($B$3:$B497),0,D497))))</f>
        <v>36</v>
      </c>
      <c r="E498">
        <f t="shared" si="7"/>
        <v>0</v>
      </c>
    </row>
    <row r="499" spans="1:5" x14ac:dyDescent="0.25">
      <c r="A499">
        <v>497</v>
      </c>
      <c r="B499" s="5">
        <v>128.27000000000001</v>
      </c>
      <c r="C499" s="5">
        <f>IF($A499=1,$C$2-(ROUNDDOWN(1000/$B499,0)*$B499),IF(A499=2,C498,IF(A499&gt;3,IF(AND(B498&lt;B497,B497&lt;B496),IF(C498&gt;=1000,C498-(ROUNDDOWN(1000/$B499,0)*$B499),C498),IF($B498=MAX($B$3:$B498),C498+(D498*B499),C498)),IF($B498=MAX($B$3:$B498),C498+(D498*B499),C498))))</f>
        <v>970.77000000000203</v>
      </c>
      <c r="D499">
        <f>IF($A499=1,D498+ROUNDDOWN(1000/$B499,0),IF(A499=2,D498,IF(A499&gt;3,IF(AND(B498&lt;B497,B497&lt;B496),IF(C498&gt;=1000,D498+ROUNDDOWN(1000/$B499,0),D498),IF($B498=MAX($B$3:$B498),0,D498)),IF($B498=MAX($B$3:$B498),0,D498))))</f>
        <v>36</v>
      </c>
      <c r="E499">
        <f t="shared" si="7"/>
        <v>0</v>
      </c>
    </row>
    <row r="500" spans="1:5" x14ac:dyDescent="0.25">
      <c r="A500">
        <v>498</v>
      </c>
      <c r="B500" s="5">
        <v>126.99</v>
      </c>
      <c r="C500" s="5">
        <f>IF($A500=1,$C$2-(ROUNDDOWN(1000/$B500,0)*$B500),IF(A500=2,C499,IF(A500&gt;3,IF(AND(B499&lt;B498,B498&lt;B497),IF(C499&gt;=1000,C499-(ROUNDDOWN(1000/$B500,0)*$B500),C499),IF($B499=MAX($B$3:$B499),C499+(D499*B500),C499)),IF($B499=MAX($B$3:$B499),C499+(D499*B500),C499))))</f>
        <v>970.77000000000203</v>
      </c>
      <c r="D500">
        <f>IF($A500=1,D499+ROUNDDOWN(1000/$B500,0),IF(A500=2,D499,IF(A500&gt;3,IF(AND(B499&lt;B498,B498&lt;B497),IF(C499&gt;=1000,D499+ROUNDDOWN(1000/$B500,0),D499),IF($B499=MAX($B$3:$B499),0,D499)),IF($B499=MAX($B$3:$B499),0,D499))))</f>
        <v>36</v>
      </c>
      <c r="E500">
        <f t="shared" si="7"/>
        <v>0</v>
      </c>
    </row>
    <row r="501" spans="1:5" x14ac:dyDescent="0.25">
      <c r="A501">
        <v>499</v>
      </c>
      <c r="B501" s="5">
        <v>127.03</v>
      </c>
      <c r="C501" s="5">
        <f>IF($A501=1,$C$2-(ROUNDDOWN(1000/$B501,0)*$B501),IF(A501=2,C500,IF(A501&gt;3,IF(AND(B500&lt;B499,B499&lt;B498),IF(C500&gt;=1000,C500-(ROUNDDOWN(1000/$B501,0)*$B501),C500),IF($B500=MAX($B$3:$B500),C500+(D500*B501),C500)),IF($B500=MAX($B$3:$B500),C500+(D500*B501),C500))))</f>
        <v>970.77000000000203</v>
      </c>
      <c r="D501">
        <f>IF($A501=1,D500+ROUNDDOWN(1000/$B501,0),IF(A501=2,D500,IF(A501&gt;3,IF(AND(B500&lt;B499,B499&lt;B498),IF(C500&gt;=1000,D500+ROUNDDOWN(1000/$B501,0),D500),IF($B500=MAX($B$3:$B500),0,D500)),IF($B500=MAX($B$3:$B500),0,D500))))</f>
        <v>36</v>
      </c>
      <c r="E501">
        <f t="shared" si="7"/>
        <v>0</v>
      </c>
    </row>
    <row r="502" spans="1:5" x14ac:dyDescent="0.25">
      <c r="A502">
        <v>500</v>
      </c>
      <c r="B502" s="5">
        <v>127.11</v>
      </c>
      <c r="C502" s="5">
        <f>IF($A502=1,$C$2-(ROUNDDOWN(1000/$B502,0)*$B502),IF(A502=2,C501,IF(A502&gt;3,IF(AND(B501&lt;B500,B500&lt;B499),IF(C501&gt;=1000,C501-(ROUNDDOWN(1000/$B502,0)*$B502),C501),IF($B501=MAX($B$3:$B501),C501+(D501*B502),C501)),IF($B501=MAX($B$3:$B501),C501+(D501*B502),C501))))</f>
        <v>970.77000000000203</v>
      </c>
      <c r="D502">
        <f>IF($A502=1,D501+ROUNDDOWN(1000/$B502,0),IF(A502=2,D501,IF(A502&gt;3,IF(AND(B501&lt;B500,B500&lt;B499),IF(C501&gt;=1000,D501+ROUNDDOWN(1000/$B502,0),D501),IF($B501=MAX($B$3:$B501),0,D501)),IF($B501=MAX($B$3:$B501),0,D501))))</f>
        <v>36</v>
      </c>
      <c r="E502">
        <f t="shared" si="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EAD419-69D9-4286-90DE-543577A722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4_2</vt:lpstr>
      <vt:lpstr>4_1</vt:lpstr>
      <vt:lpstr>4_3_pom</vt:lpstr>
      <vt:lpstr>4_3</vt:lpstr>
      <vt:lpstr>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2019-12-14T22:59:37Z</dcterms:modified>
</cp:coreProperties>
</file>